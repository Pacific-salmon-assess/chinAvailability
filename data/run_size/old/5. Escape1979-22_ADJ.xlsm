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4D1C537B-E38A-612A-F078-A93A15B4B7F4}"/>
  <workbookPr codeName="ThisWorkbook" defaultThemeVersion="124226"/>
  <mc:AlternateContent xmlns:mc="http://schemas.openxmlformats.org/markup-compatibility/2006">
    <mc:Choice Requires="x15">
      <x15ac:absPath xmlns:x15ac="http://schemas.microsoft.com/office/spreadsheetml/2010/11/ac" url="S:\2-Chinook\1-FRASER_CHINOOK\Run Reconstruction\2023\Feb 9 2023 Run\Feb 09 2023 - Adjusted\"/>
    </mc:Choice>
  </mc:AlternateContent>
  <xr:revisionPtr revIDLastSave="0" documentId="13_ncr:1_{B0435F04-C61F-4D3D-AEEA-5A00DE56BFF7}" xr6:coauthVersionLast="47" xr6:coauthVersionMax="47" xr10:uidLastSave="{00000000-0000-0000-0000-000000000000}"/>
  <bookViews>
    <workbookView xWindow="38280" yWindow="-120" windowWidth="38640" windowHeight="21240" activeTab="3" xr2:uid="{00000000-000D-0000-FFFF-FFFF00000000}"/>
  </bookViews>
  <sheets>
    <sheet name="Read Me" sheetId="67" r:id="rId1"/>
    <sheet name="Notes" sheetId="153" r:id="rId2"/>
    <sheet name="Control" sheetId="87" r:id="rId3"/>
    <sheet name="ESCAPE" sheetId="42" r:id="rId4"/>
    <sheet name="EscapeNew" sheetId="74" r:id="rId5"/>
    <sheet name="MissingEscape" sheetId="202" r:id="rId6"/>
    <sheet name="GroupP" sheetId="201" r:id="rId7"/>
    <sheet name="Updated Esc Est" sheetId="178" r:id="rId8"/>
    <sheet name="Hatchery Removals" sheetId="35" r:id="rId9"/>
    <sheet name="StockList" sheetId="7" r:id="rId10"/>
    <sheet name="Stock-Stream List" sheetId="71" r:id="rId11"/>
  </sheets>
  <externalReferences>
    <externalReference r:id="rId12"/>
    <externalReference r:id="rId13"/>
    <externalReference r:id="rId14"/>
  </externalReferences>
  <definedNames>
    <definedName name="_xlnm._FilterDatabase" localSheetId="3" hidden="1">ESCAPE!$A$1:$AI$64</definedName>
    <definedName name="_xlnm._FilterDatabase" localSheetId="4" hidden="1">EscapeNew!$A$1:$AQ$85</definedName>
    <definedName name="_xlnm._FilterDatabase" localSheetId="7" hidden="1">'Updated Esc Est'!$A$1:$I$4945</definedName>
    <definedName name="Affiliation" localSheetId="1">'[1]LIST INFO'!$C$2:$C$22</definedName>
    <definedName name="Affiliation">'[1]LIST INFO'!$C$2:$C$22</definedName>
    <definedName name="anscount" hidden="1">1</definedName>
    <definedName name="CK_sites" localSheetId="7">#REF!</definedName>
    <definedName name="CK_sites">#REF!</definedName>
    <definedName name="CompleteSystemSurvey" localSheetId="1">'[1]LIST INFO'!$E$2:$E$6</definedName>
    <definedName name="CompleteSystemSurvey">'[1]LIST INFO'!$E$2:$E$6</definedName>
    <definedName name="DataQuality" localSheetId="1">'[1]LIST INFO'!$F$2:$F$13</definedName>
    <definedName name="DataQuality">'[1]LIST INFO'!$F$2:$F$13</definedName>
    <definedName name="EstClass" localSheetId="1">'[2]LIST INFO'!$B$2:$B$9</definedName>
    <definedName name="EstClass">'[2]LIST INFO'!$B$2:$B$9</definedName>
    <definedName name="EstMethod" localSheetId="1">'[1]LIST INFO'!$A$2:$A$27</definedName>
    <definedName name="EstMethod">'[1]LIST INFO'!$A$2:$A$27</definedName>
    <definedName name="FemaleMR" localSheetId="1">'[1]LIST INFO'!$J$2:$J$10</definedName>
    <definedName name="FemaleMR">'[1]LIST INFO'!$J$2:$J$10</definedName>
    <definedName name="FinalEstType" localSheetId="1">'[3]EstType &amp; EstClass'!$A$2:$A$17</definedName>
    <definedName name="FinalEstType">'[3]EstType &amp; EstClass'!$A$2:$A$17</definedName>
    <definedName name="JackMR" localSheetId="1">'[1]LIST INFO'!$K$2:$K$9</definedName>
    <definedName name="JackMR">'[1]LIST INFO'!$K$2:$K$9</definedName>
    <definedName name="limcount" hidden="1">1</definedName>
    <definedName name="MaleMR" localSheetId="1">'[1]LIST INFO'!$I$2:$I$10</definedName>
    <definedName name="MaleMR">'[1]LIST INFO'!$I$2:$I$10</definedName>
    <definedName name="_xlnm.Print_Area" localSheetId="3">ESCAPE!$I$1:$AL$89</definedName>
    <definedName name="_xlnm.Print_Titles" localSheetId="3">ESCAPE!$A:$E</definedName>
    <definedName name="_xlnm.Print_Titles" localSheetId="10">'Stock-Stream List'!$1:$1</definedName>
    <definedName name="SpawnTime" localSheetId="1">'[1]LIST INFO'!$D$2:$D$4</definedName>
    <definedName name="SpawnTime">'[1]LIST INFO'!$D$2:$D$4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96" i="42" l="1"/>
  <c r="H96" i="42"/>
  <c r="I96" i="42"/>
  <c r="J96" i="42"/>
  <c r="K96" i="42"/>
  <c r="L96" i="42"/>
  <c r="M96" i="42"/>
  <c r="N96" i="42"/>
  <c r="O96" i="42"/>
  <c r="P96" i="42"/>
  <c r="Q96" i="42"/>
  <c r="R96" i="42"/>
  <c r="S96" i="42"/>
  <c r="T96" i="42"/>
  <c r="U96" i="42"/>
  <c r="V96" i="42"/>
  <c r="W96" i="42"/>
  <c r="X96" i="42"/>
  <c r="Y96" i="42"/>
  <c r="Z96" i="42"/>
  <c r="AA96" i="42"/>
  <c r="AB96" i="42"/>
  <c r="AC96" i="42"/>
  <c r="AD96" i="42"/>
  <c r="AE96" i="42"/>
  <c r="AF96" i="42"/>
  <c r="AG96" i="42"/>
  <c r="AH96" i="42"/>
  <c r="AI96" i="42"/>
  <c r="AJ96" i="42"/>
  <c r="AK96" i="42"/>
  <c r="AL96" i="42"/>
  <c r="AM96" i="42"/>
  <c r="AN96" i="42"/>
  <c r="AO96" i="42"/>
  <c r="AP96" i="42"/>
  <c r="AQ96" i="42"/>
  <c r="AR96" i="42"/>
  <c r="AS96" i="42"/>
  <c r="AT96" i="42"/>
  <c r="AU96" i="42"/>
  <c r="AV96" i="42"/>
  <c r="AW96" i="42"/>
  <c r="AX96" i="42"/>
  <c r="F96" i="42"/>
  <c r="H92" i="42"/>
  <c r="I92" i="42"/>
  <c r="J92" i="42"/>
  <c r="K92" i="42"/>
  <c r="L92" i="42"/>
  <c r="M92" i="42"/>
  <c r="N92" i="42"/>
  <c r="O92" i="42"/>
  <c r="P92" i="42"/>
  <c r="Q92" i="42"/>
  <c r="R92" i="42"/>
  <c r="S92" i="42"/>
  <c r="T92" i="42"/>
  <c r="U92" i="42"/>
  <c r="V92" i="42"/>
  <c r="W92" i="42"/>
  <c r="X92" i="42"/>
  <c r="Y92" i="42"/>
  <c r="Z92" i="42"/>
  <c r="AA92" i="42"/>
  <c r="AB92" i="42"/>
  <c r="AC92" i="42"/>
  <c r="AD92" i="42"/>
  <c r="AE92" i="42"/>
  <c r="AF92" i="42"/>
  <c r="AG92" i="42"/>
  <c r="AH92" i="42"/>
  <c r="AI92" i="42"/>
  <c r="AJ92" i="42"/>
  <c r="AK92" i="42"/>
  <c r="AL92" i="42"/>
  <c r="AM92" i="42"/>
  <c r="AN92" i="42"/>
  <c r="AO92" i="42"/>
  <c r="AP92" i="42"/>
  <c r="AQ92" i="42"/>
  <c r="AR92" i="42"/>
  <c r="AS92" i="42"/>
  <c r="AT92" i="42"/>
  <c r="AU92" i="42"/>
  <c r="AV92" i="42"/>
  <c r="AW92" i="42"/>
  <c r="AX92" i="42"/>
  <c r="G92" i="42"/>
  <c r="F93" i="42"/>
  <c r="F94" i="42"/>
  <c r="F95" i="42"/>
  <c r="F92" i="42"/>
  <c r="AW4" i="42"/>
  <c r="AW5" i="42"/>
  <c r="AW6" i="42"/>
  <c r="AW7" i="42"/>
  <c r="AW8" i="42"/>
  <c r="AW9" i="42"/>
  <c r="AW10" i="42"/>
  <c r="AW11" i="42"/>
  <c r="AW12" i="42"/>
  <c r="AW13" i="42"/>
  <c r="AW14" i="42"/>
  <c r="AW15" i="42"/>
  <c r="AW16" i="42"/>
  <c r="AW17" i="42"/>
  <c r="AW18" i="42"/>
  <c r="AW19" i="42"/>
  <c r="AW20" i="42"/>
  <c r="AW21" i="42"/>
  <c r="AW22" i="42"/>
  <c r="AW23" i="42"/>
  <c r="AW24" i="42"/>
  <c r="AW25" i="42"/>
  <c r="AW26" i="42"/>
  <c r="AW27" i="42"/>
  <c r="AW28" i="42"/>
  <c r="AW29" i="42"/>
  <c r="AW30" i="42"/>
  <c r="AW31" i="42"/>
  <c r="AW32" i="42"/>
  <c r="AW33" i="42"/>
  <c r="AW34" i="42"/>
  <c r="AW35" i="42"/>
  <c r="AW36" i="42"/>
  <c r="AW37" i="42"/>
  <c r="AW38" i="42"/>
  <c r="AW39" i="42"/>
  <c r="AW40" i="42"/>
  <c r="AW41" i="42"/>
  <c r="AW42" i="42"/>
  <c r="AW43" i="42"/>
  <c r="AW44" i="42"/>
  <c r="AW45" i="42"/>
  <c r="AW46" i="42"/>
  <c r="AW47" i="42"/>
  <c r="AW48" i="42"/>
  <c r="AW49" i="42"/>
  <c r="AW50" i="42"/>
  <c r="AW51" i="42"/>
  <c r="AW52" i="42"/>
  <c r="AW53" i="42"/>
  <c r="AW54" i="42"/>
  <c r="AW55" i="42"/>
  <c r="AW56" i="42"/>
  <c r="AW57" i="42"/>
  <c r="AW58" i="42"/>
  <c r="AW59" i="42"/>
  <c r="AW60" i="42"/>
  <c r="AW61" i="42"/>
  <c r="AW62" i="42"/>
  <c r="AW63" i="42"/>
  <c r="AW64" i="42"/>
  <c r="AW65" i="42"/>
  <c r="AW66" i="42"/>
  <c r="AW67" i="42"/>
  <c r="AW68" i="42"/>
  <c r="AW69" i="42"/>
  <c r="AW70" i="42"/>
  <c r="AW71" i="42"/>
  <c r="AW72" i="42"/>
  <c r="AW73" i="42"/>
  <c r="AW74" i="42"/>
  <c r="AW75" i="42"/>
  <c r="AW76" i="42"/>
  <c r="AW77" i="42"/>
  <c r="AW78" i="42"/>
  <c r="AW79" i="42"/>
  <c r="AW80" i="42"/>
  <c r="AW81" i="42"/>
  <c r="AW82" i="42"/>
  <c r="AW83" i="42"/>
  <c r="AW84" i="42"/>
  <c r="AW85" i="42"/>
  <c r="AW86" i="42"/>
  <c r="AW3" i="42"/>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3" i="7"/>
  <c r="F2" i="7"/>
  <c r="AW89" i="42" l="1"/>
  <c r="AW87" i="42"/>
  <c r="AV5" i="42"/>
  <c r="AV6" i="42"/>
  <c r="AV7" i="42"/>
  <c r="AV8" i="42"/>
  <c r="AV9" i="42"/>
  <c r="AV10" i="42"/>
  <c r="AV11" i="42"/>
  <c r="AV12" i="42"/>
  <c r="AV13" i="42"/>
  <c r="AV14" i="42"/>
  <c r="AV15" i="42"/>
  <c r="AV16" i="42"/>
  <c r="AV17" i="42"/>
  <c r="AV18" i="42"/>
  <c r="AV19" i="42"/>
  <c r="AV20" i="42"/>
  <c r="AV21" i="42"/>
  <c r="AV22" i="42"/>
  <c r="AV23" i="42"/>
  <c r="AV24" i="42"/>
  <c r="AV25" i="42"/>
  <c r="AV26" i="42"/>
  <c r="AV27" i="42"/>
  <c r="AV28" i="42"/>
  <c r="AV29" i="42"/>
  <c r="AV30" i="42"/>
  <c r="AV31" i="42"/>
  <c r="AV32" i="42"/>
  <c r="AV33" i="42"/>
  <c r="AV34" i="42"/>
  <c r="AV35" i="42"/>
  <c r="AV36" i="42"/>
  <c r="AV37" i="42"/>
  <c r="AV38" i="42"/>
  <c r="AV39" i="42"/>
  <c r="AV40" i="42"/>
  <c r="AV41" i="42"/>
  <c r="AV42" i="42"/>
  <c r="AV43" i="42"/>
  <c r="AV44" i="42"/>
  <c r="AV45" i="42"/>
  <c r="AV46" i="42"/>
  <c r="AV47" i="42"/>
  <c r="AV48" i="42"/>
  <c r="AV49" i="42"/>
  <c r="AV50" i="42"/>
  <c r="AV51" i="42"/>
  <c r="AV52" i="42"/>
  <c r="AV53" i="42"/>
  <c r="AV54" i="42"/>
  <c r="AV55" i="42"/>
  <c r="AV56" i="42"/>
  <c r="AV57" i="42"/>
  <c r="AV58" i="42"/>
  <c r="AV59" i="42"/>
  <c r="AV60" i="42"/>
  <c r="AV61" i="42"/>
  <c r="AV62" i="42"/>
  <c r="AV63" i="42"/>
  <c r="AV64" i="42"/>
  <c r="AV65" i="42"/>
  <c r="AV66" i="42"/>
  <c r="AV67" i="42"/>
  <c r="AV68" i="42"/>
  <c r="AV69" i="42"/>
  <c r="AV70" i="42"/>
  <c r="AV71" i="42"/>
  <c r="AV72" i="42"/>
  <c r="AV73" i="42"/>
  <c r="AV74" i="42"/>
  <c r="AV75" i="42"/>
  <c r="AV76" i="42"/>
  <c r="AV77" i="42"/>
  <c r="AV78" i="42"/>
  <c r="AV79" i="42"/>
  <c r="AV80" i="42"/>
  <c r="AV81" i="42"/>
  <c r="AV82" i="42"/>
  <c r="AV83" i="42"/>
  <c r="AV84" i="42"/>
  <c r="AV85" i="42"/>
  <c r="AV4" i="42"/>
  <c r="AV3" i="42"/>
  <c r="AV86" i="42" l="1"/>
  <c r="AU86" i="42"/>
  <c r="AV89" i="42" l="1"/>
  <c r="AV87" i="42"/>
  <c r="G3" i="7" l="1"/>
  <c r="AU4" i="42" s="1"/>
  <c r="G4" i="7"/>
  <c r="AU5" i="42" s="1"/>
  <c r="G5" i="7"/>
  <c r="AU6" i="42" s="1"/>
  <c r="G6" i="7"/>
  <c r="G7" i="7"/>
  <c r="G8" i="7"/>
  <c r="G9" i="7"/>
  <c r="G10" i="7"/>
  <c r="G11" i="7"/>
  <c r="AU12" i="42" s="1"/>
  <c r="G12" i="7"/>
  <c r="G13" i="7"/>
  <c r="AU14" i="42" s="1"/>
  <c r="G14" i="7"/>
  <c r="G15" i="7"/>
  <c r="G16" i="7"/>
  <c r="G17" i="7"/>
  <c r="G18" i="7"/>
  <c r="G19" i="7"/>
  <c r="AU20" i="42" s="1"/>
  <c r="G20" i="7"/>
  <c r="G21" i="7"/>
  <c r="AU22" i="42" s="1"/>
  <c r="G22" i="7"/>
  <c r="G23" i="7"/>
  <c r="G24" i="7"/>
  <c r="G25" i="7"/>
  <c r="G26" i="7"/>
  <c r="G27" i="7"/>
  <c r="AU28" i="42" s="1"/>
  <c r="G28" i="7"/>
  <c r="G29" i="7"/>
  <c r="AU30" i="42" s="1"/>
  <c r="G30" i="7"/>
  <c r="G31" i="7"/>
  <c r="G32" i="7"/>
  <c r="G33" i="7"/>
  <c r="G34" i="7"/>
  <c r="G35" i="7"/>
  <c r="AU36" i="42" s="1"/>
  <c r="G36" i="7"/>
  <c r="G37" i="7"/>
  <c r="AU38" i="42" s="1"/>
  <c r="G38" i="7"/>
  <c r="G39" i="7"/>
  <c r="G40" i="7"/>
  <c r="G41" i="7"/>
  <c r="G42" i="7"/>
  <c r="G43" i="7"/>
  <c r="AU44" i="42" s="1"/>
  <c r="G44" i="7"/>
  <c r="G45" i="7"/>
  <c r="AU46" i="42" s="1"/>
  <c r="G46" i="7"/>
  <c r="G47" i="7"/>
  <c r="G48" i="7"/>
  <c r="G49" i="7"/>
  <c r="G50" i="7"/>
  <c r="G51" i="7"/>
  <c r="AU52" i="42" s="1"/>
  <c r="G52" i="7"/>
  <c r="G53" i="7"/>
  <c r="AU54" i="42" s="1"/>
  <c r="G54" i="7"/>
  <c r="G55" i="7"/>
  <c r="G56" i="7"/>
  <c r="G57" i="7"/>
  <c r="G58" i="7"/>
  <c r="G59" i="7"/>
  <c r="AU60" i="42" s="1"/>
  <c r="G60" i="7"/>
  <c r="G61" i="7"/>
  <c r="AU62" i="42" s="1"/>
  <c r="G62" i="7"/>
  <c r="G63" i="7"/>
  <c r="G64" i="7"/>
  <c r="G65" i="7"/>
  <c r="G66" i="7"/>
  <c r="G67" i="7"/>
  <c r="AU68" i="42" s="1"/>
  <c r="G68" i="7"/>
  <c r="G69" i="7"/>
  <c r="AU70" i="42" s="1"/>
  <c r="G70" i="7"/>
  <c r="G71" i="7"/>
  <c r="G72" i="7"/>
  <c r="G73" i="7"/>
  <c r="G74" i="7"/>
  <c r="G75" i="7"/>
  <c r="AU76" i="42" s="1"/>
  <c r="G76" i="7"/>
  <c r="G77" i="7"/>
  <c r="AU78" i="42" s="1"/>
  <c r="G78" i="7"/>
  <c r="G79" i="7"/>
  <c r="G80" i="7"/>
  <c r="G81" i="7"/>
  <c r="G82" i="7"/>
  <c r="G83" i="7"/>
  <c r="AU84" i="42" s="1"/>
  <c r="G84" i="7"/>
  <c r="AU85" i="42" s="1"/>
  <c r="G85" i="7"/>
  <c r="G2" i="7"/>
  <c r="AU3" i="42" s="1"/>
  <c r="AU7" i="42"/>
  <c r="AU8" i="42"/>
  <c r="AU9" i="42"/>
  <c r="AU10" i="42"/>
  <c r="AU11" i="42"/>
  <c r="AU13" i="42"/>
  <c r="AU15" i="42"/>
  <c r="AU16" i="42"/>
  <c r="AU17" i="42"/>
  <c r="AU18" i="42"/>
  <c r="AU19" i="42"/>
  <c r="AU21" i="42"/>
  <c r="AU23" i="42"/>
  <c r="AU24" i="42"/>
  <c r="AU25" i="42"/>
  <c r="AU26" i="42"/>
  <c r="AU27" i="42"/>
  <c r="AU29" i="42"/>
  <c r="AU31" i="42"/>
  <c r="AU32" i="42"/>
  <c r="AU33" i="42"/>
  <c r="AU34" i="42"/>
  <c r="AU35" i="42"/>
  <c r="AU37" i="42"/>
  <c r="AU39" i="42"/>
  <c r="AU40" i="42"/>
  <c r="AU41" i="42"/>
  <c r="AU42" i="42"/>
  <c r="AU43" i="42"/>
  <c r="AU45" i="42"/>
  <c r="AU47" i="42"/>
  <c r="AU48" i="42"/>
  <c r="AU49" i="42"/>
  <c r="AU50" i="42"/>
  <c r="AU51" i="42"/>
  <c r="AU53" i="42"/>
  <c r="AU55" i="42"/>
  <c r="AU56" i="42"/>
  <c r="AU57" i="42"/>
  <c r="AU58" i="42"/>
  <c r="AU59" i="42"/>
  <c r="AU61" i="42"/>
  <c r="AU63" i="42"/>
  <c r="AU64" i="42"/>
  <c r="AU65" i="42"/>
  <c r="AU66" i="42"/>
  <c r="AU67" i="42"/>
  <c r="AU69" i="42"/>
  <c r="AU71" i="42"/>
  <c r="AU72" i="42"/>
  <c r="AU73" i="42"/>
  <c r="AU74" i="42"/>
  <c r="AU75" i="42"/>
  <c r="AU77" i="42"/>
  <c r="AU79" i="42"/>
  <c r="AU80" i="42"/>
  <c r="AU81" i="42"/>
  <c r="AU82" i="42"/>
  <c r="AU83" i="42"/>
  <c r="AT3" i="42"/>
  <c r="AU89" i="42" l="1"/>
  <c r="AT79" i="42"/>
  <c r="AT71" i="42"/>
  <c r="AT63" i="42"/>
  <c r="AT55" i="42"/>
  <c r="AT47" i="42"/>
  <c r="AT39" i="42"/>
  <c r="AT31" i="42"/>
  <c r="AT23" i="42"/>
  <c r="AT15" i="42"/>
  <c r="AT7" i="42"/>
  <c r="AT4" i="42"/>
  <c r="AT5" i="42"/>
  <c r="AT6" i="42"/>
  <c r="AT8" i="42"/>
  <c r="AT9" i="42"/>
  <c r="AT10" i="42"/>
  <c r="AT11" i="42"/>
  <c r="AT12" i="42"/>
  <c r="AT13" i="42"/>
  <c r="AT14" i="42"/>
  <c r="AT16" i="42"/>
  <c r="AT17" i="42"/>
  <c r="AT18" i="42"/>
  <c r="AT19" i="42"/>
  <c r="AT20" i="42"/>
  <c r="AT21" i="42"/>
  <c r="AT22" i="42"/>
  <c r="AT24" i="42"/>
  <c r="AT25" i="42"/>
  <c r="AT26" i="42"/>
  <c r="AT27" i="42"/>
  <c r="AT28" i="42"/>
  <c r="AT29" i="42"/>
  <c r="AT30" i="42"/>
  <c r="AT32" i="42"/>
  <c r="AT33" i="42"/>
  <c r="AT34" i="42"/>
  <c r="AT35" i="42"/>
  <c r="AT36" i="42"/>
  <c r="AT37" i="42"/>
  <c r="AT38" i="42"/>
  <c r="AT40" i="42"/>
  <c r="AT41" i="42"/>
  <c r="AT42" i="42"/>
  <c r="AT43" i="42"/>
  <c r="AT44" i="42"/>
  <c r="AT45" i="42"/>
  <c r="AT46" i="42"/>
  <c r="AT48" i="42"/>
  <c r="AT49" i="42"/>
  <c r="AT50" i="42"/>
  <c r="AT51" i="42"/>
  <c r="AT52" i="42"/>
  <c r="AT53" i="42"/>
  <c r="AT54" i="42"/>
  <c r="AT56" i="42"/>
  <c r="AT57" i="42"/>
  <c r="AT58" i="42"/>
  <c r="AT59" i="42"/>
  <c r="AT60" i="42"/>
  <c r="AT61" i="42"/>
  <c r="AT62" i="42"/>
  <c r="AT64" i="42"/>
  <c r="AT65" i="42"/>
  <c r="AT66" i="42"/>
  <c r="AT67" i="42"/>
  <c r="AT68" i="42"/>
  <c r="AT69" i="42"/>
  <c r="AT70" i="42"/>
  <c r="AT72" i="42"/>
  <c r="AT73" i="42"/>
  <c r="AT74" i="42"/>
  <c r="AT75" i="42"/>
  <c r="AT76" i="42"/>
  <c r="AT77" i="42"/>
  <c r="AT78" i="42"/>
  <c r="AT80" i="42"/>
  <c r="AT81" i="42"/>
  <c r="AT82" i="42"/>
  <c r="AT83" i="42"/>
  <c r="AT84" i="42"/>
  <c r="AT85" i="42"/>
  <c r="AT86" i="42"/>
  <c r="AT89" i="42" l="1"/>
  <c r="AU87" i="42"/>
  <c r="AT87" i="42" l="1"/>
  <c r="E3" i="42"/>
  <c r="E4" i="42"/>
  <c r="E5" i="42"/>
  <c r="E6" i="42"/>
  <c r="E7" i="42"/>
  <c r="E8" i="42"/>
  <c r="E9" i="42"/>
  <c r="E10" i="42"/>
  <c r="E11" i="42"/>
  <c r="E12" i="42"/>
  <c r="E13" i="42"/>
  <c r="E14" i="42"/>
  <c r="E15" i="42"/>
  <c r="E16" i="42"/>
  <c r="E17" i="42"/>
  <c r="E18" i="42"/>
  <c r="E19" i="42"/>
  <c r="E20" i="42"/>
  <c r="F20" i="42"/>
  <c r="G20" i="42"/>
  <c r="H20" i="42"/>
  <c r="I20" i="42"/>
  <c r="J20" i="42"/>
  <c r="K20" i="42"/>
  <c r="L20" i="42"/>
  <c r="M20" i="42"/>
  <c r="N20" i="42"/>
  <c r="O20" i="42"/>
  <c r="P20" i="42"/>
  <c r="Q20" i="42"/>
  <c r="R20" i="42"/>
  <c r="S20" i="42"/>
  <c r="T20" i="42"/>
  <c r="U20" i="42"/>
  <c r="V20" i="42"/>
  <c r="W20" i="42"/>
  <c r="X20" i="42"/>
  <c r="Y20" i="42"/>
  <c r="Z20" i="42"/>
  <c r="AA20" i="42"/>
  <c r="AB20" i="42"/>
  <c r="AC20" i="42"/>
  <c r="AD20" i="42"/>
  <c r="AE20" i="42"/>
  <c r="AF20" i="42"/>
  <c r="AG20" i="42"/>
  <c r="AH20" i="42"/>
  <c r="AI20" i="42"/>
  <c r="AJ20" i="42"/>
  <c r="AK20" i="42"/>
  <c r="AL20" i="42"/>
  <c r="AM20" i="42"/>
  <c r="AN20" i="42"/>
  <c r="AO20" i="42"/>
  <c r="AP20" i="42"/>
  <c r="AQ20" i="42"/>
  <c r="AR20" i="42"/>
  <c r="AS20" i="42"/>
  <c r="E21" i="42"/>
  <c r="F21" i="42"/>
  <c r="G21" i="42"/>
  <c r="H21" i="42"/>
  <c r="I21" i="42"/>
  <c r="J21" i="42"/>
  <c r="K21" i="42"/>
  <c r="L21" i="42"/>
  <c r="M21" i="42"/>
  <c r="N21" i="42"/>
  <c r="O21" i="42"/>
  <c r="P21" i="42"/>
  <c r="Q21" i="42"/>
  <c r="R21" i="42"/>
  <c r="S21" i="42"/>
  <c r="T21" i="42"/>
  <c r="U21" i="42"/>
  <c r="V21" i="42"/>
  <c r="W21" i="42"/>
  <c r="X21" i="42"/>
  <c r="Y21" i="42"/>
  <c r="Z21" i="42"/>
  <c r="AA21" i="42"/>
  <c r="AB21" i="42"/>
  <c r="AC21" i="42"/>
  <c r="AD21" i="42"/>
  <c r="AE21" i="42"/>
  <c r="AF21" i="42"/>
  <c r="AG21" i="42"/>
  <c r="AH21" i="42"/>
  <c r="AI21" i="42"/>
  <c r="AJ21" i="42"/>
  <c r="AK21" i="42"/>
  <c r="AL21" i="42"/>
  <c r="AM21" i="42"/>
  <c r="AN21" i="42"/>
  <c r="AO21" i="42"/>
  <c r="AP21" i="42"/>
  <c r="AQ21" i="42"/>
  <c r="AR21" i="42"/>
  <c r="AS21" i="42"/>
  <c r="E22" i="42"/>
  <c r="F22" i="42"/>
  <c r="G22" i="42"/>
  <c r="H22" i="42"/>
  <c r="I22" i="42"/>
  <c r="J22" i="42"/>
  <c r="K22" i="42"/>
  <c r="L22" i="42"/>
  <c r="M22" i="42"/>
  <c r="N22" i="42"/>
  <c r="O22" i="42"/>
  <c r="P22" i="42"/>
  <c r="Q22" i="42"/>
  <c r="R22" i="42"/>
  <c r="S22" i="42"/>
  <c r="T22" i="42"/>
  <c r="U22" i="42"/>
  <c r="V22" i="42"/>
  <c r="W22" i="42"/>
  <c r="X22" i="42"/>
  <c r="Y22" i="42"/>
  <c r="Z22" i="42"/>
  <c r="AA22" i="42"/>
  <c r="AB22" i="42"/>
  <c r="AC22" i="42"/>
  <c r="AD22" i="42"/>
  <c r="AE22" i="42"/>
  <c r="AF22" i="42"/>
  <c r="AG22" i="42"/>
  <c r="AH22" i="42"/>
  <c r="AI22" i="42"/>
  <c r="AJ22" i="42"/>
  <c r="AK22" i="42"/>
  <c r="AL22" i="42"/>
  <c r="AM22" i="42"/>
  <c r="AN22" i="42"/>
  <c r="AO22" i="42"/>
  <c r="AP22" i="42"/>
  <c r="AQ22" i="42"/>
  <c r="AR22" i="42"/>
  <c r="AS22" i="42"/>
  <c r="E23" i="42"/>
  <c r="E24" i="42"/>
  <c r="E25" i="42"/>
  <c r="E26" i="42"/>
  <c r="E27" i="42"/>
  <c r="F27" i="42"/>
  <c r="G27" i="42"/>
  <c r="H27" i="42"/>
  <c r="I27" i="42"/>
  <c r="J27" i="42"/>
  <c r="K27" i="42"/>
  <c r="L27" i="42"/>
  <c r="M27" i="42"/>
  <c r="N27" i="42"/>
  <c r="O27" i="42"/>
  <c r="P27" i="42"/>
  <c r="Q27" i="42"/>
  <c r="R27" i="42"/>
  <c r="S27" i="42"/>
  <c r="T27" i="42"/>
  <c r="U27" i="42"/>
  <c r="V27" i="42"/>
  <c r="W27" i="42"/>
  <c r="X27" i="42"/>
  <c r="Y27" i="42"/>
  <c r="Z27" i="42"/>
  <c r="AA27" i="42"/>
  <c r="AB27" i="42"/>
  <c r="AC27" i="42"/>
  <c r="AD27" i="42"/>
  <c r="AE27" i="42"/>
  <c r="AF27" i="42"/>
  <c r="AG27" i="42"/>
  <c r="AH27" i="42"/>
  <c r="AI27" i="42"/>
  <c r="AJ27" i="42"/>
  <c r="AK27" i="42"/>
  <c r="AL27" i="42"/>
  <c r="AM27" i="42"/>
  <c r="AN27" i="42"/>
  <c r="AO27" i="42"/>
  <c r="AP27" i="42"/>
  <c r="AQ27" i="42"/>
  <c r="AR27" i="42"/>
  <c r="AS27" i="42"/>
  <c r="E28" i="42"/>
  <c r="F28" i="42"/>
  <c r="G28" i="42"/>
  <c r="H28" i="42"/>
  <c r="I28" i="42"/>
  <c r="J28" i="42"/>
  <c r="K28" i="42"/>
  <c r="L28" i="42"/>
  <c r="M28" i="42"/>
  <c r="N28" i="42"/>
  <c r="O28" i="42"/>
  <c r="P28" i="42"/>
  <c r="Q28" i="42"/>
  <c r="R28" i="42"/>
  <c r="S28" i="42"/>
  <c r="T28" i="42"/>
  <c r="U28" i="42"/>
  <c r="V28" i="42"/>
  <c r="W28" i="42"/>
  <c r="X28" i="42"/>
  <c r="Y28" i="42"/>
  <c r="Z28" i="42"/>
  <c r="AA28" i="42"/>
  <c r="AB28" i="42"/>
  <c r="AC28" i="42"/>
  <c r="AD28" i="42"/>
  <c r="AE28" i="42"/>
  <c r="AF28" i="42"/>
  <c r="AG28" i="42"/>
  <c r="AH28" i="42"/>
  <c r="AI28" i="42"/>
  <c r="AJ28" i="42"/>
  <c r="AK28" i="42"/>
  <c r="AL28" i="42"/>
  <c r="AM28" i="42"/>
  <c r="AN28" i="42"/>
  <c r="AO28" i="42"/>
  <c r="AP28" i="42"/>
  <c r="AQ28" i="42"/>
  <c r="AR28" i="42"/>
  <c r="AS28" i="42"/>
  <c r="E29" i="42"/>
  <c r="E30" i="42"/>
  <c r="F30" i="42"/>
  <c r="G30" i="42"/>
  <c r="H30" i="42"/>
  <c r="I30" i="42"/>
  <c r="J30" i="42"/>
  <c r="K30" i="42"/>
  <c r="L30" i="42"/>
  <c r="M30" i="42"/>
  <c r="N30" i="42"/>
  <c r="O30" i="42"/>
  <c r="P30" i="42"/>
  <c r="Q30" i="42"/>
  <c r="R30" i="42"/>
  <c r="S30" i="42"/>
  <c r="T30" i="42"/>
  <c r="U30" i="42"/>
  <c r="V30" i="42"/>
  <c r="W30" i="42"/>
  <c r="X30" i="42"/>
  <c r="Y30" i="42"/>
  <c r="Z30" i="42"/>
  <c r="AA30" i="42"/>
  <c r="AB30" i="42"/>
  <c r="AC30" i="42"/>
  <c r="AD30" i="42"/>
  <c r="AE30" i="42"/>
  <c r="AF30" i="42"/>
  <c r="AG30" i="42"/>
  <c r="AH30" i="42"/>
  <c r="AI30" i="42"/>
  <c r="AJ30" i="42"/>
  <c r="AK30" i="42"/>
  <c r="AL30" i="42"/>
  <c r="AM30" i="42"/>
  <c r="AN30" i="42"/>
  <c r="AO30" i="42"/>
  <c r="AP30" i="42"/>
  <c r="AQ30" i="42"/>
  <c r="AR30" i="42"/>
  <c r="AS30" i="42"/>
  <c r="E31" i="42"/>
  <c r="E32" i="42"/>
  <c r="E33" i="42"/>
  <c r="F33" i="42"/>
  <c r="G33" i="42"/>
  <c r="H33" i="42"/>
  <c r="I33" i="42"/>
  <c r="J33" i="42"/>
  <c r="K33" i="42"/>
  <c r="L33" i="42"/>
  <c r="M33" i="42"/>
  <c r="N33" i="42"/>
  <c r="O33" i="42"/>
  <c r="P33" i="42"/>
  <c r="Q33" i="42"/>
  <c r="R33" i="42"/>
  <c r="S33" i="42"/>
  <c r="T33" i="42"/>
  <c r="U33" i="42"/>
  <c r="V33" i="42"/>
  <c r="W33" i="42"/>
  <c r="X33" i="42"/>
  <c r="Y33" i="42"/>
  <c r="Z33" i="42"/>
  <c r="AA33" i="42"/>
  <c r="AB33" i="42"/>
  <c r="AC33" i="42"/>
  <c r="AD33" i="42"/>
  <c r="AE33" i="42"/>
  <c r="AF33" i="42"/>
  <c r="AG33" i="42"/>
  <c r="AH33" i="42"/>
  <c r="AI33" i="42"/>
  <c r="AJ33" i="42"/>
  <c r="AK33" i="42"/>
  <c r="AL33" i="42"/>
  <c r="AM33" i="42"/>
  <c r="AN33" i="42"/>
  <c r="AO33" i="42"/>
  <c r="AP33" i="42"/>
  <c r="AQ33" i="42"/>
  <c r="AR33" i="42"/>
  <c r="AS33" i="42"/>
  <c r="E34" i="42"/>
  <c r="F34" i="42"/>
  <c r="G34" i="42"/>
  <c r="H34" i="42"/>
  <c r="I34" i="42"/>
  <c r="J34" i="42"/>
  <c r="K34" i="42"/>
  <c r="L34" i="42"/>
  <c r="M34" i="42"/>
  <c r="N34" i="42"/>
  <c r="O34" i="42"/>
  <c r="P34" i="42"/>
  <c r="Q34" i="42"/>
  <c r="R34" i="42"/>
  <c r="S34" i="42"/>
  <c r="T34" i="42"/>
  <c r="U34" i="42"/>
  <c r="V34" i="42"/>
  <c r="W34" i="42"/>
  <c r="X34" i="42"/>
  <c r="Y34" i="42"/>
  <c r="Z34" i="42"/>
  <c r="AA34" i="42"/>
  <c r="AB34" i="42"/>
  <c r="AC34" i="42"/>
  <c r="AD34" i="42"/>
  <c r="AE34" i="42"/>
  <c r="AF34" i="42"/>
  <c r="AG34" i="42"/>
  <c r="AH34" i="42"/>
  <c r="AI34" i="42"/>
  <c r="AJ34" i="42"/>
  <c r="AK34" i="42"/>
  <c r="AL34" i="42"/>
  <c r="AM34" i="42"/>
  <c r="AN34" i="42"/>
  <c r="AO34" i="42"/>
  <c r="AP34" i="42"/>
  <c r="AQ34" i="42"/>
  <c r="AR34" i="42"/>
  <c r="AS34" i="42"/>
  <c r="E35" i="42"/>
  <c r="E36" i="42"/>
  <c r="F36" i="42"/>
  <c r="G36" i="42"/>
  <c r="H36" i="42"/>
  <c r="I36" i="42"/>
  <c r="J36" i="42"/>
  <c r="K36" i="42"/>
  <c r="L36" i="42"/>
  <c r="M36" i="42"/>
  <c r="N36" i="42"/>
  <c r="O36" i="42"/>
  <c r="P36" i="42"/>
  <c r="Q36" i="42"/>
  <c r="R36" i="42"/>
  <c r="S36" i="42"/>
  <c r="T36" i="42"/>
  <c r="U36" i="42"/>
  <c r="V36" i="42"/>
  <c r="W36" i="42"/>
  <c r="X36" i="42"/>
  <c r="Y36" i="42"/>
  <c r="Z36" i="42"/>
  <c r="AA36" i="42"/>
  <c r="AB36" i="42"/>
  <c r="AC36" i="42"/>
  <c r="AD36" i="42"/>
  <c r="AE36" i="42"/>
  <c r="AF36" i="42"/>
  <c r="AG36" i="42"/>
  <c r="AH36" i="42"/>
  <c r="AI36" i="42"/>
  <c r="AJ36" i="42"/>
  <c r="AK36" i="42"/>
  <c r="AL36" i="42"/>
  <c r="AM36" i="42"/>
  <c r="AN36" i="42"/>
  <c r="AO36" i="42"/>
  <c r="AP36" i="42"/>
  <c r="AQ36" i="42"/>
  <c r="AR36" i="42"/>
  <c r="AS36" i="42"/>
  <c r="E37" i="42"/>
  <c r="F37" i="42"/>
  <c r="G37" i="42"/>
  <c r="H37" i="42"/>
  <c r="I37" i="42"/>
  <c r="J37" i="42"/>
  <c r="K37" i="42"/>
  <c r="L37" i="42"/>
  <c r="M37" i="42"/>
  <c r="N37" i="42"/>
  <c r="O37" i="42"/>
  <c r="P37" i="42"/>
  <c r="Q37" i="42"/>
  <c r="R37" i="42"/>
  <c r="S37" i="42"/>
  <c r="T37" i="42"/>
  <c r="U37" i="42"/>
  <c r="V37" i="42"/>
  <c r="W37" i="42"/>
  <c r="X37" i="42"/>
  <c r="Y37" i="42"/>
  <c r="Z37" i="42"/>
  <c r="AA37" i="42"/>
  <c r="AB37" i="42"/>
  <c r="AC37" i="42"/>
  <c r="AD37" i="42"/>
  <c r="AE37" i="42"/>
  <c r="AF37" i="42"/>
  <c r="AG37" i="42"/>
  <c r="AH37" i="42"/>
  <c r="AI37" i="42"/>
  <c r="AJ37" i="42"/>
  <c r="AK37" i="42"/>
  <c r="AL37" i="42"/>
  <c r="AM37" i="42"/>
  <c r="AN37" i="42"/>
  <c r="AO37" i="42"/>
  <c r="AP37" i="42"/>
  <c r="AQ37" i="42"/>
  <c r="AR37" i="42"/>
  <c r="AS37" i="42"/>
  <c r="E38" i="42"/>
  <c r="F38" i="42"/>
  <c r="G38" i="42"/>
  <c r="H38" i="42"/>
  <c r="I38" i="42"/>
  <c r="J38" i="42"/>
  <c r="K38" i="42"/>
  <c r="L38" i="42"/>
  <c r="M38" i="42"/>
  <c r="N38" i="42"/>
  <c r="O38" i="42"/>
  <c r="P38" i="42"/>
  <c r="Q38" i="42"/>
  <c r="R38" i="42"/>
  <c r="S38" i="42"/>
  <c r="T38" i="42"/>
  <c r="U38" i="42"/>
  <c r="V38" i="42"/>
  <c r="W38" i="42"/>
  <c r="X38" i="42"/>
  <c r="Y38" i="42"/>
  <c r="Z38" i="42"/>
  <c r="AA38" i="42"/>
  <c r="AB38" i="42"/>
  <c r="AC38" i="42"/>
  <c r="AD38" i="42"/>
  <c r="AE38" i="42"/>
  <c r="AF38" i="42"/>
  <c r="AG38" i="42"/>
  <c r="AH38" i="42"/>
  <c r="AI38" i="42"/>
  <c r="AJ38" i="42"/>
  <c r="AK38" i="42"/>
  <c r="AL38" i="42"/>
  <c r="AM38" i="42"/>
  <c r="AN38" i="42"/>
  <c r="AO38" i="42"/>
  <c r="AP38" i="42"/>
  <c r="AQ38" i="42"/>
  <c r="AR38" i="42"/>
  <c r="AS38" i="42"/>
  <c r="E39" i="42"/>
  <c r="F39" i="42"/>
  <c r="G39" i="42"/>
  <c r="H39" i="42"/>
  <c r="I39" i="42"/>
  <c r="J39" i="42"/>
  <c r="K39" i="42"/>
  <c r="L39" i="42"/>
  <c r="M39" i="42"/>
  <c r="N39" i="42"/>
  <c r="O39" i="42"/>
  <c r="P39" i="42"/>
  <c r="Q39" i="42"/>
  <c r="R39" i="42"/>
  <c r="S39" i="42"/>
  <c r="T39" i="42"/>
  <c r="U39" i="42"/>
  <c r="V39" i="42"/>
  <c r="W39" i="42"/>
  <c r="X39" i="42"/>
  <c r="Y39" i="42"/>
  <c r="Z39" i="42"/>
  <c r="AA39" i="42"/>
  <c r="AB39" i="42"/>
  <c r="AC39" i="42"/>
  <c r="AD39" i="42"/>
  <c r="AE39" i="42"/>
  <c r="AF39" i="42"/>
  <c r="AG39" i="42"/>
  <c r="AH39" i="42"/>
  <c r="AI39" i="42"/>
  <c r="AJ39" i="42"/>
  <c r="AK39" i="42"/>
  <c r="AL39" i="42"/>
  <c r="AM39" i="42"/>
  <c r="AN39" i="42"/>
  <c r="AO39" i="42"/>
  <c r="AP39" i="42"/>
  <c r="AQ39" i="42"/>
  <c r="AR39" i="42"/>
  <c r="AS39" i="42"/>
  <c r="E40" i="42"/>
  <c r="E41" i="42"/>
  <c r="F41" i="42"/>
  <c r="G41" i="42"/>
  <c r="H41" i="42"/>
  <c r="I41" i="42"/>
  <c r="J41" i="42"/>
  <c r="K41" i="42"/>
  <c r="L41" i="42"/>
  <c r="M41" i="42"/>
  <c r="N41" i="42"/>
  <c r="O41" i="42"/>
  <c r="P41" i="42"/>
  <c r="Q41" i="42"/>
  <c r="R41" i="42"/>
  <c r="S41" i="42"/>
  <c r="T41" i="42"/>
  <c r="U41" i="42"/>
  <c r="V41" i="42"/>
  <c r="W41" i="42"/>
  <c r="X41" i="42"/>
  <c r="Y41" i="42"/>
  <c r="Z41" i="42"/>
  <c r="AA41" i="42"/>
  <c r="AB41" i="42"/>
  <c r="AC41" i="42"/>
  <c r="AD41" i="42"/>
  <c r="AE41" i="42"/>
  <c r="AF41" i="42"/>
  <c r="AG41" i="42"/>
  <c r="AH41" i="42"/>
  <c r="AI41" i="42"/>
  <c r="AJ41" i="42"/>
  <c r="AK41" i="42"/>
  <c r="AL41" i="42"/>
  <c r="AM41" i="42"/>
  <c r="AN41" i="42"/>
  <c r="AO41" i="42"/>
  <c r="AP41" i="42"/>
  <c r="AQ41" i="42"/>
  <c r="AR41" i="42"/>
  <c r="AS41" i="42"/>
  <c r="E42" i="42"/>
  <c r="F42" i="42"/>
  <c r="G42" i="42"/>
  <c r="H42" i="42"/>
  <c r="I42" i="42"/>
  <c r="J42" i="42"/>
  <c r="K42" i="42"/>
  <c r="L42" i="42"/>
  <c r="M42" i="42"/>
  <c r="N42" i="42"/>
  <c r="O42" i="42"/>
  <c r="P42" i="42"/>
  <c r="Q42" i="42"/>
  <c r="R42" i="42"/>
  <c r="S42" i="42"/>
  <c r="T42" i="42"/>
  <c r="U42" i="42"/>
  <c r="V42" i="42"/>
  <c r="W42" i="42"/>
  <c r="X42" i="42"/>
  <c r="Y42" i="42"/>
  <c r="Z42" i="42"/>
  <c r="AA42" i="42"/>
  <c r="AB42" i="42"/>
  <c r="AC42" i="42"/>
  <c r="AD42" i="42"/>
  <c r="AE42" i="42"/>
  <c r="AF42" i="42"/>
  <c r="AG42" i="42"/>
  <c r="AH42" i="42"/>
  <c r="AI42" i="42"/>
  <c r="AJ42" i="42"/>
  <c r="AK42" i="42"/>
  <c r="AL42" i="42"/>
  <c r="AM42" i="42"/>
  <c r="AN42" i="42"/>
  <c r="AO42" i="42"/>
  <c r="AP42" i="42"/>
  <c r="AQ42" i="42"/>
  <c r="AR42" i="42"/>
  <c r="AS42" i="42"/>
  <c r="E43" i="42"/>
  <c r="E44" i="42"/>
  <c r="F44" i="42"/>
  <c r="G44" i="42"/>
  <c r="H44" i="42"/>
  <c r="I44" i="42"/>
  <c r="J44" i="42"/>
  <c r="K44" i="42"/>
  <c r="L44" i="42"/>
  <c r="M44" i="42"/>
  <c r="N44" i="42"/>
  <c r="O44" i="42"/>
  <c r="P44" i="42"/>
  <c r="Q44" i="42"/>
  <c r="R44" i="42"/>
  <c r="S44" i="42"/>
  <c r="T44" i="42"/>
  <c r="U44" i="42"/>
  <c r="V44" i="42"/>
  <c r="W44" i="42"/>
  <c r="X44" i="42"/>
  <c r="Y44" i="42"/>
  <c r="Z44" i="42"/>
  <c r="AA44" i="42"/>
  <c r="AB44" i="42"/>
  <c r="AC44" i="42"/>
  <c r="AD44" i="42"/>
  <c r="AE44" i="42"/>
  <c r="AF44" i="42"/>
  <c r="AG44" i="42"/>
  <c r="AH44" i="42"/>
  <c r="AI44" i="42"/>
  <c r="AJ44" i="42"/>
  <c r="AK44" i="42"/>
  <c r="AL44" i="42"/>
  <c r="AM44" i="42"/>
  <c r="AN44" i="42"/>
  <c r="AO44" i="42"/>
  <c r="AP44" i="42"/>
  <c r="AQ44" i="42"/>
  <c r="AR44" i="42"/>
  <c r="AS44" i="42"/>
  <c r="E45" i="42"/>
  <c r="E46" i="42"/>
  <c r="E47" i="42"/>
  <c r="E48" i="42"/>
  <c r="E49" i="42"/>
  <c r="E50" i="42"/>
  <c r="E51" i="42"/>
  <c r="E52" i="42"/>
  <c r="E53" i="42"/>
  <c r="E54" i="42"/>
  <c r="E55" i="42"/>
  <c r="E56" i="42"/>
  <c r="E57" i="42"/>
  <c r="E58" i="42"/>
  <c r="E59" i="42"/>
  <c r="E60" i="42"/>
  <c r="E61" i="42"/>
  <c r="E62" i="42"/>
  <c r="E63" i="42"/>
  <c r="E64" i="42"/>
  <c r="E65" i="42"/>
  <c r="E66" i="42"/>
  <c r="F66" i="42"/>
  <c r="G66" i="42"/>
  <c r="H66" i="42"/>
  <c r="I66" i="42"/>
  <c r="J66" i="42"/>
  <c r="K66" i="42"/>
  <c r="L66" i="42"/>
  <c r="M66" i="42"/>
  <c r="N66" i="42"/>
  <c r="O66" i="42"/>
  <c r="P66" i="42"/>
  <c r="Q66" i="42"/>
  <c r="R66" i="42"/>
  <c r="S66" i="42"/>
  <c r="T66" i="42"/>
  <c r="U66" i="42"/>
  <c r="V66" i="42"/>
  <c r="W66" i="42"/>
  <c r="X66" i="42"/>
  <c r="Y66" i="42"/>
  <c r="Z66" i="42"/>
  <c r="AA66" i="42"/>
  <c r="AB66" i="42"/>
  <c r="AC66" i="42"/>
  <c r="AD66" i="42"/>
  <c r="AE66" i="42"/>
  <c r="AF66" i="42"/>
  <c r="AG66" i="42"/>
  <c r="AH66" i="42"/>
  <c r="AI66" i="42"/>
  <c r="AJ66" i="42"/>
  <c r="AK66" i="42"/>
  <c r="AL66" i="42"/>
  <c r="AM66" i="42"/>
  <c r="AN66" i="42"/>
  <c r="AO66" i="42"/>
  <c r="AP66" i="42"/>
  <c r="AQ66" i="42"/>
  <c r="AR66" i="42"/>
  <c r="AS66" i="42"/>
  <c r="E67" i="42"/>
  <c r="E68" i="42"/>
  <c r="E69" i="42"/>
  <c r="E70" i="42"/>
  <c r="E71" i="42"/>
  <c r="E72" i="42"/>
  <c r="F72" i="42"/>
  <c r="G72" i="42"/>
  <c r="H72" i="42"/>
  <c r="I72" i="42"/>
  <c r="J72" i="42"/>
  <c r="K72" i="42"/>
  <c r="L72" i="42"/>
  <c r="M72" i="42"/>
  <c r="N72" i="42"/>
  <c r="O72" i="42"/>
  <c r="P72" i="42"/>
  <c r="Q72" i="42"/>
  <c r="R72" i="42"/>
  <c r="S72" i="42"/>
  <c r="T72" i="42"/>
  <c r="U72" i="42"/>
  <c r="V72" i="42"/>
  <c r="W72" i="42"/>
  <c r="X72" i="42"/>
  <c r="Y72" i="42"/>
  <c r="Z72" i="42"/>
  <c r="AA72" i="42"/>
  <c r="AB72" i="42"/>
  <c r="AC72" i="42"/>
  <c r="AD72" i="42"/>
  <c r="AE72" i="42"/>
  <c r="AF72" i="42"/>
  <c r="AG72" i="42"/>
  <c r="AH72" i="42"/>
  <c r="AI72" i="42"/>
  <c r="AJ72" i="42"/>
  <c r="AK72" i="42"/>
  <c r="AL72" i="42"/>
  <c r="AM72" i="42"/>
  <c r="AN72" i="42"/>
  <c r="AO72" i="42"/>
  <c r="AP72" i="42"/>
  <c r="AQ72" i="42"/>
  <c r="AR72" i="42"/>
  <c r="AS72" i="42"/>
  <c r="E73" i="42"/>
  <c r="F73" i="42"/>
  <c r="G73" i="42"/>
  <c r="H73" i="42"/>
  <c r="I73" i="42"/>
  <c r="J73" i="42"/>
  <c r="K73" i="42"/>
  <c r="L73" i="42"/>
  <c r="M73" i="42"/>
  <c r="N73" i="42"/>
  <c r="O73" i="42"/>
  <c r="P73" i="42"/>
  <c r="Q73" i="42"/>
  <c r="R73" i="42"/>
  <c r="S73" i="42"/>
  <c r="T73" i="42"/>
  <c r="U73" i="42"/>
  <c r="V73" i="42"/>
  <c r="W73" i="42"/>
  <c r="X73" i="42"/>
  <c r="Y73" i="42"/>
  <c r="Z73" i="42"/>
  <c r="AA73" i="42"/>
  <c r="AB73" i="42"/>
  <c r="AC73" i="42"/>
  <c r="AD73" i="42"/>
  <c r="AE73" i="42"/>
  <c r="AF73" i="42"/>
  <c r="AG73" i="42"/>
  <c r="AH73" i="42"/>
  <c r="AI73" i="42"/>
  <c r="AJ73" i="42"/>
  <c r="AK73" i="42"/>
  <c r="AL73" i="42"/>
  <c r="AM73" i="42"/>
  <c r="AN73" i="42"/>
  <c r="AO73" i="42"/>
  <c r="AP73" i="42"/>
  <c r="AQ73" i="42"/>
  <c r="AR73" i="42"/>
  <c r="AS73" i="42"/>
  <c r="E74" i="42"/>
  <c r="F74" i="42"/>
  <c r="G74" i="42"/>
  <c r="H74" i="42"/>
  <c r="I74" i="42"/>
  <c r="J74" i="42"/>
  <c r="K74" i="42"/>
  <c r="L74" i="42"/>
  <c r="M74" i="42"/>
  <c r="N74" i="42"/>
  <c r="O74" i="42"/>
  <c r="P74" i="42"/>
  <c r="Q74" i="42"/>
  <c r="R74" i="42"/>
  <c r="S74" i="42"/>
  <c r="T74" i="42"/>
  <c r="U74" i="42"/>
  <c r="V74" i="42"/>
  <c r="W74" i="42"/>
  <c r="X74" i="42"/>
  <c r="Y74" i="42"/>
  <c r="Z74" i="42"/>
  <c r="AA74" i="42"/>
  <c r="AB74" i="42"/>
  <c r="AC74" i="42"/>
  <c r="AD74" i="42"/>
  <c r="AE74" i="42"/>
  <c r="AF74" i="42"/>
  <c r="AG74" i="42"/>
  <c r="AH74" i="42"/>
  <c r="AI74" i="42"/>
  <c r="AJ74" i="42"/>
  <c r="AK74" i="42"/>
  <c r="AL74" i="42"/>
  <c r="AM74" i="42"/>
  <c r="AN74" i="42"/>
  <c r="AO74" i="42"/>
  <c r="AP74" i="42"/>
  <c r="AQ74" i="42"/>
  <c r="AR74" i="42"/>
  <c r="AS74" i="42"/>
  <c r="E75" i="42"/>
  <c r="E76" i="42"/>
  <c r="F76" i="42"/>
  <c r="G76" i="42"/>
  <c r="H76" i="42"/>
  <c r="I76" i="42"/>
  <c r="J76" i="42"/>
  <c r="K76" i="42"/>
  <c r="L76" i="42"/>
  <c r="M76" i="42"/>
  <c r="N76" i="42"/>
  <c r="O76" i="42"/>
  <c r="P76" i="42"/>
  <c r="Q76" i="42"/>
  <c r="R76" i="42"/>
  <c r="S76" i="42"/>
  <c r="T76" i="42"/>
  <c r="U76" i="42"/>
  <c r="V76" i="42"/>
  <c r="W76" i="42"/>
  <c r="X76" i="42"/>
  <c r="Y76" i="42"/>
  <c r="Z76" i="42"/>
  <c r="AA76" i="42"/>
  <c r="AB76" i="42"/>
  <c r="AC76" i="42"/>
  <c r="AD76" i="42"/>
  <c r="AE76" i="42"/>
  <c r="AF76" i="42"/>
  <c r="AG76" i="42"/>
  <c r="AH76" i="42"/>
  <c r="AI76" i="42"/>
  <c r="AJ76" i="42"/>
  <c r="AK76" i="42"/>
  <c r="AL76" i="42"/>
  <c r="AM76" i="42"/>
  <c r="AN76" i="42"/>
  <c r="AO76" i="42"/>
  <c r="AP76" i="42"/>
  <c r="AQ76" i="42"/>
  <c r="AR76" i="42"/>
  <c r="AS76" i="42"/>
  <c r="E77" i="42"/>
  <c r="F77" i="42"/>
  <c r="G77" i="42"/>
  <c r="H77" i="42"/>
  <c r="I77" i="42"/>
  <c r="J77" i="42"/>
  <c r="K77" i="42"/>
  <c r="L77" i="42"/>
  <c r="M77" i="42"/>
  <c r="N77" i="42"/>
  <c r="O77" i="42"/>
  <c r="P77" i="42"/>
  <c r="Q77" i="42"/>
  <c r="R77" i="42"/>
  <c r="S77" i="42"/>
  <c r="T77" i="42"/>
  <c r="U77" i="42"/>
  <c r="V77" i="42"/>
  <c r="W77" i="42"/>
  <c r="X77" i="42"/>
  <c r="Y77" i="42"/>
  <c r="Z77" i="42"/>
  <c r="AA77" i="42"/>
  <c r="AB77" i="42"/>
  <c r="AC77" i="42"/>
  <c r="AD77" i="42"/>
  <c r="AE77" i="42"/>
  <c r="AF77" i="42"/>
  <c r="AG77" i="42"/>
  <c r="AH77" i="42"/>
  <c r="AI77" i="42"/>
  <c r="AJ77" i="42"/>
  <c r="AK77" i="42"/>
  <c r="AL77" i="42"/>
  <c r="AM77" i="42"/>
  <c r="AN77" i="42"/>
  <c r="AO77" i="42"/>
  <c r="AP77" i="42"/>
  <c r="AQ77" i="42"/>
  <c r="AR77" i="42"/>
  <c r="AS77" i="42"/>
  <c r="E78" i="42"/>
  <c r="E79" i="42"/>
  <c r="E80" i="42"/>
  <c r="F80" i="42"/>
  <c r="G80" i="42"/>
  <c r="H80" i="42"/>
  <c r="I80" i="42"/>
  <c r="J80" i="42"/>
  <c r="K80" i="42"/>
  <c r="L80" i="42"/>
  <c r="M80" i="42"/>
  <c r="N80" i="42"/>
  <c r="O80" i="42"/>
  <c r="P80" i="42"/>
  <c r="Q80" i="42"/>
  <c r="R80" i="42"/>
  <c r="S80" i="42"/>
  <c r="T80" i="42"/>
  <c r="U80" i="42"/>
  <c r="V80" i="42"/>
  <c r="W80" i="42"/>
  <c r="X80" i="42"/>
  <c r="Y80" i="42"/>
  <c r="Z80" i="42"/>
  <c r="AA80" i="42"/>
  <c r="AB80" i="42"/>
  <c r="AC80" i="42"/>
  <c r="AD80" i="42"/>
  <c r="AE80" i="42"/>
  <c r="AF80" i="42"/>
  <c r="AG80" i="42"/>
  <c r="AH80" i="42"/>
  <c r="AI80" i="42"/>
  <c r="AJ80" i="42"/>
  <c r="AK80" i="42"/>
  <c r="AL80" i="42"/>
  <c r="AM80" i="42"/>
  <c r="AN80" i="42"/>
  <c r="AO80" i="42"/>
  <c r="AP80" i="42"/>
  <c r="AQ80" i="42"/>
  <c r="AR80" i="42"/>
  <c r="AS80" i="42"/>
  <c r="E81" i="42"/>
  <c r="F81" i="42"/>
  <c r="G81" i="42"/>
  <c r="H81" i="42"/>
  <c r="I81" i="42"/>
  <c r="J81" i="42"/>
  <c r="K81" i="42"/>
  <c r="L81" i="42"/>
  <c r="M81" i="42"/>
  <c r="N81" i="42"/>
  <c r="O81" i="42"/>
  <c r="P81" i="42"/>
  <c r="Q81" i="42"/>
  <c r="R81" i="42"/>
  <c r="S81" i="42"/>
  <c r="T81" i="42"/>
  <c r="U81" i="42"/>
  <c r="V81" i="42"/>
  <c r="W81" i="42"/>
  <c r="X81" i="42"/>
  <c r="Y81" i="42"/>
  <c r="Z81" i="42"/>
  <c r="AA81" i="42"/>
  <c r="AB81" i="42"/>
  <c r="AC81" i="42"/>
  <c r="AD81" i="42"/>
  <c r="AE81" i="42"/>
  <c r="AF81" i="42"/>
  <c r="AG81" i="42"/>
  <c r="AH81" i="42"/>
  <c r="AI81" i="42"/>
  <c r="AJ81" i="42"/>
  <c r="AK81" i="42"/>
  <c r="AL81" i="42"/>
  <c r="AM81" i="42"/>
  <c r="AN81" i="42"/>
  <c r="AO81" i="42"/>
  <c r="AP81" i="42"/>
  <c r="AQ81" i="42"/>
  <c r="AR81" i="42"/>
  <c r="AS81" i="42"/>
  <c r="E82" i="42"/>
  <c r="E83" i="42"/>
  <c r="F83" i="42"/>
  <c r="G83" i="42"/>
  <c r="H83" i="42"/>
  <c r="I83" i="42"/>
  <c r="J83" i="42"/>
  <c r="K83" i="42"/>
  <c r="L83" i="42"/>
  <c r="M83" i="42"/>
  <c r="N83" i="42"/>
  <c r="O83" i="42"/>
  <c r="P83" i="42"/>
  <c r="Q83" i="42"/>
  <c r="R83" i="42"/>
  <c r="S83" i="42"/>
  <c r="T83" i="42"/>
  <c r="U83" i="42"/>
  <c r="V83" i="42"/>
  <c r="W83" i="42"/>
  <c r="X83" i="42"/>
  <c r="Y83" i="42"/>
  <c r="Z83" i="42"/>
  <c r="AA83" i="42"/>
  <c r="AB83" i="42"/>
  <c r="AC83" i="42"/>
  <c r="AD83" i="42"/>
  <c r="AE83" i="42"/>
  <c r="AF83" i="42"/>
  <c r="AG83" i="42"/>
  <c r="AH83" i="42"/>
  <c r="AI83" i="42"/>
  <c r="AJ83" i="42"/>
  <c r="AK83" i="42"/>
  <c r="AL83" i="42"/>
  <c r="AM83" i="42"/>
  <c r="AN83" i="42"/>
  <c r="AO83" i="42"/>
  <c r="AP83" i="42"/>
  <c r="AQ83" i="42"/>
  <c r="AR83" i="42"/>
  <c r="AS83" i="42"/>
  <c r="E84" i="42"/>
  <c r="E85" i="42"/>
  <c r="E86" i="42"/>
  <c r="F86" i="42"/>
  <c r="G86" i="42"/>
  <c r="H86" i="42"/>
  <c r="I86" i="42"/>
  <c r="J86" i="42"/>
  <c r="K86" i="42"/>
  <c r="L86" i="42"/>
  <c r="M86" i="42"/>
  <c r="N86" i="42"/>
  <c r="O86" i="42"/>
  <c r="P86" i="42"/>
  <c r="Q86" i="42"/>
  <c r="R86" i="42"/>
  <c r="S86" i="42"/>
  <c r="T86" i="42"/>
  <c r="U86" i="42"/>
  <c r="V86" i="42"/>
  <c r="W86" i="42"/>
  <c r="X86" i="42"/>
  <c r="Y86" i="42"/>
  <c r="Z86" i="42"/>
  <c r="AA86" i="42"/>
  <c r="AB86" i="42"/>
  <c r="AC86" i="42"/>
  <c r="AD86" i="42"/>
  <c r="AE86" i="42"/>
  <c r="AF86" i="42"/>
  <c r="AG86" i="42"/>
  <c r="AH86" i="42"/>
  <c r="AI86" i="42"/>
  <c r="AJ86" i="42"/>
  <c r="AK86" i="42"/>
  <c r="AL86" i="42"/>
  <c r="AM86" i="42"/>
  <c r="AN86" i="42"/>
  <c r="AO86" i="42"/>
  <c r="AP86" i="42"/>
  <c r="AQ86" i="42"/>
  <c r="AR86" i="42"/>
  <c r="AS86" i="42"/>
  <c r="F3" i="42"/>
  <c r="G3" i="42"/>
  <c r="H3" i="42"/>
  <c r="I3" i="42"/>
  <c r="J3" i="42"/>
  <c r="K3" i="42"/>
  <c r="L3" i="42"/>
  <c r="M3" i="42"/>
  <c r="N3" i="42"/>
  <c r="O3" i="42"/>
  <c r="P3" i="42"/>
  <c r="Q3" i="42"/>
  <c r="R3" i="42"/>
  <c r="S3" i="42"/>
  <c r="T3" i="42"/>
  <c r="U3" i="42"/>
  <c r="V3" i="42"/>
  <c r="W3" i="42"/>
  <c r="X3" i="42"/>
  <c r="Y3" i="42"/>
  <c r="Z3" i="42"/>
  <c r="AA3" i="42"/>
  <c r="AB3" i="42"/>
  <c r="AC3" i="42"/>
  <c r="AD3" i="42"/>
  <c r="AE3" i="42"/>
  <c r="AF3" i="42"/>
  <c r="AG3" i="42"/>
  <c r="AH3" i="42"/>
  <c r="AI3" i="42"/>
  <c r="AJ3" i="42"/>
  <c r="AK3" i="42"/>
  <c r="AL3" i="42"/>
  <c r="AM3" i="42"/>
  <c r="AN3" i="42"/>
  <c r="AO3" i="42"/>
  <c r="AP3" i="42"/>
  <c r="AQ3" i="42"/>
  <c r="AR3" i="42"/>
  <c r="AS3" i="42"/>
  <c r="F4" i="42"/>
  <c r="G4" i="42"/>
  <c r="H4" i="42"/>
  <c r="I4" i="42"/>
  <c r="J4" i="42"/>
  <c r="K4" i="42"/>
  <c r="L4" i="42"/>
  <c r="M4" i="42"/>
  <c r="N4" i="42"/>
  <c r="O4" i="42"/>
  <c r="P4" i="42"/>
  <c r="Q4" i="42"/>
  <c r="R4" i="42"/>
  <c r="S4" i="42"/>
  <c r="T4" i="42"/>
  <c r="U4" i="42"/>
  <c r="V4" i="42"/>
  <c r="W4" i="42"/>
  <c r="X4" i="42"/>
  <c r="Y4" i="42"/>
  <c r="Z4" i="42"/>
  <c r="AA4" i="42"/>
  <c r="AB4" i="42"/>
  <c r="AC4" i="42"/>
  <c r="AD4" i="42"/>
  <c r="AE4" i="42"/>
  <c r="AF4" i="42"/>
  <c r="AG4" i="42"/>
  <c r="AH4" i="42"/>
  <c r="AI4" i="42"/>
  <c r="AJ4" i="42"/>
  <c r="AK4" i="42"/>
  <c r="AL4" i="42"/>
  <c r="AM4" i="42"/>
  <c r="AN4" i="42"/>
  <c r="AO4" i="42"/>
  <c r="AP4" i="42"/>
  <c r="AQ4" i="42"/>
  <c r="AR4" i="42"/>
  <c r="AS4" i="42"/>
  <c r="F5" i="42"/>
  <c r="G5" i="42"/>
  <c r="H5" i="42"/>
  <c r="I5" i="42"/>
  <c r="J5" i="42"/>
  <c r="K5" i="42"/>
  <c r="L5" i="42"/>
  <c r="M5" i="42"/>
  <c r="N5" i="42"/>
  <c r="O5" i="42"/>
  <c r="P5" i="42"/>
  <c r="Q5" i="42"/>
  <c r="R5" i="42"/>
  <c r="S5" i="42"/>
  <c r="T5" i="42"/>
  <c r="U5" i="42"/>
  <c r="V5" i="42"/>
  <c r="W5" i="42"/>
  <c r="X5" i="42"/>
  <c r="Y5" i="42"/>
  <c r="Z5" i="42"/>
  <c r="AA5" i="42"/>
  <c r="AB5" i="42"/>
  <c r="AC5" i="42"/>
  <c r="AD5" i="42"/>
  <c r="AE5" i="42"/>
  <c r="AF5" i="42"/>
  <c r="AG5" i="42"/>
  <c r="AH5" i="42"/>
  <c r="AI5" i="42"/>
  <c r="AJ5" i="42"/>
  <c r="AK5" i="42"/>
  <c r="AL5" i="42"/>
  <c r="AM5" i="42"/>
  <c r="AN5" i="42"/>
  <c r="AO5" i="42"/>
  <c r="AP5" i="42"/>
  <c r="AQ5" i="42"/>
  <c r="AR5" i="42"/>
  <c r="AS5" i="42"/>
  <c r="F6" i="42"/>
  <c r="G6" i="42"/>
  <c r="H6" i="42"/>
  <c r="I6" i="42"/>
  <c r="J6" i="42"/>
  <c r="K6" i="42"/>
  <c r="L6" i="42"/>
  <c r="M6" i="42"/>
  <c r="N6" i="42"/>
  <c r="O6" i="42"/>
  <c r="P6" i="42"/>
  <c r="Q6" i="42"/>
  <c r="R6" i="42"/>
  <c r="S6" i="42"/>
  <c r="T6" i="42"/>
  <c r="U6" i="42"/>
  <c r="V6" i="42"/>
  <c r="W6" i="42"/>
  <c r="X6" i="42"/>
  <c r="Y6" i="42"/>
  <c r="Z6" i="42"/>
  <c r="AA6" i="42"/>
  <c r="AB6" i="42"/>
  <c r="AC6" i="42"/>
  <c r="AD6" i="42"/>
  <c r="AE6" i="42"/>
  <c r="AF6" i="42"/>
  <c r="AG6" i="42"/>
  <c r="AH6" i="42"/>
  <c r="AI6" i="42"/>
  <c r="AJ6" i="42"/>
  <c r="AK6" i="42"/>
  <c r="AL6" i="42"/>
  <c r="AM6" i="42"/>
  <c r="AN6" i="42"/>
  <c r="AO6" i="42"/>
  <c r="AP6" i="42"/>
  <c r="AQ6" i="42"/>
  <c r="AR6" i="42"/>
  <c r="AS6" i="42"/>
  <c r="F7" i="42"/>
  <c r="G7" i="42"/>
  <c r="H7" i="42"/>
  <c r="I7" i="42"/>
  <c r="J7" i="42"/>
  <c r="K7" i="42"/>
  <c r="L7" i="42"/>
  <c r="M7" i="42"/>
  <c r="N7" i="42"/>
  <c r="O7" i="42"/>
  <c r="P7" i="42"/>
  <c r="Q7" i="42"/>
  <c r="R7" i="42"/>
  <c r="S7" i="42"/>
  <c r="T7" i="42"/>
  <c r="U7" i="42"/>
  <c r="V7" i="42"/>
  <c r="W7" i="42"/>
  <c r="X7" i="42"/>
  <c r="Y7" i="42"/>
  <c r="Z7" i="42"/>
  <c r="AA7" i="42"/>
  <c r="AB7" i="42"/>
  <c r="AC7" i="42"/>
  <c r="AD7" i="42"/>
  <c r="AE7" i="42"/>
  <c r="AF7" i="42"/>
  <c r="AG7" i="42"/>
  <c r="AH7" i="42"/>
  <c r="AI7" i="42"/>
  <c r="AJ7" i="42"/>
  <c r="AK7" i="42"/>
  <c r="AL7" i="42"/>
  <c r="AM7" i="42"/>
  <c r="AN7" i="42"/>
  <c r="AO7" i="42"/>
  <c r="AP7" i="42"/>
  <c r="AQ7" i="42"/>
  <c r="AR7" i="42"/>
  <c r="AS7" i="42"/>
  <c r="F8" i="42"/>
  <c r="G8" i="42"/>
  <c r="H8" i="42"/>
  <c r="I8" i="42"/>
  <c r="J8" i="42"/>
  <c r="K8" i="42"/>
  <c r="L8" i="42"/>
  <c r="M8" i="42"/>
  <c r="N8" i="42"/>
  <c r="O8" i="42"/>
  <c r="P8" i="42"/>
  <c r="Q8" i="42"/>
  <c r="R8" i="42"/>
  <c r="S8" i="42"/>
  <c r="T8" i="42"/>
  <c r="U8" i="42"/>
  <c r="V8" i="42"/>
  <c r="W8" i="42"/>
  <c r="X8" i="42"/>
  <c r="Y8" i="42"/>
  <c r="Z8" i="42"/>
  <c r="AA8" i="42"/>
  <c r="AB8" i="42"/>
  <c r="AC8" i="42"/>
  <c r="AD8" i="42"/>
  <c r="AE8" i="42"/>
  <c r="AF8" i="42"/>
  <c r="AG8" i="42"/>
  <c r="AH8" i="42"/>
  <c r="AI8" i="42"/>
  <c r="AJ8" i="42"/>
  <c r="AK8" i="42"/>
  <c r="AL8" i="42"/>
  <c r="AM8" i="42"/>
  <c r="AN8" i="42"/>
  <c r="AO8" i="42"/>
  <c r="AP8" i="42"/>
  <c r="AQ8" i="42"/>
  <c r="AR8" i="42"/>
  <c r="AS8" i="42"/>
  <c r="F9" i="42"/>
  <c r="G9" i="42"/>
  <c r="H9" i="42"/>
  <c r="I9" i="42"/>
  <c r="J9" i="42"/>
  <c r="K9" i="42"/>
  <c r="L9" i="42"/>
  <c r="M9" i="42"/>
  <c r="N9" i="42"/>
  <c r="O9" i="42"/>
  <c r="P9" i="42"/>
  <c r="Q9" i="42"/>
  <c r="R9" i="42"/>
  <c r="S9" i="42"/>
  <c r="T9" i="42"/>
  <c r="U9" i="42"/>
  <c r="V9" i="42"/>
  <c r="W9" i="42"/>
  <c r="X9" i="42"/>
  <c r="Y9" i="42"/>
  <c r="Z9" i="42"/>
  <c r="AA9" i="42"/>
  <c r="AB9" i="42"/>
  <c r="AC9" i="42"/>
  <c r="AD9" i="42"/>
  <c r="AE9" i="42"/>
  <c r="AF9" i="42"/>
  <c r="AG9" i="42"/>
  <c r="AH9" i="42"/>
  <c r="AI9" i="42"/>
  <c r="AJ9" i="42"/>
  <c r="AK9" i="42"/>
  <c r="AL9" i="42"/>
  <c r="AM9" i="42"/>
  <c r="AN9" i="42"/>
  <c r="AO9" i="42"/>
  <c r="AP9" i="42"/>
  <c r="AQ9" i="42"/>
  <c r="AR9" i="42"/>
  <c r="AS9" i="42"/>
  <c r="F10" i="42"/>
  <c r="G10" i="42"/>
  <c r="H10" i="42"/>
  <c r="I10" i="42"/>
  <c r="J10" i="42"/>
  <c r="K10" i="42"/>
  <c r="L10" i="42"/>
  <c r="M10" i="42"/>
  <c r="N10" i="42"/>
  <c r="O10" i="42"/>
  <c r="P10" i="42"/>
  <c r="Q10" i="42"/>
  <c r="R10" i="42"/>
  <c r="S10" i="42"/>
  <c r="T10" i="42"/>
  <c r="U10" i="42"/>
  <c r="V10" i="42"/>
  <c r="W10" i="42"/>
  <c r="X10" i="42"/>
  <c r="Y10" i="42"/>
  <c r="Z10" i="42"/>
  <c r="AA10" i="42"/>
  <c r="AB10" i="42"/>
  <c r="AC10" i="42"/>
  <c r="AD10" i="42"/>
  <c r="AE10" i="42"/>
  <c r="AF10" i="42"/>
  <c r="AG10" i="42"/>
  <c r="AH10" i="42"/>
  <c r="AI10" i="42"/>
  <c r="AJ10" i="42"/>
  <c r="AK10" i="42"/>
  <c r="AL10" i="42"/>
  <c r="AM10" i="42"/>
  <c r="AN10" i="42"/>
  <c r="AO10" i="42"/>
  <c r="AP10" i="42"/>
  <c r="AQ10" i="42"/>
  <c r="AR10" i="42"/>
  <c r="AS10" i="42"/>
  <c r="F11" i="42"/>
  <c r="G11" i="42"/>
  <c r="H11" i="42"/>
  <c r="I11" i="42"/>
  <c r="J11" i="42"/>
  <c r="K11" i="42"/>
  <c r="L11" i="42"/>
  <c r="M11" i="42"/>
  <c r="N11" i="42"/>
  <c r="O11" i="42"/>
  <c r="P11" i="42"/>
  <c r="Q11" i="42"/>
  <c r="R11" i="42"/>
  <c r="S11" i="42"/>
  <c r="T11" i="42"/>
  <c r="U11" i="42"/>
  <c r="V11" i="42"/>
  <c r="W11" i="42"/>
  <c r="X11" i="42"/>
  <c r="Y11" i="42"/>
  <c r="Z11" i="42"/>
  <c r="AA11" i="42"/>
  <c r="AB11" i="42"/>
  <c r="AC11" i="42"/>
  <c r="AD11" i="42"/>
  <c r="AE11" i="42"/>
  <c r="AF11" i="42"/>
  <c r="AG11" i="42"/>
  <c r="AH11" i="42"/>
  <c r="AI11" i="42"/>
  <c r="AJ11" i="42"/>
  <c r="AK11" i="42"/>
  <c r="AL11" i="42"/>
  <c r="AM11" i="42"/>
  <c r="AN11" i="42"/>
  <c r="AO11" i="42"/>
  <c r="AP11" i="42"/>
  <c r="AQ11" i="42"/>
  <c r="AR11" i="42"/>
  <c r="AS11" i="42"/>
  <c r="F12" i="42"/>
  <c r="G12" i="42"/>
  <c r="H12" i="42"/>
  <c r="I12" i="42"/>
  <c r="J12" i="42"/>
  <c r="K12" i="42"/>
  <c r="L12" i="42"/>
  <c r="M12" i="42"/>
  <c r="N12" i="42"/>
  <c r="O12" i="42"/>
  <c r="P12" i="42"/>
  <c r="Q12" i="42"/>
  <c r="R12" i="42"/>
  <c r="S12" i="42"/>
  <c r="T12" i="42"/>
  <c r="U12" i="42"/>
  <c r="V12" i="42"/>
  <c r="W12" i="42"/>
  <c r="X12" i="42"/>
  <c r="Y12" i="42"/>
  <c r="Z12" i="42"/>
  <c r="AA12" i="42"/>
  <c r="AB12" i="42"/>
  <c r="AC12" i="42"/>
  <c r="AD12" i="42"/>
  <c r="AE12" i="42"/>
  <c r="AF12" i="42"/>
  <c r="AG12" i="42"/>
  <c r="AH12" i="42"/>
  <c r="AI12" i="42"/>
  <c r="AJ12" i="42"/>
  <c r="AK12" i="42"/>
  <c r="AL12" i="42"/>
  <c r="AM12" i="42"/>
  <c r="AN12" i="42"/>
  <c r="AO12" i="42"/>
  <c r="AP12" i="42"/>
  <c r="AQ12" i="42"/>
  <c r="AR12" i="42"/>
  <c r="AS12" i="42"/>
  <c r="F13" i="42"/>
  <c r="G13" i="42"/>
  <c r="H13" i="42"/>
  <c r="I13" i="42"/>
  <c r="J13" i="42"/>
  <c r="K13" i="42"/>
  <c r="L13" i="42"/>
  <c r="M13" i="42"/>
  <c r="N13" i="42"/>
  <c r="O13" i="42"/>
  <c r="P13" i="42"/>
  <c r="Q13" i="42"/>
  <c r="R13" i="42"/>
  <c r="S13" i="42"/>
  <c r="T13" i="42"/>
  <c r="U13" i="42"/>
  <c r="V13" i="42"/>
  <c r="W13" i="42"/>
  <c r="X13" i="42"/>
  <c r="Y13" i="42"/>
  <c r="Z13" i="42"/>
  <c r="AA13" i="42"/>
  <c r="AB13" i="42"/>
  <c r="AC13" i="42"/>
  <c r="AD13" i="42"/>
  <c r="AE13" i="42"/>
  <c r="AF13" i="42"/>
  <c r="AG13" i="42"/>
  <c r="AH13" i="42"/>
  <c r="AI13" i="42"/>
  <c r="AJ13" i="42"/>
  <c r="AK13" i="42"/>
  <c r="AL13" i="42"/>
  <c r="AM13" i="42"/>
  <c r="AN13" i="42"/>
  <c r="AO13" i="42"/>
  <c r="AP13" i="42"/>
  <c r="AQ13" i="42"/>
  <c r="AR13" i="42"/>
  <c r="AS13" i="42"/>
  <c r="F14" i="42"/>
  <c r="G14" i="42"/>
  <c r="H14" i="42"/>
  <c r="I14" i="42"/>
  <c r="J14" i="42"/>
  <c r="K14" i="42"/>
  <c r="L14" i="42"/>
  <c r="M14" i="42"/>
  <c r="N14" i="42"/>
  <c r="O14" i="42"/>
  <c r="P14" i="42"/>
  <c r="Q14" i="42"/>
  <c r="R14" i="42"/>
  <c r="S14" i="42"/>
  <c r="T14" i="42"/>
  <c r="U14" i="42"/>
  <c r="V14" i="42"/>
  <c r="W14" i="42"/>
  <c r="X14" i="42"/>
  <c r="Y14" i="42"/>
  <c r="Z14" i="42"/>
  <c r="AA14" i="42"/>
  <c r="AB14" i="42"/>
  <c r="AC14" i="42"/>
  <c r="AD14" i="42"/>
  <c r="AE14" i="42"/>
  <c r="AF14" i="42"/>
  <c r="AG14" i="42"/>
  <c r="AH14" i="42"/>
  <c r="AI14" i="42"/>
  <c r="AJ14" i="42"/>
  <c r="AK14" i="42"/>
  <c r="AL14" i="42"/>
  <c r="AM14" i="42"/>
  <c r="AN14" i="42"/>
  <c r="AO14" i="42"/>
  <c r="AP14" i="42"/>
  <c r="AQ14" i="42"/>
  <c r="AR14" i="42"/>
  <c r="AS14" i="42"/>
  <c r="F15" i="42"/>
  <c r="G15" i="42"/>
  <c r="H15" i="42"/>
  <c r="I15" i="42"/>
  <c r="J15" i="42"/>
  <c r="K15" i="42"/>
  <c r="L15" i="42"/>
  <c r="M15" i="42"/>
  <c r="N15" i="42"/>
  <c r="O15" i="42"/>
  <c r="P15" i="42"/>
  <c r="Q15" i="42"/>
  <c r="R15" i="42"/>
  <c r="S15" i="42"/>
  <c r="T15" i="42"/>
  <c r="U15" i="42"/>
  <c r="V15" i="42"/>
  <c r="W15" i="42"/>
  <c r="X15" i="42"/>
  <c r="Y15" i="42"/>
  <c r="Z15" i="42"/>
  <c r="AA15" i="42"/>
  <c r="AB15" i="42"/>
  <c r="AC15" i="42"/>
  <c r="AD15" i="42"/>
  <c r="AE15" i="42"/>
  <c r="AF15" i="42"/>
  <c r="AG15" i="42"/>
  <c r="AH15" i="42"/>
  <c r="AI15" i="42"/>
  <c r="AJ15" i="42"/>
  <c r="AK15" i="42"/>
  <c r="AL15" i="42"/>
  <c r="AM15" i="42"/>
  <c r="AN15" i="42"/>
  <c r="AO15" i="42"/>
  <c r="AP15" i="42"/>
  <c r="AQ15" i="42"/>
  <c r="AR15" i="42"/>
  <c r="AS15" i="42"/>
  <c r="F16" i="42"/>
  <c r="G16" i="42"/>
  <c r="H16" i="42"/>
  <c r="I16" i="42"/>
  <c r="J16" i="42"/>
  <c r="K16" i="42"/>
  <c r="L16" i="42"/>
  <c r="M16" i="42"/>
  <c r="N16" i="42"/>
  <c r="O16" i="42"/>
  <c r="P16" i="42"/>
  <c r="Q16" i="42"/>
  <c r="R16" i="42"/>
  <c r="S16" i="42"/>
  <c r="T16" i="42"/>
  <c r="U16" i="42"/>
  <c r="V16" i="42"/>
  <c r="W16" i="42"/>
  <c r="X16" i="42"/>
  <c r="Y16" i="42"/>
  <c r="Z16" i="42"/>
  <c r="AA16" i="42"/>
  <c r="AB16" i="42"/>
  <c r="AC16" i="42"/>
  <c r="AD16" i="42"/>
  <c r="AE16" i="42"/>
  <c r="AF16" i="42"/>
  <c r="AG16" i="42"/>
  <c r="AH16" i="42"/>
  <c r="AI16" i="42"/>
  <c r="AJ16" i="42"/>
  <c r="AK16" i="42"/>
  <c r="AL16" i="42"/>
  <c r="AM16" i="42"/>
  <c r="AN16" i="42"/>
  <c r="AO16" i="42"/>
  <c r="AP16" i="42"/>
  <c r="AQ16" i="42"/>
  <c r="AR16" i="42"/>
  <c r="AS16" i="42"/>
  <c r="F17" i="42"/>
  <c r="G17" i="42"/>
  <c r="H17" i="42"/>
  <c r="I17" i="42"/>
  <c r="J17" i="42"/>
  <c r="K17" i="42"/>
  <c r="L17" i="42"/>
  <c r="M17" i="42"/>
  <c r="N17" i="42"/>
  <c r="O17" i="42"/>
  <c r="P17" i="42"/>
  <c r="Q17" i="42"/>
  <c r="R17" i="42"/>
  <c r="S17" i="42"/>
  <c r="T17" i="42"/>
  <c r="U17" i="42"/>
  <c r="V17" i="42"/>
  <c r="W17" i="42"/>
  <c r="X17" i="42"/>
  <c r="Y17" i="42"/>
  <c r="Z17" i="42"/>
  <c r="AA17" i="42"/>
  <c r="AB17" i="42"/>
  <c r="AC17" i="42"/>
  <c r="AD17" i="42"/>
  <c r="AE17" i="42"/>
  <c r="AF17" i="42"/>
  <c r="AG17" i="42"/>
  <c r="AH17" i="42"/>
  <c r="AI17" i="42"/>
  <c r="AJ17" i="42"/>
  <c r="AK17" i="42"/>
  <c r="AL17" i="42"/>
  <c r="AM17" i="42"/>
  <c r="AN17" i="42"/>
  <c r="AO17" i="42"/>
  <c r="AP17" i="42"/>
  <c r="AQ17" i="42"/>
  <c r="AR17" i="42"/>
  <c r="AS17" i="42"/>
  <c r="F18" i="42"/>
  <c r="G18" i="42"/>
  <c r="H18" i="42"/>
  <c r="I18" i="42"/>
  <c r="J18" i="42"/>
  <c r="K18" i="42"/>
  <c r="L18" i="42"/>
  <c r="M18" i="42"/>
  <c r="N18" i="42"/>
  <c r="O18" i="42"/>
  <c r="P18" i="42"/>
  <c r="Q18" i="42"/>
  <c r="R18" i="42"/>
  <c r="S18" i="42"/>
  <c r="T18" i="42"/>
  <c r="U18" i="42"/>
  <c r="V18" i="42"/>
  <c r="W18" i="42"/>
  <c r="X18" i="42"/>
  <c r="Y18" i="42"/>
  <c r="Z18" i="42"/>
  <c r="AA18" i="42"/>
  <c r="AB18" i="42"/>
  <c r="AC18" i="42"/>
  <c r="AD18" i="42"/>
  <c r="AE18" i="42"/>
  <c r="AF18" i="42"/>
  <c r="AG18" i="42"/>
  <c r="AH18" i="42"/>
  <c r="AI18" i="42"/>
  <c r="AJ18" i="42"/>
  <c r="AK18" i="42"/>
  <c r="AL18" i="42"/>
  <c r="AM18" i="42"/>
  <c r="AN18" i="42"/>
  <c r="AO18" i="42"/>
  <c r="AP18" i="42"/>
  <c r="AQ18" i="42"/>
  <c r="AR18" i="42"/>
  <c r="AS18" i="42"/>
  <c r="F19" i="42"/>
  <c r="G19" i="42"/>
  <c r="H19" i="42"/>
  <c r="I19" i="42"/>
  <c r="J19" i="42"/>
  <c r="K19" i="42"/>
  <c r="L19" i="42"/>
  <c r="M19" i="42"/>
  <c r="N19" i="42"/>
  <c r="O19" i="42"/>
  <c r="P19" i="42"/>
  <c r="Q19" i="42"/>
  <c r="R19" i="42"/>
  <c r="S19" i="42"/>
  <c r="T19" i="42"/>
  <c r="U19" i="42"/>
  <c r="V19" i="42"/>
  <c r="W19" i="42"/>
  <c r="X19" i="42"/>
  <c r="Y19" i="42"/>
  <c r="Z19" i="42"/>
  <c r="AA19" i="42"/>
  <c r="AB19" i="42"/>
  <c r="AC19" i="42"/>
  <c r="AD19" i="42"/>
  <c r="AE19" i="42"/>
  <c r="AF19" i="42"/>
  <c r="AG19" i="42"/>
  <c r="AH19" i="42"/>
  <c r="AI19" i="42"/>
  <c r="AJ19" i="42"/>
  <c r="AK19" i="42"/>
  <c r="AL19" i="42"/>
  <c r="AM19" i="42"/>
  <c r="AN19" i="42"/>
  <c r="AO19" i="42"/>
  <c r="AP19" i="42"/>
  <c r="AQ19" i="42"/>
  <c r="AR19" i="42"/>
  <c r="AS19" i="42"/>
  <c r="F23" i="42"/>
  <c r="G23" i="42"/>
  <c r="H23" i="42"/>
  <c r="I23" i="42"/>
  <c r="J23" i="42"/>
  <c r="K23" i="42"/>
  <c r="L23" i="42"/>
  <c r="M23" i="42"/>
  <c r="N23" i="42"/>
  <c r="O23" i="42"/>
  <c r="P23" i="42"/>
  <c r="Q23" i="42"/>
  <c r="R23" i="42"/>
  <c r="S23" i="42"/>
  <c r="T23" i="42"/>
  <c r="U23" i="42"/>
  <c r="V23" i="42"/>
  <c r="W23" i="42"/>
  <c r="X23" i="42"/>
  <c r="Y23" i="42"/>
  <c r="Z23" i="42"/>
  <c r="AA23" i="42"/>
  <c r="AB23" i="42"/>
  <c r="AC23" i="42"/>
  <c r="AD23" i="42"/>
  <c r="AE23" i="42"/>
  <c r="AF23" i="42"/>
  <c r="AG23" i="42"/>
  <c r="AH23" i="42"/>
  <c r="AI23" i="42"/>
  <c r="AJ23" i="42"/>
  <c r="AK23" i="42"/>
  <c r="AL23" i="42"/>
  <c r="AM23" i="42"/>
  <c r="AN23" i="42"/>
  <c r="AO23" i="42"/>
  <c r="AP23" i="42"/>
  <c r="AQ23" i="42"/>
  <c r="AR23" i="42"/>
  <c r="AS23" i="42"/>
  <c r="F24" i="42"/>
  <c r="G24" i="42"/>
  <c r="H24" i="42"/>
  <c r="I24" i="42"/>
  <c r="J24" i="42"/>
  <c r="K24" i="42"/>
  <c r="L24" i="42"/>
  <c r="M24" i="42"/>
  <c r="N24" i="42"/>
  <c r="O24" i="42"/>
  <c r="P24" i="42"/>
  <c r="Q24" i="42"/>
  <c r="R24" i="42"/>
  <c r="S24" i="42"/>
  <c r="T24" i="42"/>
  <c r="U24" i="42"/>
  <c r="V24" i="42"/>
  <c r="W24" i="42"/>
  <c r="X24" i="42"/>
  <c r="Y24" i="42"/>
  <c r="Z24" i="42"/>
  <c r="AA24" i="42"/>
  <c r="AB24" i="42"/>
  <c r="AC24" i="42"/>
  <c r="AD24" i="42"/>
  <c r="AE24" i="42"/>
  <c r="AF24" i="42"/>
  <c r="AG24" i="42"/>
  <c r="AH24" i="42"/>
  <c r="AI24" i="42"/>
  <c r="AJ24" i="42"/>
  <c r="AK24" i="42"/>
  <c r="AL24" i="42"/>
  <c r="AM24" i="42"/>
  <c r="AN24" i="42"/>
  <c r="AO24" i="42"/>
  <c r="AP24" i="42"/>
  <c r="AQ24" i="42"/>
  <c r="AR24" i="42"/>
  <c r="AS24" i="42"/>
  <c r="F25" i="42"/>
  <c r="G25" i="42"/>
  <c r="H25" i="42"/>
  <c r="I25" i="42"/>
  <c r="J25" i="42"/>
  <c r="K25" i="42"/>
  <c r="L25" i="42"/>
  <c r="M25" i="42"/>
  <c r="N25" i="42"/>
  <c r="O25" i="42"/>
  <c r="P25" i="42"/>
  <c r="Q25" i="42"/>
  <c r="R25" i="42"/>
  <c r="S25" i="42"/>
  <c r="T25" i="42"/>
  <c r="U25" i="42"/>
  <c r="V25" i="42"/>
  <c r="W25" i="42"/>
  <c r="X25" i="42"/>
  <c r="Y25" i="42"/>
  <c r="Z25" i="42"/>
  <c r="AA25" i="42"/>
  <c r="AB25" i="42"/>
  <c r="AC25" i="42"/>
  <c r="AD25" i="42"/>
  <c r="AE25" i="42"/>
  <c r="AF25" i="42"/>
  <c r="AG25" i="42"/>
  <c r="AH25" i="42"/>
  <c r="AI25" i="42"/>
  <c r="AJ25" i="42"/>
  <c r="AK25" i="42"/>
  <c r="AL25" i="42"/>
  <c r="AM25" i="42"/>
  <c r="AN25" i="42"/>
  <c r="AO25" i="42"/>
  <c r="AP25" i="42"/>
  <c r="AQ25" i="42"/>
  <c r="AR25" i="42"/>
  <c r="AS25" i="42"/>
  <c r="F26" i="42"/>
  <c r="G26" i="42"/>
  <c r="H26" i="42"/>
  <c r="I26" i="42"/>
  <c r="J26" i="42"/>
  <c r="K26" i="42"/>
  <c r="L26" i="42"/>
  <c r="M26" i="42"/>
  <c r="N26" i="42"/>
  <c r="P26" i="42"/>
  <c r="Q26" i="42"/>
  <c r="R26" i="42"/>
  <c r="S26" i="42"/>
  <c r="T26" i="42"/>
  <c r="U26" i="42"/>
  <c r="V26" i="42"/>
  <c r="W26" i="42"/>
  <c r="X26" i="42"/>
  <c r="Y26" i="42"/>
  <c r="Z26" i="42"/>
  <c r="AA26" i="42"/>
  <c r="AB26" i="42"/>
  <c r="AC26" i="42"/>
  <c r="AD26" i="42"/>
  <c r="AE26" i="42"/>
  <c r="AF26" i="42"/>
  <c r="AG26" i="42"/>
  <c r="AH26" i="42"/>
  <c r="AI26" i="42"/>
  <c r="AJ26" i="42"/>
  <c r="AK26" i="42"/>
  <c r="AL26" i="42"/>
  <c r="AM26" i="42"/>
  <c r="AN26" i="42"/>
  <c r="AO26" i="42"/>
  <c r="AP26" i="42"/>
  <c r="AQ26" i="42"/>
  <c r="AR26" i="42"/>
  <c r="AS26" i="42"/>
  <c r="F29" i="42"/>
  <c r="G29" i="42"/>
  <c r="H29" i="42"/>
  <c r="I29" i="42"/>
  <c r="J29" i="42"/>
  <c r="K29" i="42"/>
  <c r="L29" i="42"/>
  <c r="M29" i="42"/>
  <c r="N29" i="42"/>
  <c r="O29" i="42"/>
  <c r="P29" i="42"/>
  <c r="Q29" i="42"/>
  <c r="R29" i="42"/>
  <c r="S29" i="42"/>
  <c r="T29" i="42"/>
  <c r="U29" i="42"/>
  <c r="V29" i="42"/>
  <c r="W29" i="42"/>
  <c r="X29" i="42"/>
  <c r="Y29" i="42"/>
  <c r="Z29" i="42"/>
  <c r="AA29" i="42"/>
  <c r="AB29" i="42"/>
  <c r="AC29" i="42"/>
  <c r="AD29" i="42"/>
  <c r="AE29" i="42"/>
  <c r="AF29" i="42"/>
  <c r="AG29" i="42"/>
  <c r="AH29" i="42"/>
  <c r="AI29" i="42"/>
  <c r="AJ29" i="42"/>
  <c r="AK29" i="42"/>
  <c r="AL29" i="42"/>
  <c r="AM29" i="42"/>
  <c r="AN29" i="42"/>
  <c r="AO29" i="42"/>
  <c r="AP29" i="42"/>
  <c r="AQ29" i="42"/>
  <c r="AR29" i="42"/>
  <c r="AS29" i="42"/>
  <c r="F31" i="42"/>
  <c r="G31" i="42"/>
  <c r="H31" i="42"/>
  <c r="I31" i="42"/>
  <c r="J31" i="42"/>
  <c r="K31" i="42"/>
  <c r="L31" i="42"/>
  <c r="M31" i="42"/>
  <c r="N31" i="42"/>
  <c r="O31" i="42"/>
  <c r="P31" i="42"/>
  <c r="Q31" i="42"/>
  <c r="R31" i="42"/>
  <c r="S31" i="42"/>
  <c r="T31" i="42"/>
  <c r="U31" i="42"/>
  <c r="V31" i="42"/>
  <c r="W31" i="42"/>
  <c r="X31" i="42"/>
  <c r="Y31" i="42"/>
  <c r="Z31" i="42"/>
  <c r="AA31" i="42"/>
  <c r="AB31" i="42"/>
  <c r="AC31" i="42"/>
  <c r="AD31" i="42"/>
  <c r="AE31" i="42"/>
  <c r="AF31" i="42"/>
  <c r="AG31" i="42"/>
  <c r="AH31" i="42"/>
  <c r="AI31" i="42"/>
  <c r="AJ31" i="42"/>
  <c r="AK31" i="42"/>
  <c r="AL31" i="42"/>
  <c r="AM31" i="42"/>
  <c r="AN31" i="42"/>
  <c r="AO31" i="42"/>
  <c r="AP31" i="42"/>
  <c r="AQ31" i="42"/>
  <c r="AR31" i="42"/>
  <c r="AS31" i="42"/>
  <c r="F32" i="42"/>
  <c r="G32" i="42"/>
  <c r="H32" i="42"/>
  <c r="I32" i="42"/>
  <c r="J32" i="42"/>
  <c r="K32" i="42"/>
  <c r="L32" i="42"/>
  <c r="M32" i="42"/>
  <c r="N32" i="42"/>
  <c r="O32" i="42"/>
  <c r="P32" i="42"/>
  <c r="Q32" i="42"/>
  <c r="R32" i="42"/>
  <c r="S32" i="42"/>
  <c r="T32" i="42"/>
  <c r="U32" i="42"/>
  <c r="V32" i="42"/>
  <c r="W32" i="42"/>
  <c r="X32" i="42"/>
  <c r="Y32" i="42"/>
  <c r="Z32" i="42"/>
  <c r="AA32" i="42"/>
  <c r="AB32" i="42"/>
  <c r="AC32" i="42"/>
  <c r="AD32" i="42"/>
  <c r="AE32" i="42"/>
  <c r="AF32" i="42"/>
  <c r="AG32" i="42"/>
  <c r="AH32" i="42"/>
  <c r="AI32" i="42"/>
  <c r="AJ32" i="42"/>
  <c r="AK32" i="42"/>
  <c r="AL32" i="42"/>
  <c r="AM32" i="42"/>
  <c r="AN32" i="42"/>
  <c r="AO32" i="42"/>
  <c r="AP32" i="42"/>
  <c r="AQ32" i="42"/>
  <c r="AR32" i="42"/>
  <c r="AS32" i="42"/>
  <c r="F35" i="42"/>
  <c r="G35" i="42"/>
  <c r="H35" i="42"/>
  <c r="I35" i="42"/>
  <c r="J35" i="42"/>
  <c r="K35" i="42"/>
  <c r="L35" i="42"/>
  <c r="M35" i="42"/>
  <c r="N35" i="42"/>
  <c r="O35" i="42"/>
  <c r="P35" i="42"/>
  <c r="Q35" i="42"/>
  <c r="R35" i="42"/>
  <c r="S35" i="42"/>
  <c r="T35" i="42"/>
  <c r="U35" i="42"/>
  <c r="V35" i="42"/>
  <c r="W35" i="42"/>
  <c r="X35" i="42"/>
  <c r="Y35" i="42"/>
  <c r="Z35" i="42"/>
  <c r="AA35" i="42"/>
  <c r="AB35" i="42"/>
  <c r="AC35" i="42"/>
  <c r="AD35" i="42"/>
  <c r="AE35" i="42"/>
  <c r="AF35" i="42"/>
  <c r="AG35" i="42"/>
  <c r="AH35" i="42"/>
  <c r="AI35" i="42"/>
  <c r="AJ35" i="42"/>
  <c r="AK35" i="42"/>
  <c r="AL35" i="42"/>
  <c r="AM35" i="42"/>
  <c r="AN35" i="42"/>
  <c r="AO35" i="42"/>
  <c r="AP35" i="42"/>
  <c r="AQ35" i="42"/>
  <c r="AR35" i="42"/>
  <c r="AS35" i="42"/>
  <c r="F40" i="42"/>
  <c r="G40" i="42"/>
  <c r="H40" i="42"/>
  <c r="I40" i="42"/>
  <c r="J40" i="42"/>
  <c r="K40" i="42"/>
  <c r="L40" i="42"/>
  <c r="M40" i="42"/>
  <c r="N40" i="42"/>
  <c r="O40" i="42"/>
  <c r="P40" i="42"/>
  <c r="Q40" i="42"/>
  <c r="R40" i="42"/>
  <c r="S40" i="42"/>
  <c r="T40" i="42"/>
  <c r="U40" i="42"/>
  <c r="V40" i="42"/>
  <c r="W40" i="42"/>
  <c r="X40" i="42"/>
  <c r="Y40" i="42"/>
  <c r="Z40" i="42"/>
  <c r="AA40" i="42"/>
  <c r="AB40" i="42"/>
  <c r="AC40" i="42"/>
  <c r="AD40" i="42"/>
  <c r="AE40" i="42"/>
  <c r="AF40" i="42"/>
  <c r="AG40" i="42"/>
  <c r="AH40" i="42"/>
  <c r="AI40" i="42"/>
  <c r="AJ40" i="42"/>
  <c r="AK40" i="42"/>
  <c r="AL40" i="42"/>
  <c r="AM40" i="42"/>
  <c r="AN40" i="42"/>
  <c r="AO40" i="42"/>
  <c r="AP40" i="42"/>
  <c r="AQ40" i="42"/>
  <c r="AR40" i="42"/>
  <c r="AS40" i="42"/>
  <c r="F48" i="42"/>
  <c r="G48" i="42"/>
  <c r="H48" i="42"/>
  <c r="I48" i="42"/>
  <c r="J48" i="42"/>
  <c r="K48" i="42"/>
  <c r="L48" i="42"/>
  <c r="M48" i="42"/>
  <c r="N48" i="42"/>
  <c r="O48" i="42"/>
  <c r="P48" i="42"/>
  <c r="Q48" i="42"/>
  <c r="R48" i="42"/>
  <c r="S48" i="42"/>
  <c r="T48" i="42"/>
  <c r="U48" i="42"/>
  <c r="V48" i="42"/>
  <c r="W48" i="42"/>
  <c r="X48" i="42"/>
  <c r="Y48" i="42"/>
  <c r="Z48" i="42"/>
  <c r="AA48" i="42"/>
  <c r="AB48" i="42"/>
  <c r="AC48" i="42"/>
  <c r="AD48" i="42"/>
  <c r="AE48" i="42"/>
  <c r="AF48" i="42"/>
  <c r="AG48" i="42"/>
  <c r="AH48" i="42"/>
  <c r="AI48" i="42"/>
  <c r="AJ48" i="42"/>
  <c r="AK48" i="42"/>
  <c r="AL48" i="42"/>
  <c r="AM48" i="42"/>
  <c r="AN48" i="42"/>
  <c r="AO48" i="42"/>
  <c r="AP48" i="42"/>
  <c r="AQ48" i="42"/>
  <c r="AR48" i="42"/>
  <c r="AS48" i="42"/>
  <c r="F49" i="42"/>
  <c r="G49" i="42"/>
  <c r="H49" i="42"/>
  <c r="I49" i="42"/>
  <c r="J49" i="42"/>
  <c r="K49" i="42"/>
  <c r="L49" i="42"/>
  <c r="M49" i="42"/>
  <c r="N49" i="42"/>
  <c r="O49" i="42"/>
  <c r="P49" i="42"/>
  <c r="Q49" i="42"/>
  <c r="R49" i="42"/>
  <c r="S49" i="42"/>
  <c r="T49" i="42"/>
  <c r="U49" i="42"/>
  <c r="V49" i="42"/>
  <c r="W49" i="42"/>
  <c r="X49" i="42"/>
  <c r="Y49" i="42"/>
  <c r="Z49" i="42"/>
  <c r="AA49" i="42"/>
  <c r="AB49" i="42"/>
  <c r="AC49" i="42"/>
  <c r="AD49" i="42"/>
  <c r="AE49" i="42"/>
  <c r="AF49" i="42"/>
  <c r="AG49" i="42"/>
  <c r="AH49" i="42"/>
  <c r="AI49" i="42"/>
  <c r="AJ49" i="42"/>
  <c r="AK49" i="42"/>
  <c r="AL49" i="42"/>
  <c r="AM49" i="42"/>
  <c r="AN49" i="42"/>
  <c r="AO49" i="42"/>
  <c r="AP49" i="42"/>
  <c r="AQ49" i="42"/>
  <c r="AR49" i="42"/>
  <c r="AS49" i="42"/>
  <c r="F59" i="42"/>
  <c r="G59" i="42"/>
  <c r="H59" i="42"/>
  <c r="I59" i="42"/>
  <c r="J59" i="42"/>
  <c r="K59" i="42"/>
  <c r="L59" i="42"/>
  <c r="M59" i="42"/>
  <c r="N59" i="42"/>
  <c r="O59" i="42"/>
  <c r="P59" i="42"/>
  <c r="Q59" i="42"/>
  <c r="R59" i="42"/>
  <c r="S59" i="42"/>
  <c r="T59" i="42"/>
  <c r="U59" i="42"/>
  <c r="V59" i="42"/>
  <c r="W59" i="42"/>
  <c r="X59" i="42"/>
  <c r="Y59" i="42"/>
  <c r="Z59" i="42"/>
  <c r="AA59" i="42"/>
  <c r="AB59" i="42"/>
  <c r="AC59" i="42"/>
  <c r="AD59" i="42"/>
  <c r="AE59" i="42"/>
  <c r="AF59" i="42"/>
  <c r="AG59" i="42"/>
  <c r="AH59" i="42"/>
  <c r="AI59" i="42"/>
  <c r="AJ59" i="42"/>
  <c r="AK59" i="42"/>
  <c r="AL59" i="42"/>
  <c r="AM59" i="42"/>
  <c r="AN59" i="42"/>
  <c r="AO59" i="42"/>
  <c r="AP59" i="42"/>
  <c r="AQ59" i="42"/>
  <c r="AR59" i="42"/>
  <c r="AS59" i="42"/>
  <c r="F61" i="42"/>
  <c r="G61" i="42"/>
  <c r="H61" i="42"/>
  <c r="I61" i="42"/>
  <c r="J61" i="42"/>
  <c r="K61" i="42"/>
  <c r="L61" i="42"/>
  <c r="M61" i="42"/>
  <c r="N61" i="42"/>
  <c r="O61" i="42"/>
  <c r="P61" i="42"/>
  <c r="Q61" i="42"/>
  <c r="R61" i="42"/>
  <c r="S61" i="42"/>
  <c r="T61" i="42"/>
  <c r="U61" i="42"/>
  <c r="V61" i="42"/>
  <c r="W61" i="42"/>
  <c r="X61" i="42"/>
  <c r="Y61" i="42"/>
  <c r="Z61" i="42"/>
  <c r="AA61" i="42"/>
  <c r="AB61" i="42"/>
  <c r="AC61" i="42"/>
  <c r="AD61" i="42"/>
  <c r="AE61" i="42"/>
  <c r="AF61" i="42"/>
  <c r="AG61" i="42"/>
  <c r="AH61" i="42"/>
  <c r="AI61" i="42"/>
  <c r="AJ61" i="42"/>
  <c r="AK61" i="42"/>
  <c r="AL61" i="42"/>
  <c r="AM61" i="42"/>
  <c r="AN61" i="42"/>
  <c r="AO61" i="42"/>
  <c r="AP61" i="42"/>
  <c r="AQ61" i="42"/>
  <c r="AR61" i="42"/>
  <c r="AS61" i="42"/>
  <c r="F64" i="42"/>
  <c r="G64" i="42"/>
  <c r="H64" i="42"/>
  <c r="I64" i="42"/>
  <c r="J64" i="42"/>
  <c r="K64" i="42"/>
  <c r="L64" i="42"/>
  <c r="M64" i="42"/>
  <c r="N64" i="42"/>
  <c r="O64" i="42"/>
  <c r="P64" i="42"/>
  <c r="Q64" i="42"/>
  <c r="R64" i="42"/>
  <c r="S64" i="42"/>
  <c r="T64" i="42"/>
  <c r="U64" i="42"/>
  <c r="V64" i="42"/>
  <c r="W64" i="42"/>
  <c r="X64" i="42"/>
  <c r="Y64" i="42"/>
  <c r="Z64" i="42"/>
  <c r="AA64" i="42"/>
  <c r="AB64" i="42"/>
  <c r="AC64" i="42"/>
  <c r="AD64" i="42"/>
  <c r="AE64" i="42"/>
  <c r="AF64" i="42"/>
  <c r="AG64" i="42"/>
  <c r="AH64" i="42"/>
  <c r="AI64" i="42"/>
  <c r="AJ64" i="42"/>
  <c r="AK64" i="42"/>
  <c r="AL64" i="42"/>
  <c r="AM64" i="42"/>
  <c r="AN64" i="42"/>
  <c r="AO64" i="42"/>
  <c r="AP64" i="42"/>
  <c r="AQ64" i="42"/>
  <c r="AR64" i="42"/>
  <c r="AS64" i="42"/>
  <c r="F65" i="42"/>
  <c r="G65" i="42"/>
  <c r="H65" i="42"/>
  <c r="I65" i="42"/>
  <c r="J65" i="42"/>
  <c r="K65" i="42"/>
  <c r="L65" i="42"/>
  <c r="M65" i="42"/>
  <c r="N65" i="42"/>
  <c r="O65" i="42"/>
  <c r="P65" i="42"/>
  <c r="Q65" i="42"/>
  <c r="R65" i="42"/>
  <c r="S65" i="42"/>
  <c r="T65" i="42"/>
  <c r="U65" i="42"/>
  <c r="V65" i="42"/>
  <c r="W65" i="42"/>
  <c r="X65" i="42"/>
  <c r="Y65" i="42"/>
  <c r="Z65" i="42"/>
  <c r="AA65" i="42"/>
  <c r="AB65" i="42"/>
  <c r="AC65" i="42"/>
  <c r="AD65" i="42"/>
  <c r="AE65" i="42"/>
  <c r="AF65" i="42"/>
  <c r="AG65" i="42"/>
  <c r="AH65" i="42"/>
  <c r="AI65" i="42"/>
  <c r="AJ65" i="42"/>
  <c r="AK65" i="42"/>
  <c r="AL65" i="42"/>
  <c r="AM65" i="42"/>
  <c r="AN65" i="42"/>
  <c r="AO65" i="42"/>
  <c r="AP65" i="42"/>
  <c r="AQ65" i="42"/>
  <c r="AR65" i="42"/>
  <c r="AS65" i="42"/>
  <c r="F68" i="42"/>
  <c r="G68" i="42"/>
  <c r="H68" i="42"/>
  <c r="I68" i="42"/>
  <c r="J68" i="42"/>
  <c r="K68" i="42"/>
  <c r="L68" i="42"/>
  <c r="M68" i="42"/>
  <c r="N68" i="42"/>
  <c r="O68" i="42"/>
  <c r="P68" i="42"/>
  <c r="Q68" i="42"/>
  <c r="R68" i="42"/>
  <c r="S68" i="42"/>
  <c r="T68" i="42"/>
  <c r="U68" i="42"/>
  <c r="V68" i="42"/>
  <c r="W68" i="42"/>
  <c r="X68" i="42"/>
  <c r="Y68" i="42"/>
  <c r="Z68" i="42"/>
  <c r="AA68" i="42"/>
  <c r="AB68" i="42"/>
  <c r="AC68" i="42"/>
  <c r="AD68" i="42"/>
  <c r="AE68" i="42"/>
  <c r="AF68" i="42"/>
  <c r="AG68" i="42"/>
  <c r="AH68" i="42"/>
  <c r="AI68" i="42"/>
  <c r="AJ68" i="42"/>
  <c r="AK68" i="42"/>
  <c r="AL68" i="42"/>
  <c r="AM68" i="42"/>
  <c r="AN68" i="42"/>
  <c r="AO68" i="42"/>
  <c r="AP68" i="42"/>
  <c r="AQ68" i="42"/>
  <c r="AR68" i="42"/>
  <c r="AS68" i="42"/>
  <c r="F69" i="42"/>
  <c r="G69" i="42"/>
  <c r="H69" i="42"/>
  <c r="I69" i="42"/>
  <c r="J69" i="42"/>
  <c r="K69" i="42"/>
  <c r="L69" i="42"/>
  <c r="M69" i="42"/>
  <c r="N69" i="42"/>
  <c r="O69" i="42"/>
  <c r="P69" i="42"/>
  <c r="Q69" i="42"/>
  <c r="R69" i="42"/>
  <c r="S69" i="42"/>
  <c r="T69" i="42"/>
  <c r="U69" i="42"/>
  <c r="V69" i="42"/>
  <c r="W69" i="42"/>
  <c r="X69" i="42"/>
  <c r="Y69" i="42"/>
  <c r="Z69" i="42"/>
  <c r="AA69" i="42"/>
  <c r="AB69" i="42"/>
  <c r="AC69" i="42"/>
  <c r="AD69" i="42"/>
  <c r="AE69" i="42"/>
  <c r="AF69" i="42"/>
  <c r="AG69" i="42"/>
  <c r="AH69" i="42"/>
  <c r="AI69" i="42"/>
  <c r="AJ69" i="42"/>
  <c r="AK69" i="42"/>
  <c r="AL69" i="42"/>
  <c r="AM69" i="42"/>
  <c r="AN69" i="42"/>
  <c r="AO69" i="42"/>
  <c r="AP69" i="42"/>
  <c r="AQ69" i="42"/>
  <c r="AR69" i="42"/>
  <c r="AS69" i="42"/>
  <c r="F71" i="42"/>
  <c r="G71" i="42"/>
  <c r="H71" i="42"/>
  <c r="I71" i="42"/>
  <c r="J71" i="42"/>
  <c r="K71" i="42"/>
  <c r="L71" i="42"/>
  <c r="M71" i="42"/>
  <c r="N71" i="42"/>
  <c r="O71" i="42"/>
  <c r="P71" i="42"/>
  <c r="Q71" i="42"/>
  <c r="R71" i="42"/>
  <c r="S71" i="42"/>
  <c r="T71" i="42"/>
  <c r="U71" i="42"/>
  <c r="V71" i="42"/>
  <c r="W71" i="42"/>
  <c r="X71" i="42"/>
  <c r="Y71" i="42"/>
  <c r="Z71" i="42"/>
  <c r="AA71" i="42"/>
  <c r="AB71" i="42"/>
  <c r="AC71" i="42"/>
  <c r="AD71" i="42"/>
  <c r="AE71" i="42"/>
  <c r="AF71" i="42"/>
  <c r="AG71" i="42"/>
  <c r="AH71" i="42"/>
  <c r="AI71" i="42"/>
  <c r="AJ71" i="42"/>
  <c r="AK71" i="42"/>
  <c r="AL71" i="42"/>
  <c r="AM71" i="42"/>
  <c r="AN71" i="42"/>
  <c r="AO71" i="42"/>
  <c r="AP71" i="42"/>
  <c r="AQ71" i="42"/>
  <c r="AR71" i="42"/>
  <c r="AS71" i="42"/>
  <c r="F75" i="42"/>
  <c r="G75" i="42"/>
  <c r="H75" i="42"/>
  <c r="I75" i="42"/>
  <c r="J75" i="42"/>
  <c r="K75" i="42"/>
  <c r="L75" i="42"/>
  <c r="M75" i="42"/>
  <c r="N75" i="42"/>
  <c r="O75" i="42"/>
  <c r="P75" i="42"/>
  <c r="Q75" i="42"/>
  <c r="R75" i="42"/>
  <c r="S75" i="42"/>
  <c r="T75" i="42"/>
  <c r="U75" i="42"/>
  <c r="V75" i="42"/>
  <c r="W75" i="42"/>
  <c r="X75" i="42"/>
  <c r="Y75" i="42"/>
  <c r="Z75" i="42"/>
  <c r="AA75" i="42"/>
  <c r="AB75" i="42"/>
  <c r="AC75" i="42"/>
  <c r="AD75" i="42"/>
  <c r="AE75" i="42"/>
  <c r="AF75" i="42"/>
  <c r="AG75" i="42"/>
  <c r="AH75" i="42"/>
  <c r="AI75" i="42"/>
  <c r="AJ75" i="42"/>
  <c r="AK75" i="42"/>
  <c r="AL75" i="42"/>
  <c r="AM75" i="42"/>
  <c r="AN75" i="42"/>
  <c r="AO75" i="42"/>
  <c r="AP75" i="42"/>
  <c r="AQ75" i="42"/>
  <c r="AR75" i="42"/>
  <c r="AS75" i="42"/>
  <c r="F78" i="42"/>
  <c r="G78" i="42"/>
  <c r="H78" i="42"/>
  <c r="I78" i="42"/>
  <c r="J78" i="42"/>
  <c r="K78" i="42"/>
  <c r="L78" i="42"/>
  <c r="M78" i="42"/>
  <c r="N78" i="42"/>
  <c r="O78" i="42"/>
  <c r="P78" i="42"/>
  <c r="Q78" i="42"/>
  <c r="R78" i="42"/>
  <c r="S78" i="42"/>
  <c r="T78" i="42"/>
  <c r="U78" i="42"/>
  <c r="V78" i="42"/>
  <c r="W78" i="42"/>
  <c r="X78" i="42"/>
  <c r="Y78" i="42"/>
  <c r="Z78" i="42"/>
  <c r="AA78" i="42"/>
  <c r="AB78" i="42"/>
  <c r="AC78" i="42"/>
  <c r="AD78" i="42"/>
  <c r="AE78" i="42"/>
  <c r="AF78" i="42"/>
  <c r="AG78" i="42"/>
  <c r="AH78" i="42"/>
  <c r="AI78" i="42"/>
  <c r="AJ78" i="42"/>
  <c r="AK78" i="42"/>
  <c r="AL78" i="42"/>
  <c r="AM78" i="42"/>
  <c r="AN78" i="42"/>
  <c r="AO78" i="42"/>
  <c r="AP78" i="42"/>
  <c r="AQ78" i="42"/>
  <c r="AR78" i="42"/>
  <c r="AS78" i="42"/>
  <c r="F79" i="42"/>
  <c r="G79" i="42"/>
  <c r="H79" i="42"/>
  <c r="I79" i="42"/>
  <c r="J79" i="42"/>
  <c r="K79" i="42"/>
  <c r="L79" i="42"/>
  <c r="M79" i="42"/>
  <c r="N79" i="42"/>
  <c r="O79" i="42"/>
  <c r="P79" i="42"/>
  <c r="Q79" i="42"/>
  <c r="R79" i="42"/>
  <c r="S79" i="42"/>
  <c r="T79" i="42"/>
  <c r="U79" i="42"/>
  <c r="V79" i="42"/>
  <c r="W79" i="42"/>
  <c r="X79" i="42"/>
  <c r="Y79" i="42"/>
  <c r="Z79" i="42"/>
  <c r="AA79" i="42"/>
  <c r="AB79" i="42"/>
  <c r="AC79" i="42"/>
  <c r="AD79" i="42"/>
  <c r="AE79" i="42"/>
  <c r="AF79" i="42"/>
  <c r="AG79" i="42"/>
  <c r="AH79" i="42"/>
  <c r="AI79" i="42"/>
  <c r="AJ79" i="42"/>
  <c r="AK79" i="42"/>
  <c r="AL79" i="42"/>
  <c r="AM79" i="42"/>
  <c r="AN79" i="42"/>
  <c r="AO79" i="42"/>
  <c r="AP79" i="42"/>
  <c r="AQ79" i="42"/>
  <c r="AR79" i="42"/>
  <c r="AS79" i="42"/>
  <c r="F82" i="42"/>
  <c r="G82" i="42"/>
  <c r="H82" i="42"/>
  <c r="I82" i="42"/>
  <c r="J82" i="42"/>
  <c r="K82" i="42"/>
  <c r="L82" i="42"/>
  <c r="M82" i="42"/>
  <c r="N82" i="42"/>
  <c r="O82" i="42"/>
  <c r="P82" i="42"/>
  <c r="Q82" i="42"/>
  <c r="R82" i="42"/>
  <c r="S82" i="42"/>
  <c r="T82" i="42"/>
  <c r="U82" i="42"/>
  <c r="V82" i="42"/>
  <c r="W82" i="42"/>
  <c r="X82" i="42"/>
  <c r="Y82" i="42"/>
  <c r="Z82" i="42"/>
  <c r="AA82" i="42"/>
  <c r="AB82" i="42"/>
  <c r="AC82" i="42"/>
  <c r="AD82" i="42"/>
  <c r="AE82" i="42"/>
  <c r="AF82" i="42"/>
  <c r="AG82" i="42"/>
  <c r="AH82" i="42"/>
  <c r="AI82" i="42"/>
  <c r="AJ82" i="42"/>
  <c r="AK82" i="42"/>
  <c r="AL82" i="42"/>
  <c r="AM82" i="42"/>
  <c r="AN82" i="42"/>
  <c r="AO82" i="42"/>
  <c r="AP82" i="42"/>
  <c r="AQ82" i="42"/>
  <c r="AR82" i="42"/>
  <c r="AS82" i="42"/>
  <c r="F85" i="42"/>
  <c r="G85" i="42"/>
  <c r="H85" i="42"/>
  <c r="I85" i="42"/>
  <c r="J85" i="42"/>
  <c r="K85" i="42"/>
  <c r="L85" i="42"/>
  <c r="M85" i="42"/>
  <c r="N85" i="42"/>
  <c r="O85" i="42"/>
  <c r="P85" i="42"/>
  <c r="Q85" i="42"/>
  <c r="R85" i="42"/>
  <c r="S85" i="42"/>
  <c r="T85" i="42"/>
  <c r="U85" i="42"/>
  <c r="V85" i="42"/>
  <c r="W85" i="42"/>
  <c r="X85" i="42"/>
  <c r="Y85" i="42"/>
  <c r="Z85" i="42"/>
  <c r="AA85" i="42"/>
  <c r="AB85" i="42"/>
  <c r="AC85" i="42"/>
  <c r="AD85" i="42"/>
  <c r="AE85" i="42"/>
  <c r="AF85" i="42"/>
  <c r="AG85" i="42"/>
  <c r="AH85" i="42"/>
  <c r="AI85" i="42"/>
  <c r="AJ85" i="42"/>
  <c r="AK85" i="42"/>
  <c r="AL85" i="42"/>
  <c r="AM85" i="42"/>
  <c r="AN85" i="42"/>
  <c r="AO85" i="42"/>
  <c r="AP85" i="42"/>
  <c r="AQ85" i="42"/>
  <c r="AR85" i="42"/>
  <c r="AS85" i="42"/>
  <c r="F84" i="42"/>
  <c r="G84" i="42"/>
  <c r="H84" i="42"/>
  <c r="I84" i="42"/>
  <c r="J84" i="42"/>
  <c r="K84" i="42"/>
  <c r="L84" i="42"/>
  <c r="M84" i="42"/>
  <c r="N84" i="42"/>
  <c r="O84" i="42"/>
  <c r="P84" i="42"/>
  <c r="Q84" i="42"/>
  <c r="R84" i="42"/>
  <c r="S84" i="42"/>
  <c r="T84" i="42"/>
  <c r="U84" i="42"/>
  <c r="V84" i="42"/>
  <c r="W84" i="42"/>
  <c r="X84" i="42"/>
  <c r="Y84" i="42"/>
  <c r="Z84" i="42"/>
  <c r="AA84" i="42"/>
  <c r="AB84" i="42"/>
  <c r="AC84" i="42"/>
  <c r="AD84" i="42"/>
  <c r="AE84" i="42"/>
  <c r="AF84" i="42"/>
  <c r="AG84" i="42"/>
  <c r="AH84" i="42"/>
  <c r="AI84" i="42"/>
  <c r="AJ84" i="42"/>
  <c r="AK84" i="42"/>
  <c r="AL84" i="42"/>
  <c r="AM84" i="42"/>
  <c r="AN84" i="42"/>
  <c r="AO84" i="42"/>
  <c r="AP84" i="42"/>
  <c r="AQ84" i="42"/>
  <c r="AR84" i="42"/>
  <c r="AS84" i="42"/>
  <c r="F43" i="42"/>
  <c r="F45" i="42"/>
  <c r="F46" i="42"/>
  <c r="F47" i="42"/>
  <c r="F50" i="42"/>
  <c r="F51" i="42"/>
  <c r="F52" i="42"/>
  <c r="F53" i="42"/>
  <c r="F54" i="42"/>
  <c r="F55" i="42"/>
  <c r="F56" i="42"/>
  <c r="F57" i="42"/>
  <c r="F58" i="42"/>
  <c r="F60" i="42"/>
  <c r="F62" i="42"/>
  <c r="F63" i="42"/>
  <c r="F67" i="42"/>
  <c r="F70" i="42"/>
  <c r="G43" i="42"/>
  <c r="G45" i="42"/>
  <c r="G46" i="42"/>
  <c r="G47" i="42"/>
  <c r="G50" i="42"/>
  <c r="G51" i="42"/>
  <c r="G52" i="42"/>
  <c r="G53" i="42"/>
  <c r="G54" i="42"/>
  <c r="G55" i="42"/>
  <c r="G56" i="42"/>
  <c r="G57" i="42"/>
  <c r="G58" i="42"/>
  <c r="G60" i="42"/>
  <c r="G62" i="42"/>
  <c r="G63" i="42"/>
  <c r="G67" i="42"/>
  <c r="G70" i="42"/>
  <c r="H43" i="42"/>
  <c r="H45" i="42"/>
  <c r="H46" i="42"/>
  <c r="H47" i="42"/>
  <c r="H50" i="42"/>
  <c r="H51" i="42"/>
  <c r="H52" i="42"/>
  <c r="H53" i="42"/>
  <c r="H54" i="42"/>
  <c r="H55" i="42"/>
  <c r="H56" i="42"/>
  <c r="H57" i="42"/>
  <c r="H58" i="42"/>
  <c r="H60" i="42"/>
  <c r="H62" i="42"/>
  <c r="H63" i="42"/>
  <c r="H67" i="42"/>
  <c r="H70" i="42"/>
  <c r="I43" i="42"/>
  <c r="I45" i="42"/>
  <c r="I46" i="42"/>
  <c r="I47" i="42"/>
  <c r="I50" i="42"/>
  <c r="I51" i="42"/>
  <c r="I52" i="42"/>
  <c r="I53" i="42"/>
  <c r="I54" i="42"/>
  <c r="I55" i="42"/>
  <c r="I56" i="42"/>
  <c r="I57" i="42"/>
  <c r="I58" i="42"/>
  <c r="I60" i="42"/>
  <c r="I62" i="42"/>
  <c r="I63" i="42"/>
  <c r="I67" i="42"/>
  <c r="I70" i="42"/>
  <c r="J43" i="42"/>
  <c r="J45" i="42"/>
  <c r="J46" i="42"/>
  <c r="J47" i="42"/>
  <c r="J50" i="42"/>
  <c r="J51" i="42"/>
  <c r="J52" i="42"/>
  <c r="J53" i="42"/>
  <c r="J54" i="42"/>
  <c r="J55" i="42"/>
  <c r="J56" i="42"/>
  <c r="J57" i="42"/>
  <c r="J58" i="42"/>
  <c r="J60" i="42"/>
  <c r="J62" i="42"/>
  <c r="J63" i="42"/>
  <c r="J67" i="42"/>
  <c r="J70" i="42"/>
  <c r="K43" i="42"/>
  <c r="K45" i="42"/>
  <c r="K46" i="42"/>
  <c r="K47" i="42"/>
  <c r="K50" i="42"/>
  <c r="K51" i="42"/>
  <c r="K52" i="42"/>
  <c r="K53" i="42"/>
  <c r="K54" i="42"/>
  <c r="K55" i="42"/>
  <c r="K56" i="42"/>
  <c r="K57" i="42"/>
  <c r="K58" i="42"/>
  <c r="K60" i="42"/>
  <c r="K62" i="42"/>
  <c r="K63" i="42"/>
  <c r="K67" i="42"/>
  <c r="K70" i="42"/>
  <c r="L43" i="42"/>
  <c r="L45" i="42"/>
  <c r="L46" i="42"/>
  <c r="L47" i="42"/>
  <c r="L50" i="42"/>
  <c r="L51" i="42"/>
  <c r="L52" i="42"/>
  <c r="L53" i="42"/>
  <c r="L54" i="42"/>
  <c r="L55" i="42"/>
  <c r="L56" i="42"/>
  <c r="L57" i="42"/>
  <c r="L58" i="42"/>
  <c r="L60" i="42"/>
  <c r="L62" i="42"/>
  <c r="L63" i="42"/>
  <c r="L67" i="42"/>
  <c r="L70" i="42"/>
  <c r="M43" i="42"/>
  <c r="M45" i="42"/>
  <c r="M46" i="42"/>
  <c r="M47" i="42"/>
  <c r="M50" i="42"/>
  <c r="M51" i="42"/>
  <c r="M52" i="42"/>
  <c r="M53" i="42"/>
  <c r="M54" i="42"/>
  <c r="M55" i="42"/>
  <c r="M56" i="42"/>
  <c r="M57" i="42"/>
  <c r="M58" i="42"/>
  <c r="M60" i="42"/>
  <c r="M62" i="42"/>
  <c r="M63" i="42"/>
  <c r="M67" i="42"/>
  <c r="M70" i="42"/>
  <c r="N43" i="42"/>
  <c r="N45" i="42"/>
  <c r="N46" i="42"/>
  <c r="N47" i="42"/>
  <c r="N50" i="42"/>
  <c r="N51" i="42"/>
  <c r="N52" i="42"/>
  <c r="N53" i="42"/>
  <c r="N54" i="42"/>
  <c r="N55" i="42"/>
  <c r="N56" i="42"/>
  <c r="N57" i="42"/>
  <c r="N58" i="42"/>
  <c r="N60" i="42"/>
  <c r="N62" i="42"/>
  <c r="N63" i="42"/>
  <c r="N67" i="42"/>
  <c r="N70" i="42"/>
  <c r="O43" i="42"/>
  <c r="O45" i="42"/>
  <c r="O46" i="42"/>
  <c r="O47" i="42"/>
  <c r="O50" i="42"/>
  <c r="O51" i="42"/>
  <c r="O52" i="42"/>
  <c r="O53" i="42"/>
  <c r="O54" i="42"/>
  <c r="O55" i="42"/>
  <c r="O56" i="42"/>
  <c r="O57" i="42"/>
  <c r="O58" i="42"/>
  <c r="O60" i="42"/>
  <c r="O62" i="42"/>
  <c r="O63" i="42"/>
  <c r="O67" i="42"/>
  <c r="O70" i="42"/>
  <c r="P43" i="42"/>
  <c r="P45" i="42"/>
  <c r="P46" i="42"/>
  <c r="P47" i="42"/>
  <c r="P50" i="42"/>
  <c r="P51" i="42"/>
  <c r="P52" i="42"/>
  <c r="P53" i="42"/>
  <c r="P54" i="42"/>
  <c r="P55" i="42"/>
  <c r="P56" i="42"/>
  <c r="P57" i="42"/>
  <c r="P58" i="42"/>
  <c r="P60" i="42"/>
  <c r="P62" i="42"/>
  <c r="P63" i="42"/>
  <c r="P67" i="42"/>
  <c r="P70" i="42"/>
  <c r="Q43" i="42"/>
  <c r="Q45" i="42"/>
  <c r="Q46" i="42"/>
  <c r="Q47" i="42"/>
  <c r="Q50" i="42"/>
  <c r="Q51" i="42"/>
  <c r="Q52" i="42"/>
  <c r="Q53" i="42"/>
  <c r="Q54" i="42"/>
  <c r="Q55" i="42"/>
  <c r="Q56" i="42"/>
  <c r="Q57" i="42"/>
  <c r="Q58" i="42"/>
  <c r="Q60" i="42"/>
  <c r="Q62" i="42"/>
  <c r="Q63" i="42"/>
  <c r="Q67" i="42"/>
  <c r="Q70" i="42"/>
  <c r="R43" i="42"/>
  <c r="R45" i="42"/>
  <c r="R46" i="42"/>
  <c r="R47" i="42"/>
  <c r="R50" i="42"/>
  <c r="R51" i="42"/>
  <c r="R52" i="42"/>
  <c r="R53" i="42"/>
  <c r="R54" i="42"/>
  <c r="R55" i="42"/>
  <c r="R56" i="42"/>
  <c r="R57" i="42"/>
  <c r="R58" i="42"/>
  <c r="R60" i="42"/>
  <c r="R62" i="42"/>
  <c r="R63" i="42"/>
  <c r="R67" i="42"/>
  <c r="R70" i="42"/>
  <c r="S43" i="42"/>
  <c r="S45" i="42"/>
  <c r="S46" i="42"/>
  <c r="S47" i="42"/>
  <c r="S50" i="42"/>
  <c r="S51" i="42"/>
  <c r="S52" i="42"/>
  <c r="S53" i="42"/>
  <c r="S54" i="42"/>
  <c r="S55" i="42"/>
  <c r="S56" i="42"/>
  <c r="S57" i="42"/>
  <c r="S58" i="42"/>
  <c r="S60" i="42"/>
  <c r="S62" i="42"/>
  <c r="S63" i="42"/>
  <c r="S67" i="42"/>
  <c r="S70" i="42"/>
  <c r="T43" i="42"/>
  <c r="T45" i="42"/>
  <c r="T46" i="42"/>
  <c r="T47" i="42"/>
  <c r="T50" i="42"/>
  <c r="T51" i="42"/>
  <c r="T52" i="42"/>
  <c r="T53" i="42"/>
  <c r="T54" i="42"/>
  <c r="T55" i="42"/>
  <c r="T56" i="42"/>
  <c r="T57" i="42"/>
  <c r="T58" i="42"/>
  <c r="T60" i="42"/>
  <c r="T62" i="42"/>
  <c r="T63" i="42"/>
  <c r="T67" i="42"/>
  <c r="T70" i="42"/>
  <c r="U43" i="42"/>
  <c r="U45" i="42"/>
  <c r="U46" i="42"/>
  <c r="U47" i="42"/>
  <c r="U50" i="42"/>
  <c r="U51" i="42"/>
  <c r="U52" i="42"/>
  <c r="U53" i="42"/>
  <c r="U54" i="42"/>
  <c r="U55" i="42"/>
  <c r="U56" i="42"/>
  <c r="U57" i="42"/>
  <c r="U58" i="42"/>
  <c r="U60" i="42"/>
  <c r="U62" i="42"/>
  <c r="U63" i="42"/>
  <c r="U67" i="42"/>
  <c r="U70" i="42"/>
  <c r="V43" i="42"/>
  <c r="V45" i="42"/>
  <c r="V46" i="42"/>
  <c r="V47" i="42"/>
  <c r="V50" i="42"/>
  <c r="V51" i="42"/>
  <c r="V52" i="42"/>
  <c r="V53" i="42"/>
  <c r="V54" i="42"/>
  <c r="V55" i="42"/>
  <c r="V56" i="42"/>
  <c r="V57" i="42"/>
  <c r="V58" i="42"/>
  <c r="V60" i="42"/>
  <c r="V62" i="42"/>
  <c r="V63" i="42"/>
  <c r="V67" i="42"/>
  <c r="V70" i="42"/>
  <c r="W43" i="42"/>
  <c r="W45" i="42"/>
  <c r="W46" i="42"/>
  <c r="W47" i="42"/>
  <c r="W50" i="42"/>
  <c r="W51" i="42"/>
  <c r="W52" i="42"/>
  <c r="W53" i="42"/>
  <c r="W54" i="42"/>
  <c r="W55" i="42"/>
  <c r="W56" i="42"/>
  <c r="W57" i="42"/>
  <c r="W58" i="42"/>
  <c r="W60" i="42"/>
  <c r="W62" i="42"/>
  <c r="W63" i="42"/>
  <c r="W67" i="42"/>
  <c r="W70" i="42"/>
  <c r="X43" i="42"/>
  <c r="X45" i="42"/>
  <c r="X46" i="42"/>
  <c r="X47" i="42"/>
  <c r="X50" i="42"/>
  <c r="X51" i="42"/>
  <c r="X52" i="42"/>
  <c r="X53" i="42"/>
  <c r="X54" i="42"/>
  <c r="X55" i="42"/>
  <c r="X56" i="42"/>
  <c r="X57" i="42"/>
  <c r="X58" i="42"/>
  <c r="X60" i="42"/>
  <c r="X62" i="42"/>
  <c r="X63" i="42"/>
  <c r="X67" i="42"/>
  <c r="X70" i="42"/>
  <c r="Y43" i="42"/>
  <c r="Y45" i="42"/>
  <c r="Y46" i="42"/>
  <c r="Y47" i="42"/>
  <c r="Y50" i="42"/>
  <c r="Y51" i="42"/>
  <c r="Y52" i="42"/>
  <c r="Y53" i="42"/>
  <c r="Y54" i="42"/>
  <c r="Y55" i="42"/>
  <c r="Y56" i="42"/>
  <c r="Y57" i="42"/>
  <c r="Y58" i="42"/>
  <c r="Y60" i="42"/>
  <c r="Y62" i="42"/>
  <c r="Y63" i="42"/>
  <c r="Y67" i="42"/>
  <c r="Y70" i="42"/>
  <c r="Z43" i="42"/>
  <c r="Z45" i="42"/>
  <c r="Z46" i="42"/>
  <c r="Z47" i="42"/>
  <c r="Z50" i="42"/>
  <c r="Z51" i="42"/>
  <c r="Z52" i="42"/>
  <c r="Z53" i="42"/>
  <c r="Z54" i="42"/>
  <c r="Z55" i="42"/>
  <c r="Z56" i="42"/>
  <c r="Z57" i="42"/>
  <c r="Z58" i="42"/>
  <c r="Z60" i="42"/>
  <c r="Z62" i="42"/>
  <c r="Z63" i="42"/>
  <c r="Z67" i="42"/>
  <c r="Z70" i="42"/>
  <c r="AA43" i="42"/>
  <c r="AA45" i="42"/>
  <c r="AA46" i="42"/>
  <c r="AA47" i="42"/>
  <c r="AA50" i="42"/>
  <c r="AA51" i="42"/>
  <c r="AA52" i="42"/>
  <c r="AA53" i="42"/>
  <c r="AA54" i="42"/>
  <c r="AA55" i="42"/>
  <c r="AA56" i="42"/>
  <c r="AA57" i="42"/>
  <c r="AA58" i="42"/>
  <c r="AA60" i="42"/>
  <c r="AA62" i="42"/>
  <c r="AA63" i="42"/>
  <c r="AA67" i="42"/>
  <c r="AA70" i="42"/>
  <c r="AB43" i="42"/>
  <c r="AB45" i="42"/>
  <c r="AB46" i="42"/>
  <c r="AB47" i="42"/>
  <c r="AB50" i="42"/>
  <c r="AB51" i="42"/>
  <c r="AB52" i="42"/>
  <c r="AB53" i="42"/>
  <c r="AB54" i="42"/>
  <c r="AB55" i="42"/>
  <c r="AB56" i="42"/>
  <c r="AB57" i="42"/>
  <c r="AB58" i="42"/>
  <c r="AB60" i="42"/>
  <c r="AB62" i="42"/>
  <c r="AB63" i="42"/>
  <c r="AB67" i="42"/>
  <c r="AB70" i="42"/>
  <c r="AC43" i="42"/>
  <c r="AC45" i="42"/>
  <c r="AC46" i="42"/>
  <c r="AC47" i="42"/>
  <c r="AC50" i="42"/>
  <c r="AC51" i="42"/>
  <c r="AC52" i="42"/>
  <c r="AC53" i="42"/>
  <c r="AC54" i="42"/>
  <c r="AC55" i="42"/>
  <c r="AC56" i="42"/>
  <c r="AC57" i="42"/>
  <c r="AC58" i="42"/>
  <c r="AC60" i="42"/>
  <c r="AC62" i="42"/>
  <c r="AC63" i="42"/>
  <c r="AC67" i="42"/>
  <c r="AC70" i="42"/>
  <c r="AD43" i="42"/>
  <c r="AD45" i="42"/>
  <c r="AD46" i="42"/>
  <c r="AD47" i="42"/>
  <c r="AD50" i="42"/>
  <c r="AD51" i="42"/>
  <c r="AD52" i="42"/>
  <c r="AD53" i="42"/>
  <c r="AD54" i="42"/>
  <c r="AD55" i="42"/>
  <c r="AD56" i="42"/>
  <c r="AD57" i="42"/>
  <c r="AD58" i="42"/>
  <c r="AD60" i="42"/>
  <c r="AD62" i="42"/>
  <c r="AD63" i="42"/>
  <c r="AD67" i="42"/>
  <c r="AD70" i="42"/>
  <c r="AE43" i="42"/>
  <c r="AE45" i="42"/>
  <c r="AE46" i="42"/>
  <c r="AE47" i="42"/>
  <c r="AE50" i="42"/>
  <c r="AE51" i="42"/>
  <c r="AE52" i="42"/>
  <c r="AE53" i="42"/>
  <c r="AE54" i="42"/>
  <c r="AE55" i="42"/>
  <c r="AE56" i="42"/>
  <c r="AE57" i="42"/>
  <c r="AE58" i="42"/>
  <c r="AE60" i="42"/>
  <c r="AE62" i="42"/>
  <c r="AE63" i="42"/>
  <c r="AE67" i="42"/>
  <c r="AE70" i="42"/>
  <c r="AF43" i="42"/>
  <c r="AF45" i="42"/>
  <c r="AF46" i="42"/>
  <c r="AF47" i="42"/>
  <c r="AF50" i="42"/>
  <c r="AF51" i="42"/>
  <c r="AF52" i="42"/>
  <c r="AF53" i="42"/>
  <c r="AF54" i="42"/>
  <c r="AF55" i="42"/>
  <c r="AF56" i="42"/>
  <c r="AF57" i="42"/>
  <c r="AF58" i="42"/>
  <c r="AF60" i="42"/>
  <c r="AF62" i="42"/>
  <c r="AF63" i="42"/>
  <c r="AF67" i="42"/>
  <c r="AF70" i="42"/>
  <c r="AG43" i="42"/>
  <c r="AG45" i="42"/>
  <c r="AG46" i="42"/>
  <c r="AG47" i="42"/>
  <c r="AG50" i="42"/>
  <c r="AG51" i="42"/>
  <c r="AG52" i="42"/>
  <c r="AG53" i="42"/>
  <c r="AG54" i="42"/>
  <c r="AG55" i="42"/>
  <c r="AG56" i="42"/>
  <c r="AG57" i="42"/>
  <c r="AG58" i="42"/>
  <c r="AG60" i="42"/>
  <c r="AG62" i="42"/>
  <c r="AG63" i="42"/>
  <c r="AG67" i="42"/>
  <c r="AG70" i="42"/>
  <c r="AH43" i="42"/>
  <c r="AH45" i="42"/>
  <c r="AH46" i="42"/>
  <c r="AH47" i="42"/>
  <c r="AH50" i="42"/>
  <c r="AH51" i="42"/>
  <c r="AH52" i="42"/>
  <c r="AH53" i="42"/>
  <c r="AH54" i="42"/>
  <c r="AH55" i="42"/>
  <c r="AH56" i="42"/>
  <c r="AH57" i="42"/>
  <c r="AH58" i="42"/>
  <c r="AH60" i="42"/>
  <c r="AH62" i="42"/>
  <c r="AH63" i="42"/>
  <c r="AH67" i="42"/>
  <c r="AH70" i="42"/>
  <c r="AI43" i="42"/>
  <c r="AI45" i="42"/>
  <c r="AI46" i="42"/>
  <c r="AI47" i="42"/>
  <c r="AI50" i="42"/>
  <c r="AI51" i="42"/>
  <c r="AI52" i="42"/>
  <c r="AI53" i="42"/>
  <c r="AI54" i="42"/>
  <c r="AI55" i="42"/>
  <c r="AI56" i="42"/>
  <c r="AI57" i="42"/>
  <c r="AI58" i="42"/>
  <c r="AI60" i="42"/>
  <c r="AI62" i="42"/>
  <c r="AI63" i="42"/>
  <c r="AI67" i="42"/>
  <c r="AI70" i="42"/>
  <c r="AJ43" i="42"/>
  <c r="AJ45" i="42"/>
  <c r="AJ46" i="42"/>
  <c r="AJ47" i="42"/>
  <c r="AJ50" i="42"/>
  <c r="AJ51" i="42"/>
  <c r="AJ52" i="42"/>
  <c r="AJ53" i="42"/>
  <c r="AJ54" i="42"/>
  <c r="AJ55" i="42"/>
  <c r="AJ56" i="42"/>
  <c r="AJ57" i="42"/>
  <c r="AJ58" i="42"/>
  <c r="AJ60" i="42"/>
  <c r="AJ62" i="42"/>
  <c r="AJ63" i="42"/>
  <c r="AJ67" i="42"/>
  <c r="AJ70" i="42"/>
  <c r="AK43" i="42"/>
  <c r="AK45" i="42"/>
  <c r="AK46" i="42"/>
  <c r="AK47" i="42"/>
  <c r="AK50" i="42"/>
  <c r="AK51" i="42"/>
  <c r="AK52" i="42"/>
  <c r="AK53" i="42"/>
  <c r="AK54" i="42"/>
  <c r="AK55" i="42"/>
  <c r="AK56" i="42"/>
  <c r="AK57" i="42"/>
  <c r="AK58" i="42"/>
  <c r="AK60" i="42"/>
  <c r="AK62" i="42"/>
  <c r="AK63" i="42"/>
  <c r="AK67" i="42"/>
  <c r="AK70" i="42"/>
  <c r="AL43" i="42"/>
  <c r="AL45" i="42"/>
  <c r="AL46" i="42"/>
  <c r="AL47" i="42"/>
  <c r="AL50" i="42"/>
  <c r="AL51" i="42"/>
  <c r="AL52" i="42"/>
  <c r="AL53" i="42"/>
  <c r="AL54" i="42"/>
  <c r="AL55" i="42"/>
  <c r="AL56" i="42"/>
  <c r="AL57" i="42"/>
  <c r="AL58" i="42"/>
  <c r="AL60" i="42"/>
  <c r="AL62" i="42"/>
  <c r="AL63" i="42"/>
  <c r="AL67" i="42"/>
  <c r="AL70" i="42"/>
  <c r="AM43" i="42"/>
  <c r="AM45" i="42"/>
  <c r="AM46" i="42"/>
  <c r="AM47" i="42"/>
  <c r="AM50" i="42"/>
  <c r="AM51" i="42"/>
  <c r="AM52" i="42"/>
  <c r="AM53" i="42"/>
  <c r="AM54" i="42"/>
  <c r="AM55" i="42"/>
  <c r="AM56" i="42"/>
  <c r="AM57" i="42"/>
  <c r="AM58" i="42"/>
  <c r="AM60" i="42"/>
  <c r="AM62" i="42"/>
  <c r="AM63" i="42"/>
  <c r="AM67" i="42"/>
  <c r="AM70" i="42"/>
  <c r="AN43" i="42"/>
  <c r="AN45" i="42"/>
  <c r="AN46" i="42"/>
  <c r="AN47" i="42"/>
  <c r="AN50" i="42"/>
  <c r="AN51" i="42"/>
  <c r="AN52" i="42"/>
  <c r="AN53" i="42"/>
  <c r="AN54" i="42"/>
  <c r="AN55" i="42"/>
  <c r="AN56" i="42"/>
  <c r="AN57" i="42"/>
  <c r="AN58" i="42"/>
  <c r="AN60" i="42"/>
  <c r="AN62" i="42"/>
  <c r="AN63" i="42"/>
  <c r="AN67" i="42"/>
  <c r="AN70" i="42"/>
  <c r="AO43" i="42"/>
  <c r="AO45" i="42"/>
  <c r="AO46" i="42"/>
  <c r="AO47" i="42"/>
  <c r="AO50" i="42"/>
  <c r="AO51" i="42"/>
  <c r="AO52" i="42"/>
  <c r="AO53" i="42"/>
  <c r="AO54" i="42"/>
  <c r="AO55" i="42"/>
  <c r="AO56" i="42"/>
  <c r="AO57" i="42"/>
  <c r="AO58" i="42"/>
  <c r="AO60" i="42"/>
  <c r="AO62" i="42"/>
  <c r="AO63" i="42"/>
  <c r="AO67" i="42"/>
  <c r="AO70" i="42"/>
  <c r="AP43" i="42"/>
  <c r="AP45" i="42"/>
  <c r="AP46" i="42"/>
  <c r="AP47" i="42"/>
  <c r="AP50" i="42"/>
  <c r="AP51" i="42"/>
  <c r="AP52" i="42"/>
  <c r="AP53" i="42"/>
  <c r="AP54" i="42"/>
  <c r="AP55" i="42"/>
  <c r="AP56" i="42"/>
  <c r="AP57" i="42"/>
  <c r="AP58" i="42"/>
  <c r="AP60" i="42"/>
  <c r="AP62" i="42"/>
  <c r="AP63" i="42"/>
  <c r="AP67" i="42"/>
  <c r="AP70" i="42"/>
  <c r="AQ43" i="42"/>
  <c r="AQ45" i="42"/>
  <c r="AQ46" i="42"/>
  <c r="AQ47" i="42"/>
  <c r="AQ50" i="42"/>
  <c r="AQ51" i="42"/>
  <c r="AQ52" i="42"/>
  <c r="AQ53" i="42"/>
  <c r="AQ54" i="42"/>
  <c r="AQ55" i="42"/>
  <c r="AQ56" i="42"/>
  <c r="AQ57" i="42"/>
  <c r="AQ58" i="42"/>
  <c r="AQ60" i="42"/>
  <c r="AQ62" i="42"/>
  <c r="AQ63" i="42"/>
  <c r="AQ67" i="42"/>
  <c r="AQ70" i="42"/>
  <c r="AR43" i="42"/>
  <c r="AR45" i="42"/>
  <c r="AR46" i="42"/>
  <c r="AR47" i="42"/>
  <c r="AR50" i="42"/>
  <c r="AR51" i="42"/>
  <c r="AR52" i="42"/>
  <c r="AR53" i="42"/>
  <c r="AR54" i="42"/>
  <c r="AR55" i="42"/>
  <c r="AR56" i="42"/>
  <c r="AR57" i="42"/>
  <c r="AR58" i="42"/>
  <c r="AR60" i="42"/>
  <c r="AR62" i="42"/>
  <c r="AR63" i="42"/>
  <c r="AR67" i="42"/>
  <c r="AR70" i="42"/>
  <c r="AS43" i="42"/>
  <c r="AS45" i="42"/>
  <c r="AS46" i="42"/>
  <c r="AS47" i="42"/>
  <c r="AS50" i="42"/>
  <c r="AS51" i="42"/>
  <c r="AS52" i="42"/>
  <c r="AS53" i="42"/>
  <c r="AS54" i="42"/>
  <c r="AS55" i="42"/>
  <c r="AS56" i="42"/>
  <c r="AS57" i="42"/>
  <c r="AS58" i="42"/>
  <c r="AS60" i="42"/>
  <c r="AS62" i="42"/>
  <c r="AS63" i="42"/>
  <c r="AS67" i="42"/>
  <c r="AS70" i="42"/>
  <c r="AX72" i="42" l="1"/>
  <c r="AX86" i="42"/>
  <c r="AX85" i="42"/>
  <c r="AX84" i="42"/>
  <c r="AX83" i="42"/>
  <c r="AX82" i="42"/>
  <c r="AX81" i="42"/>
  <c r="AX80" i="42"/>
  <c r="AX79" i="42"/>
  <c r="AX78" i="42"/>
  <c r="AX77" i="42"/>
  <c r="AX76" i="42"/>
  <c r="AX75" i="42"/>
  <c r="AX74" i="42"/>
  <c r="AX73" i="42"/>
  <c r="AX71" i="42"/>
  <c r="AX70" i="42"/>
  <c r="AX69" i="42"/>
  <c r="AX68" i="42"/>
  <c r="AX67" i="42"/>
  <c r="AX66" i="42"/>
  <c r="AX65" i="42"/>
  <c r="AX64" i="42"/>
  <c r="AX63" i="42"/>
  <c r="AX62" i="42"/>
  <c r="AX61" i="42"/>
  <c r="AX60" i="42"/>
  <c r="AX59" i="42"/>
  <c r="AX58" i="42"/>
  <c r="AX57" i="42"/>
  <c r="AX56" i="42"/>
  <c r="AX55" i="42"/>
  <c r="AX54" i="42"/>
  <c r="AX53" i="42"/>
  <c r="AX52" i="42"/>
  <c r="AX51" i="42"/>
  <c r="AX50" i="42"/>
  <c r="AX49" i="42"/>
  <c r="AX48" i="42"/>
  <c r="AX47" i="42"/>
  <c r="AX46" i="42"/>
  <c r="AX45" i="42"/>
  <c r="AX44" i="42"/>
  <c r="AX43" i="42"/>
  <c r="AX42" i="42"/>
  <c r="AX41" i="42"/>
  <c r="AX40" i="42"/>
  <c r="AX39" i="42"/>
  <c r="AX38" i="42"/>
  <c r="AX37" i="42"/>
  <c r="AX36" i="42"/>
  <c r="AX35" i="42"/>
  <c r="AX34" i="42"/>
  <c r="AX33" i="42"/>
  <c r="AX32" i="42"/>
  <c r="AX31" i="42"/>
  <c r="AX30" i="42"/>
  <c r="AX29" i="42"/>
  <c r="AX28" i="42"/>
  <c r="AX27" i="42"/>
  <c r="AX26" i="42"/>
  <c r="AX25" i="42"/>
  <c r="AX24" i="42"/>
  <c r="AX23" i="42"/>
  <c r="AX22" i="42"/>
  <c r="AX21" i="42"/>
  <c r="AX20" i="42"/>
  <c r="AX19" i="42"/>
  <c r="AX18" i="42"/>
  <c r="AX17" i="42"/>
  <c r="AX16" i="42"/>
  <c r="AX15" i="42"/>
  <c r="AX14" i="42"/>
  <c r="AX13" i="42"/>
  <c r="AX12" i="42"/>
  <c r="AX11" i="42"/>
  <c r="AX10" i="42"/>
  <c r="AX9" i="42"/>
  <c r="AX8" i="42"/>
  <c r="AX7" i="42"/>
  <c r="AX6" i="42"/>
  <c r="AX5" i="42"/>
  <c r="AX4" i="42"/>
  <c r="AX3" i="42"/>
  <c r="AW94" i="42"/>
  <c r="AW95" i="42"/>
  <c r="AW93" i="42"/>
  <c r="AV93" i="42"/>
  <c r="AV94" i="42"/>
  <c r="AV95" i="42"/>
  <c r="K87" i="42"/>
  <c r="AU95" i="42"/>
  <c r="AU93" i="42"/>
  <c r="AT94" i="42"/>
  <c r="AU94" i="42"/>
  <c r="AT95" i="42"/>
  <c r="AT93" i="42"/>
  <c r="AS87" i="42"/>
  <c r="AR87" i="42"/>
  <c r="AQ87" i="42"/>
  <c r="AP87" i="42"/>
  <c r="AO87" i="42"/>
  <c r="AN87" i="42"/>
  <c r="AM87" i="42"/>
  <c r="AL87" i="42"/>
  <c r="AK87" i="42"/>
  <c r="AJ87" i="42"/>
  <c r="AI87" i="42"/>
  <c r="AH87" i="42"/>
  <c r="AG87" i="42"/>
  <c r="AF87" i="42"/>
  <c r="AE87" i="42"/>
  <c r="AD87" i="42"/>
  <c r="AC87" i="42"/>
  <c r="AB87" i="42"/>
  <c r="AA87" i="42"/>
  <c r="Z87" i="42"/>
  <c r="Y87" i="42"/>
  <c r="X87" i="42"/>
  <c r="W87" i="42"/>
  <c r="V87" i="42"/>
  <c r="U87" i="42"/>
  <c r="T87" i="42"/>
  <c r="S87" i="42"/>
  <c r="R87" i="42"/>
  <c r="Q87" i="42"/>
  <c r="P87" i="42"/>
  <c r="O87" i="42"/>
  <c r="N87" i="42"/>
  <c r="M87" i="42"/>
  <c r="L87" i="42"/>
  <c r="J87" i="42"/>
  <c r="I87" i="42"/>
  <c r="H87" i="42"/>
  <c r="G87" i="42"/>
  <c r="F87" i="42"/>
  <c r="Q89" i="42"/>
  <c r="AH89" i="42"/>
  <c r="AJ89" i="42"/>
  <c r="AB89" i="42"/>
  <c r="W89" i="42"/>
  <c r="AK89" i="42"/>
  <c r="AI89" i="42"/>
  <c r="AK94" i="42"/>
  <c r="AQ89" i="42"/>
  <c r="W95" i="42"/>
  <c r="H93" i="42"/>
  <c r="G93" i="42"/>
  <c r="Z95" i="42"/>
  <c r="Z89" i="42"/>
  <c r="AP89" i="42"/>
  <c r="AL89" i="42"/>
  <c r="AD89" i="42"/>
  <c r="R89" i="42"/>
  <c r="N89" i="42"/>
  <c r="K89" i="42"/>
  <c r="J89" i="42"/>
  <c r="F89" i="42"/>
  <c r="AG89" i="42"/>
  <c r="V89" i="42"/>
  <c r="AS89" i="42"/>
  <c r="AR89" i="42"/>
  <c r="AO89" i="42"/>
  <c r="AN89" i="42"/>
  <c r="AM89" i="42"/>
  <c r="AF89" i="42"/>
  <c r="AE89" i="42"/>
  <c r="AC89" i="42"/>
  <c r="AA89" i="42"/>
  <c r="Y89" i="42"/>
  <c r="X89" i="42"/>
  <c r="U89" i="42"/>
  <c r="T89" i="42"/>
  <c r="S89" i="42"/>
  <c r="P89" i="42"/>
  <c r="O89" i="42"/>
  <c r="M89" i="42"/>
  <c r="L89" i="42"/>
  <c r="H89" i="42"/>
  <c r="G89" i="42"/>
  <c r="G95" i="42"/>
  <c r="AA95" i="42"/>
  <c r="AM94" i="42"/>
  <c r="J93" i="42"/>
  <c r="AI94" i="42"/>
  <c r="AA94" i="42"/>
  <c r="AJ95" i="42"/>
  <c r="AS93" i="42"/>
  <c r="Q95" i="42"/>
  <c r="Z94" i="42"/>
  <c r="AP93" i="42"/>
  <c r="I94" i="42"/>
  <c r="AB95" i="42"/>
  <c r="T94" i="42"/>
  <c r="W93" i="42"/>
  <c r="Q94" i="42"/>
  <c r="AO93" i="42"/>
  <c r="K93" i="42"/>
  <c r="L94" i="42"/>
  <c r="K94" i="42"/>
  <c r="Z93" i="42"/>
  <c r="AG93" i="42"/>
  <c r="AS94" i="42"/>
  <c r="Y93" i="42"/>
  <c r="AC93" i="42"/>
  <c r="AK93" i="42"/>
  <c r="U93" i="42"/>
  <c r="Q93" i="42"/>
  <c r="I93" i="42"/>
  <c r="AL93" i="42"/>
  <c r="AD93" i="42"/>
  <c r="R93" i="42"/>
  <c r="AM93" i="42"/>
  <c r="O93" i="42"/>
  <c r="M93" i="42"/>
  <c r="X95" i="42"/>
  <c r="AC95" i="42"/>
  <c r="R95" i="42"/>
  <c r="AK95" i="42"/>
  <c r="N93" i="42"/>
  <c r="J95" i="42"/>
  <c r="L95" i="42"/>
  <c r="T95" i="42"/>
  <c r="H95" i="42"/>
  <c r="AN94" i="42"/>
  <c r="AD95" i="42"/>
  <c r="AF94" i="42"/>
  <c r="AF93" i="42"/>
  <c r="T93" i="42"/>
  <c r="V93" i="42"/>
  <c r="AQ93" i="42"/>
  <c r="AH93" i="42"/>
  <c r="O95" i="42"/>
  <c r="I95" i="42"/>
  <c r="AP94" i="42"/>
  <c r="Y94" i="42"/>
  <c r="AO94" i="42"/>
  <c r="AH94" i="42"/>
  <c r="AB94" i="42"/>
  <c r="N94" i="42"/>
  <c r="N95" i="42"/>
  <c r="AH95" i="42"/>
  <c r="I89" i="42"/>
  <c r="AR95" i="42"/>
  <c r="P94" i="42"/>
  <c r="V95" i="42"/>
  <c r="AB93" i="42"/>
  <c r="AG95" i="42"/>
  <c r="AP95" i="42"/>
  <c r="H94" i="42"/>
  <c r="AQ95" i="42"/>
  <c r="AI95" i="42"/>
  <c r="Y95" i="42"/>
  <c r="AE93" i="42"/>
  <c r="P95" i="42"/>
  <c r="AE95" i="42"/>
  <c r="S93" i="42"/>
  <c r="AJ93" i="42"/>
  <c r="AN93" i="42"/>
  <c r="AA93" i="42"/>
  <c r="AI93" i="42"/>
  <c r="J94" i="42"/>
  <c r="O94" i="42"/>
  <c r="K95" i="42"/>
  <c r="X93" i="42"/>
  <c r="AC94" i="42"/>
  <c r="R94" i="42"/>
  <c r="AL94" i="42"/>
  <c r="U95" i="42"/>
  <c r="X94" i="42"/>
  <c r="AJ94" i="42"/>
  <c r="AE94" i="42"/>
  <c r="U94" i="42"/>
  <c r="AS95" i="42"/>
  <c r="AN95" i="42"/>
  <c r="AQ94" i="42"/>
  <c r="L93" i="42"/>
  <c r="M95" i="42"/>
  <c r="AF95" i="42"/>
  <c r="P93" i="42"/>
  <c r="AO95" i="42"/>
  <c r="AM95" i="42"/>
  <c r="AR93" i="42"/>
  <c r="AR94" i="42"/>
  <c r="AD94" i="42"/>
  <c r="AL95" i="42"/>
  <c r="G94" i="42"/>
  <c r="M94" i="42"/>
  <c r="AG94" i="42"/>
  <c r="V94" i="42"/>
  <c r="W94" i="42"/>
  <c r="S95" i="42"/>
  <c r="S94" i="42"/>
  <c r="AX89" i="42" l="1"/>
  <c r="AX93" i="42"/>
  <c r="AX87" i="42"/>
  <c r="AX95" i="42"/>
  <c r="AX94"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Nicole Trouton</author>
    <author>Fisheries and Oceans Canada</author>
    <author>DFO-MPO</author>
  </authors>
  <commentList>
    <comment ref="H1" authorId="0" shapeId="0" xr:uid="{00000000-0006-0000-0300-000001000000}">
      <text>
        <r>
          <rPr>
            <b/>
            <sz val="8"/>
            <color indexed="81"/>
            <rFont val="Tahoma"/>
            <family val="2"/>
          </rPr>
          <t xml:space="preserve"> Erin Porszt:</t>
        </r>
        <r>
          <rPr>
            <sz val="8"/>
            <color indexed="81"/>
            <rFont val="Tahoma"/>
            <family val="2"/>
          </rPr>
          <t xml:space="preserve">
added 1979-1981 data from RawData worksheet</t>
        </r>
      </text>
    </comment>
    <comment ref="O26" authorId="1" shapeId="0" xr:uid="{00000000-0006-0000-0300-000002000000}">
      <text>
        <r>
          <rPr>
            <b/>
            <sz val="9"/>
            <color indexed="81"/>
            <rFont val="Tahoma"/>
            <family val="2"/>
          </rPr>
          <t>Nicole Trouton:</t>
        </r>
        <r>
          <rPr>
            <sz val="9"/>
            <color indexed="81"/>
            <rFont val="Tahoma"/>
            <family val="2"/>
          </rPr>
          <t xml:space="preserve">
Infill from TR file after running the macro.</t>
        </r>
      </text>
    </comment>
    <comment ref="H62" authorId="0" shapeId="0" xr:uid="{00000000-0006-0000-0300-000003000000}">
      <text>
        <r>
          <rPr>
            <b/>
            <sz val="8"/>
            <color indexed="81"/>
            <rFont val="Tahoma"/>
            <family val="2"/>
          </rPr>
          <t>ErinPorszt :</t>
        </r>
        <r>
          <rPr>
            <sz val="8"/>
            <color indexed="81"/>
            <rFont val="Tahoma"/>
            <family val="2"/>
          </rPr>
          <t xml:space="preserve">
Data for Harrison/Chilliwack for 1979-1981 is from file: FRLescapementdata_1979-83.xls  from Chuck Parken.</t>
        </r>
      </text>
    </comment>
    <comment ref="A65" authorId="2" shapeId="0" xr:uid="{00000000-0006-0000-0300-000004000000}">
      <text>
        <r>
          <rPr>
            <b/>
            <sz val="8"/>
            <color indexed="81"/>
            <rFont val="Tahoma"/>
            <family val="2"/>
          </rPr>
          <t>Erin Porszt:</t>
        </r>
        <r>
          <rPr>
            <sz val="8"/>
            <color indexed="81"/>
            <rFont val="Tahoma"/>
            <family val="2"/>
          </rPr>
          <t xml:space="preserve">
As of Feb.1, 2010, I assumed Blue River has same timing as Finn River</t>
        </r>
      </text>
    </comment>
    <comment ref="A66" authorId="3" shapeId="0" xr:uid="{00000000-0006-0000-0300-000005000000}">
      <text>
        <r>
          <rPr>
            <b/>
            <sz val="8"/>
            <color indexed="81"/>
            <rFont val="Tahoma"/>
            <family val="2"/>
          </rPr>
          <t>DFO-MPO:</t>
        </r>
        <r>
          <rPr>
            <sz val="8"/>
            <color indexed="81"/>
            <rFont val="Tahoma"/>
            <family val="2"/>
          </rPr>
          <t xml:space="preserve">
Used River entry timing from Parken et al. (2008) and assumed residence timing same as other North Thompson Summer 5sub2's</t>
        </r>
      </text>
    </comment>
    <comment ref="A67" authorId="3" shapeId="0" xr:uid="{00000000-0006-0000-0300-000006000000}">
      <text>
        <r>
          <rPr>
            <b/>
            <sz val="8"/>
            <color indexed="81"/>
            <rFont val="Tahoma"/>
            <family val="2"/>
          </rPr>
          <t>DFO-MPO:</t>
        </r>
        <r>
          <rPr>
            <sz val="8"/>
            <color indexed="81"/>
            <rFont val="Tahoma"/>
            <family val="2"/>
          </rPr>
          <t xml:space="preserve">
Assumed the same as Lower Shuswap, except for travel time which is slightly different because Upper Adams does not enter the Shuswap River</t>
        </r>
      </text>
    </comment>
    <comment ref="A68" authorId="3" shapeId="0" xr:uid="{00000000-0006-0000-0300-000007000000}">
      <text>
        <r>
          <rPr>
            <b/>
            <sz val="8"/>
            <color indexed="81"/>
            <rFont val="Tahoma"/>
            <family val="2"/>
          </rPr>
          <t>DFO-MPO:</t>
        </r>
        <r>
          <rPr>
            <sz val="8"/>
            <color indexed="81"/>
            <rFont val="Tahoma"/>
            <family val="2"/>
          </rPr>
          <t xml:space="preserve">
Used average of eagle and Salmon river for Albion timing. Residence time set same as Thompson Spring 5sub2's</t>
        </r>
      </text>
    </comment>
    <comment ref="A69" authorId="3" shapeId="0" xr:uid="{00000000-0006-0000-0300-000008000000}">
      <text>
        <r>
          <rPr>
            <b/>
            <sz val="9"/>
            <color indexed="81"/>
            <rFont val="Tahoma"/>
            <family val="2"/>
          </rPr>
          <t>DFO-MPO:</t>
        </r>
        <r>
          <rPr>
            <sz val="9"/>
            <color indexed="81"/>
            <rFont val="Tahoma"/>
            <family val="2"/>
          </rPr>
          <t xml:space="preserve">
</t>
        </r>
        <r>
          <rPr>
            <sz val="8"/>
            <color indexed="81"/>
            <rFont val="Tahoma"/>
            <family val="2"/>
          </rPr>
          <t>Used average of eagle and Salmon river for Albion timing. Residence time set same as Thompson Springs</t>
        </r>
      </text>
    </comment>
    <comment ref="A70" authorId="3" shapeId="0" xr:uid="{00000000-0006-0000-0300-000009000000}">
      <text>
        <r>
          <rPr>
            <sz val="8"/>
            <color indexed="81"/>
            <rFont val="Tahoma"/>
            <family val="2"/>
          </rPr>
          <t xml:space="preserve">Had Albion timing from Chuck. Assumed movement using same values as for other stocks. Assumed trib time same as Pitt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DFO-MPO</author>
  </authors>
  <commentList>
    <comment ref="N25" authorId="0" shapeId="0" xr:uid="{00000000-0006-0000-0400-000001000000}">
      <text>
        <r>
          <rPr>
            <b/>
            <sz val="9"/>
            <color indexed="81"/>
            <rFont val="Tahoma"/>
            <family val="2"/>
          </rPr>
          <t>N Trouton:</t>
        </r>
        <r>
          <rPr>
            <sz val="9"/>
            <color indexed="81"/>
            <rFont val="Tahoma"/>
            <family val="2"/>
          </rPr>
          <t xml:space="preserve">
Not infilling! Used 1239 from Terminal Run infill Feb 11, 2019.
Rory Cleveland Infilled with 1169 based on most recent Terminal Run infill file - Feb 9, 2023.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tc={77CCC6C6-674D-4370-B45D-37FAEFF84FE6}</author>
    <author>tc={1994BD27-D180-47A7-8366-61957CC7B06B}</author>
    <author>tc={7E53CB33-0EFB-4FF4-9BDD-41AF9E93105B}</author>
    <author>tc={52D92A94-E607-495F-8A9C-975CEEFAB233}</author>
    <author>tc={7872AC7C-F66E-42CC-A889-6A894A4C3AD2}</author>
    <author>tc={CD7FB3E9-837C-4CE4-A083-366B947190D8}</author>
    <author>tc={83D75FF5-61A1-4330-B970-D8E5F4F3073E}</author>
    <author>tc={014C9FC0-61F1-4C13-AEC3-579AD9BDEE13}</author>
    <author>tc={D582A5B1-8263-42A7-B8E5-436C5D632ECE}</author>
    <author>tc={36233BD9-C643-464D-9AC5-E2F8F0621223}</author>
    <author>tc={0074EC73-8BB0-42D0-BD63-64733E87564E}</author>
    <author>tc={7977D3E7-3477-4D98-BE7B-C17DAF0776F8}</author>
    <author>tc={3041F89C-6BF2-4839-95BB-1F9D9FCE82C6}</author>
    <author>tc={FCFCA38B-026E-4B78-BCBD-BFC10D3CACCA}</author>
    <author>tc={2C9BFC64-38C5-415A-B8EE-5DF1133FC5A2}</author>
    <author>tc={EC9E8AAE-4E7C-4F60-8B1B-70DBAD34269B}</author>
    <author>tc={9C26936B-98A6-4D38-B1C6-7EC1411843E2}</author>
    <author>tc={67813CC4-F1BC-4E41-8999-02A5F48A6EE2}</author>
    <author>tc={D65B39E8-8193-44BB-90BD-A8196D75477E}</author>
    <author>tc={CF94AA1D-D40E-489D-8B02-E4FA7B0DF1FF}</author>
    <author>tc={CD54CE05-208C-4CEA-80AE-3E70C1844294}</author>
    <author>tc={58F9E0B5-4899-4A4B-BE6A-6185A629A43D}</author>
    <author>tc={2A7DE2F1-FCEB-406A-A367-5A752B3FB9CF}</author>
    <author>tc={B1EB1C06-5A11-487A-824C-281BD6C686FC}</author>
    <author>tc={7C372E8A-2165-439E-9393-56C908DD6B6B}</author>
    <author>tc={7B692CB8-5CC3-40D6-A76B-82A96A9F9547}</author>
    <author>tc={8BCDF61E-EF58-4622-A1AD-6D1FD8000871}</author>
  </authors>
  <commentList>
    <comment ref="AS4" authorId="0" shapeId="0" xr:uid="{77CCC6C6-674D-4370-B45D-37FAEFF84FE6}">
      <text>
        <t>[Threaded comment]
Your version of Excel allows you to read this threaded comment; however, any edits to it will get removed if the file is opened in a newer version of Excel. Learn more: https://go.microsoft.com/fwlink/?linkid=870924
Comment:
    Like last year</t>
      </text>
    </comment>
    <comment ref="AT4" authorId="1" shapeId="0" xr:uid="{1994BD27-D180-47A7-8366-61957CC7B06B}">
      <text>
        <t>[Threaded comment]
Your version of Excel allows you to read this threaded comment; however, any edits to it will get removed if the file is opened in a newer version of Excel. Learn more: https://go.microsoft.com/fwlink/?linkid=870924
Comment:
    Like Last Year?</t>
      </text>
    </comment>
    <comment ref="AS5" authorId="2" shapeId="0" xr:uid="{7E53CB33-0EFB-4FF4-9BDD-41AF9E93105B}">
      <text>
        <t>[Threaded comment]
Your version of Excel allows you to read this threaded comment; however, any edits to it will get removed if the file is opened in a newer version of Excel. Learn more: https://go.microsoft.com/fwlink/?linkid=870924
Comment:
    Like last year
Reply:
    Previously said 13, I updated to 28 on Feb 2, 2023</t>
      </text>
    </comment>
    <comment ref="AT5" authorId="3" shapeId="0" xr:uid="{52D92A94-E607-495F-8A9C-975CEEFAB233}">
      <text>
        <t>[Threaded comment]
Your version of Excel allows you to read this threaded comment; however, any edits to it will get removed if the file is opened in a newer version of Excel. Learn more: https://go.microsoft.com/fwlink/?linkid=870924
Comment:
    Like Last Year</t>
      </text>
    </comment>
    <comment ref="AS6" authorId="4" shapeId="0" xr:uid="{7872AC7C-F66E-42CC-A889-6A894A4C3AD2}">
      <text>
        <t>[Threaded comment]
Your version of Excel allows you to read this threaded comment; however, any edits to it will get removed if the file is opened in a newer version of Excel. Learn more: https://go.microsoft.com/fwlink/?linkid=870924
Comment:
    Rory inputted from SEP data</t>
      </text>
    </comment>
    <comment ref="AS14" authorId="5" shapeId="0" xr:uid="{CD7FB3E9-837C-4CE4-A083-366B947190D8}">
      <text>
        <t>[Threaded comment]
Your version of Excel allows you to read this threaded comment; however, any edits to it will get removed if the file is opened in a newer version of Excel. Learn more: https://go.microsoft.com/fwlink/?linkid=870924
Comment:
    Previously said 35. I updated to 10 on Feb 2, 2023. As indicated in 1980-2022 StAD Escapament Report.</t>
      </text>
    </comment>
    <comment ref="AT14" authorId="6" shapeId="0" xr:uid="{83D75FF5-61A1-4330-B970-D8E5F4F3073E}">
      <text>
        <t>[Threaded comment]
Your version of Excel allows you to read this threaded comment; however, any edits to it will get removed if the file is opened in a newer version of Excel. Learn more: https://go.microsoft.com/fwlink/?linkid=870924
Comment:
    No data yet in 2022- used last year years "10" in 1980-2022 Stad Escapement Report File.</t>
      </text>
    </comment>
    <comment ref="AT18" authorId="7" shapeId="0" xr:uid="{014C9FC0-61F1-4C13-AEC3-579AD9BDEE13}">
      <text>
        <t>[Threaded comment]
Your version of Excel allows you to read this threaded comment; however, any edits to it will get removed if the file is opened in a newer version of Excel. Learn more: https://go.microsoft.com/fwlink/?linkid=870924
Comment:
    From Kylie Anderson</t>
      </text>
    </comment>
    <comment ref="AS20" authorId="8" shapeId="0" xr:uid="{D582A5B1-8263-42A7-B8E5-436C5D632ECE}">
      <text>
        <t>[Threaded comment]
Your version of Excel allows you to read this threaded comment; however, any edits to it will get removed if the file is opened in a newer version of Excel. Learn more: https://go.microsoft.com/fwlink/?linkid=870924
Comment:
    Like last year
Reply:
    Lauren had put 23 like last year, I Updated to 9 Feb 2, 2023 as statd in 1980-2022 Stad Escapement Report</t>
      </text>
    </comment>
    <comment ref="AT20" authorId="9" shapeId="0" xr:uid="{36233BD9-C643-464D-9AC5-E2F8F0621223}">
      <text>
        <t>[Threaded comment]
Your version of Excel allows you to read this threaded comment; however, any edits to it will get removed if the file is opened in a newer version of Excel. Learn more: https://go.microsoft.com/fwlink/?linkid=870924
Comment:
    From Kylie, not Paul</t>
      </text>
    </comment>
    <comment ref="AS31" authorId="10" shapeId="0" xr:uid="{0074EC73-8BB0-42D0-BD63-64733E87564E}">
      <text>
        <t>[Threaded comment]
Your version of Excel allows you to read this threaded comment; however, any edits to it will get removed if the file is opened in a newer version of Excel. Learn more: https://go.microsoft.com/fwlink/?linkid=870924
Comment:
    Rory Inputted from SEP data</t>
      </text>
    </comment>
    <comment ref="AT31" authorId="11" shapeId="0" xr:uid="{7977D3E7-3477-4D98-BE7B-C17DAF0776F8}">
      <text>
        <t>[Threaded comment]
Your version of Excel allows you to read this threaded comment; however, any edits to it will get removed if the file is opened in a newer version of Excel. Learn more: https://go.microsoft.com/fwlink/?linkid=870924
Comment:
    From Kylie Anderson</t>
      </text>
    </comment>
    <comment ref="AS38" authorId="12" shapeId="0" xr:uid="{3041F89C-6BF2-4839-95BB-1F9D9FCE82C6}">
      <text>
        <t>[Threaded comment]
Your version of Excel allows you to read this threaded comment; however, any edits to it will get removed if the file is opened in a newer version of Excel. Learn more: https://go.microsoft.com/fwlink/?linkid=870924
Comment:
    Rory inputted from SEP data</t>
      </text>
    </comment>
    <comment ref="AT38" authorId="13" shapeId="0" xr:uid="{FCFCA38B-026E-4B78-BCBD-BFC10D3CACCA}">
      <text>
        <t>[Threaded comment]
Your version of Excel allows you to read this threaded comment; however, any edits to it will get removed if the file is opened in a newer version of Excel. Learn more: https://go.microsoft.com/fwlink/?linkid=870924
Comment:
    Like last year</t>
      </text>
    </comment>
    <comment ref="AS40" authorId="14" shapeId="0" xr:uid="{2C9BFC64-38C5-415A-B8EE-5DF1133FC5A2}">
      <text>
        <t>[Threaded comment]
Your version of Excel allows you to read this threaded comment; however, any edits to it will get removed if the file is opened in a newer version of Excel. Learn more: https://go.microsoft.com/fwlink/?linkid=870924
Comment:
    Rory Inputted from SEP data</t>
      </text>
    </comment>
    <comment ref="AR47" authorId="15" shapeId="0" xr:uid="{EC9E8AAE-4E7C-4F60-8B1B-70DBAD34269B}">
      <text>
        <t>[Threaded comment]
Your version of Excel allows you to read this threaded comment; however, any edits to it will get removed if the file is opened in a newer version of Excel. Learn more: https://go.microsoft.com/fwlink/?linkid=870924
Comment:
    Rory updated from 21 to 22, from SEP data</t>
      </text>
    </comment>
    <comment ref="AT47" authorId="16" shapeId="0" xr:uid="{9C26936B-98A6-4D38-B1C6-7EC1411843E2}">
      <text>
        <t>[Threaded comment]
Your version of Excel allows you to read this threaded comment; however, any edits to it will get removed if the file is opened in a newer version of Excel. Learn more: https://go.microsoft.com/fwlink/?linkid=870924
Comment:
    Like Last Year - Feb 2, 2023</t>
      </text>
    </comment>
    <comment ref="AS54" authorId="17" shapeId="0" xr:uid="{67813CC4-F1BC-4E41-8999-02A5F48A6EE2}">
      <text>
        <t>[Threaded comment]
Your version of Excel allows you to read this threaded comment; however, any edits to it will get removed if the file is opened in a newer version of Excel. Learn more: https://go.microsoft.com/fwlink/?linkid=870924
Comment:
    Like last year
Reply:
    Lauren had entered 54 like 2020, I updated to 28 Feb 2, 2023.</t>
      </text>
    </comment>
    <comment ref="AT54" authorId="18" shapeId="0" xr:uid="{D65B39E8-8193-44BB-90BD-A8196D75477E}">
      <text>
        <t>[Threaded comment]
Your version of Excel allows you to read this threaded comment; however, any edits to it will get removed if the file is opened in a newer version of Excel. Learn more: https://go.microsoft.com/fwlink/?linkid=870924
Comment:
    Like Last Year</t>
      </text>
    </comment>
    <comment ref="AS62" authorId="19" shapeId="0" xr:uid="{CF94AA1D-D40E-489D-8B02-E4FA7B0DF1FF}">
      <text>
        <t>[Threaded comment]
Your version of Excel allows you to read this threaded comment; however, any edits to it will get removed if the file is opened in a newer version of Excel. Learn more: https://go.microsoft.com/fwlink/?linkid=870924
Comment:
    Like last year
Reply:
    Lauren previously had 9. I Updated to 7, Feb 2, 2023.</t>
      </text>
    </comment>
    <comment ref="AT62" authorId="20" shapeId="0" xr:uid="{CD54CE05-208C-4CEA-80AE-3E70C1844294}">
      <text>
        <t>[Threaded comment]
Your version of Excel allows you to read this threaded comment; however, any edits to it will get removed if the file is opened in a newer version of Excel. Learn more: https://go.microsoft.com/fwlink/?linkid=870924
Comment:
    From Kylie Anderson</t>
      </text>
    </comment>
    <comment ref="AS68" authorId="21" shapeId="0" xr:uid="{58F9E0B5-4899-4A4B-BE6A-6185A629A43D}">
      <text>
        <t>[Threaded comment]
Your version of Excel allows you to read this threaded comment; however, any edits to it will get removed if the file is opened in a newer version of Excel. Learn more: https://go.microsoft.com/fwlink/?linkid=870924
Comment:
    Like last year
Reply:
    Lauren previously had 9, I updated to 31 Feb 2, 2023.</t>
      </text>
    </comment>
    <comment ref="AT68" authorId="22" shapeId="0" xr:uid="{2A7DE2F1-FCEB-406A-A367-5A752B3FB9CF}">
      <text>
        <t>[Threaded comment]
Your version of Excel allows you to read this threaded comment; however, any edits to it will get removed if the file is opened in a newer version of Excel. Learn more: https://go.microsoft.com/fwlink/?linkid=870924
Comment:
    From Kylie Anderson</t>
      </text>
    </comment>
    <comment ref="AS76" authorId="23" shapeId="0" xr:uid="{B1EB1C06-5A11-487A-824C-281BD6C686FC}">
      <text>
        <t>[Threaded comment]
Your version of Excel allows you to read this threaded comment; however, any edits to it will get removed if the file is opened in a newer version of Excel. Learn more: https://go.microsoft.com/fwlink/?linkid=870924
Comment:
    Rory updated, from SEP data</t>
      </text>
    </comment>
    <comment ref="AT83" authorId="24" shapeId="0" xr:uid="{7C372E8A-2165-439E-9393-56C908DD6B6B}">
      <text>
        <t>[Threaded comment]
Your version of Excel allows you to read this threaded comment; however, any edits to it will get removed if the file is opened in a newer version of Excel. Learn more: https://go.microsoft.com/fwlink/?linkid=870924
Comment:
    From Kylie Anderson
Reply:
    Includes Torpy</t>
      </text>
    </comment>
    <comment ref="AS84" authorId="25" shapeId="0" xr:uid="{7B692CB8-5CC3-40D6-A76B-82A96A9F9547}">
      <text>
        <t>[Threaded comment]
Your version of Excel allows you to read this threaded comment; however, any edits to it will get removed if the file is opened in a newer version of Excel. Learn more: https://go.microsoft.com/fwlink/?linkid=870924
Comment:
    Rory updated, from SEP data</t>
      </text>
    </comment>
    <comment ref="AT84" authorId="26" shapeId="0" xr:uid="{8BCDF61E-EF58-4622-A1AD-6D1FD8000871}">
      <text>
        <t>[Threaded comment]
Your version of Excel allows you to read this threaded comment; however, any edits to it will get removed if the file is opened in a newer version of Excel. Learn more: https://go.microsoft.com/fwlink/?linkid=870924
Comment:
    Kylie gave us this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tc={2943E02F-AA56-42F8-AB05-9311FFC4C518}</author>
    <author>tc={46E44432-BD65-4476-B368-E43348A16449}</author>
    <author>Fisheries and Oceans Canada</author>
    <author>DFO-MPO</author>
  </authors>
  <commentList>
    <comment ref="F1" authorId="0" shapeId="0" xr:uid="{2943E02F-AA56-42F8-AB05-9311FFC4C518}">
      <text>
        <t>[Threaded comment]
Your version of Excel allows you to read this threaded comment; however, any edits to it will get removed if the file is opened in a newer version of Excel. Learn more: https://go.microsoft.com/fwlink/?linkid=870924
Comment:
    Mortality for Springs was estimated at 80% and 50% for Summers.</t>
      </text>
    </comment>
    <comment ref="G1" authorId="1" shapeId="0" xr:uid="{46E44432-BD65-4476-B368-E43348A16449}">
      <text>
        <t>[Threaded comment]
Your version of Excel allows you to read this threaded comment; however, any edits to it will get removed if the file is opened in a newer version of Excel. Learn more: https://go.microsoft.com/fwlink/?linkid=870924
Comment:
    Big bar mortality was about 22% for spring Chinook stocks, 0% mortality for summers. No mortality in 2021</t>
      </text>
    </comment>
    <comment ref="A64" authorId="2" shapeId="0" xr:uid="{00000000-0006-0000-0900-000001000000}">
      <text>
        <r>
          <rPr>
            <b/>
            <sz val="8"/>
            <color indexed="81"/>
            <rFont val="Tahoma"/>
            <family val="2"/>
          </rPr>
          <t>Erin Porszt:</t>
        </r>
        <r>
          <rPr>
            <sz val="8"/>
            <color indexed="81"/>
            <rFont val="Tahoma"/>
            <family val="2"/>
          </rPr>
          <t xml:space="preserve">
As of Feb.1, 2010, I assumed Blue River has same timing as Finn River</t>
        </r>
      </text>
    </comment>
    <comment ref="A65" authorId="3" shapeId="0" xr:uid="{00000000-0006-0000-0900-000002000000}">
      <text>
        <r>
          <rPr>
            <b/>
            <sz val="8"/>
            <color indexed="81"/>
            <rFont val="Tahoma"/>
            <family val="2"/>
          </rPr>
          <t>DFO-MPO:</t>
        </r>
        <r>
          <rPr>
            <sz val="8"/>
            <color indexed="81"/>
            <rFont val="Tahoma"/>
            <family val="2"/>
          </rPr>
          <t xml:space="preserve">
Used River entry timing from Parken et al. (2008) and assumed residence timing same as other North Thompson Summer 5sub2's</t>
        </r>
      </text>
    </comment>
    <comment ref="A66" authorId="3" shapeId="0" xr:uid="{00000000-0006-0000-0900-000003000000}">
      <text>
        <r>
          <rPr>
            <b/>
            <sz val="8"/>
            <color indexed="81"/>
            <rFont val="Tahoma"/>
            <family val="2"/>
          </rPr>
          <t>DFO-MPO:</t>
        </r>
        <r>
          <rPr>
            <sz val="8"/>
            <color indexed="81"/>
            <rFont val="Tahoma"/>
            <family val="2"/>
          </rPr>
          <t xml:space="preserve">
Assumed the same as Lower Shuswap, except for travel time which is slightly different because Upper Adams does not enter the Shuswap River</t>
        </r>
      </text>
    </comment>
    <comment ref="A67" authorId="3" shapeId="0" xr:uid="{00000000-0006-0000-0900-000004000000}">
      <text>
        <r>
          <rPr>
            <b/>
            <sz val="8"/>
            <color indexed="81"/>
            <rFont val="Tahoma"/>
            <family val="2"/>
          </rPr>
          <t>DFO-MPO:</t>
        </r>
        <r>
          <rPr>
            <sz val="8"/>
            <color indexed="81"/>
            <rFont val="Tahoma"/>
            <family val="2"/>
          </rPr>
          <t xml:space="preserve">
Used average of eagle and Salmon river for Albion timing. Residence time set same as Thompson Spring 5sub2's</t>
        </r>
      </text>
    </comment>
    <comment ref="A68" authorId="3" shapeId="0" xr:uid="{00000000-0006-0000-0900-000005000000}">
      <text>
        <r>
          <rPr>
            <b/>
            <sz val="9"/>
            <color indexed="81"/>
            <rFont val="Tahoma"/>
            <family val="2"/>
          </rPr>
          <t>DFO-MPO:</t>
        </r>
        <r>
          <rPr>
            <sz val="9"/>
            <color indexed="81"/>
            <rFont val="Tahoma"/>
            <family val="2"/>
          </rPr>
          <t xml:space="preserve">
</t>
        </r>
        <r>
          <rPr>
            <sz val="8"/>
            <color indexed="81"/>
            <rFont val="Tahoma"/>
            <family val="2"/>
          </rPr>
          <t>Used average of eagle and Salmon river for Albion timing. Residence time set same as Thompson Springs</t>
        </r>
      </text>
    </comment>
    <comment ref="A69" authorId="3" shapeId="0" xr:uid="{00000000-0006-0000-0900-000006000000}">
      <text>
        <r>
          <rPr>
            <sz val="8"/>
            <color indexed="81"/>
            <rFont val="Tahoma"/>
            <family val="2"/>
          </rPr>
          <t xml:space="preserve">Had Albion timing from Chuck. Assumed movement using same values as for other stocks. Assumed trib time same as Pitt </t>
        </r>
      </text>
    </comment>
  </commentList>
</comments>
</file>

<file path=xl/sharedStrings.xml><?xml version="1.0" encoding="utf-8"?>
<sst xmlns="http://schemas.openxmlformats.org/spreadsheetml/2006/main" count="30840" uniqueCount="1080">
  <si>
    <t>CU_findex</t>
  </si>
  <si>
    <t>SYS_NM</t>
  </si>
  <si>
    <t>rtnYear</t>
  </si>
  <si>
    <t>Agg</t>
  </si>
  <si>
    <t>NatSpwnAD</t>
  </si>
  <si>
    <t>MQ_Comment</t>
  </si>
  <si>
    <t>EstClass</t>
  </si>
  <si>
    <t>Comments</t>
  </si>
  <si>
    <t>CK-15</t>
  </si>
  <si>
    <t>Summer 4.1</t>
  </si>
  <si>
    <t>CK-13</t>
  </si>
  <si>
    <t>SOUTH THOMPSON RIVER</t>
  </si>
  <si>
    <t>WAP CREEK</t>
  </si>
  <si>
    <t>CK-08</t>
  </si>
  <si>
    <t>NAHATLATCH RIVER</t>
  </si>
  <si>
    <t>Spring 5.2</t>
  </si>
  <si>
    <t>CK-09</t>
  </si>
  <si>
    <t>PORTAGE CREEK</t>
  </si>
  <si>
    <t>Summer 5.2</t>
  </si>
  <si>
    <t>CK-16</t>
  </si>
  <si>
    <t>BESSETTE CREEK</t>
  </si>
  <si>
    <t>CREIGHTON CREEK</t>
  </si>
  <si>
    <t>DUTEAU CREEK</t>
  </si>
  <si>
    <t>CK-10</t>
  </si>
  <si>
    <t>BAEZAEKO RIVER</t>
  </si>
  <si>
    <t>BAKER CREEK</t>
  </si>
  <si>
    <t>CHILAKO RIVER</t>
  </si>
  <si>
    <t>COTTONWOOD RIVER-UPPER</t>
  </si>
  <si>
    <t>ENDAKO RIVER</t>
  </si>
  <si>
    <t>NARCOSLI CREEK</t>
  </si>
  <si>
    <t>NAVER CREEK</t>
  </si>
  <si>
    <t>NAZKO RIVER</t>
  </si>
  <si>
    <t>WEST ROAD (BLACKWATER) RIVER</t>
  </si>
  <si>
    <t>CK-11</t>
  </si>
  <si>
    <t>CHILKO RIVER</t>
  </si>
  <si>
    <t>KAZCHEK CREEK</t>
  </si>
  <si>
    <t>KUZKWA RIVER</t>
  </si>
  <si>
    <t>NECHAKO RIVER</t>
  </si>
  <si>
    <t>CK-12</t>
  </si>
  <si>
    <t>ANTLER CREEK</t>
  </si>
  <si>
    <t>BOWRON RIVER</t>
  </si>
  <si>
    <t>CAPTAIN CREEK</t>
  </si>
  <si>
    <t>FONTONIKO CREEK</t>
  </si>
  <si>
    <t>FRASER RIVER-ABOVE TETE JAUNE</t>
  </si>
  <si>
    <t>GOAT RIVER</t>
  </si>
  <si>
    <t>HAGGEN CREEK</t>
  </si>
  <si>
    <t>HERRICK CREEK</t>
  </si>
  <si>
    <t>HOLLIDAY CREEK</t>
  </si>
  <si>
    <t>HOLMES RIVER</t>
  </si>
  <si>
    <t>HUMBUG CREEK</t>
  </si>
  <si>
    <t>ICE CREEK</t>
  </si>
  <si>
    <t>INDIANPOINT CREEK</t>
  </si>
  <si>
    <t>MCKALE RIVER</t>
  </si>
  <si>
    <t>MORKILL RIVER</t>
  </si>
  <si>
    <t>NEVIN CREEK</t>
  </si>
  <si>
    <t>SEEBACH CREEK</t>
  </si>
  <si>
    <t>SLIM CREEK</t>
  </si>
  <si>
    <t>SMALL CREEK</t>
  </si>
  <si>
    <t>SPAKWANIKO CREEK</t>
  </si>
  <si>
    <t>SWIFT CREEK</t>
  </si>
  <si>
    <t>TORPY RIVER</t>
  </si>
  <si>
    <t>TWIN CREEKS (COMBINED)</t>
  </si>
  <si>
    <t>WALKER CREEK</t>
  </si>
  <si>
    <t>WANSA CREEK</t>
  </si>
  <si>
    <t>WILLOW RIVER</t>
  </si>
  <si>
    <t>CK-03</t>
  </si>
  <si>
    <t>HARRISON RIVER</t>
  </si>
  <si>
    <t>CK-04</t>
  </si>
  <si>
    <t>BIRKENHEAD RIVER</t>
  </si>
  <si>
    <t>CK-05</t>
  </si>
  <si>
    <t>CK-06</t>
  </si>
  <si>
    <t>BIG SILVER CREEK</t>
  </si>
  <si>
    <t>CHILLIWACK</t>
  </si>
  <si>
    <t>DOUGLAS CREEK</t>
  </si>
  <si>
    <t>SLOQUET CREEK</t>
  </si>
  <si>
    <t>TIPELLA CREEK</t>
  </si>
  <si>
    <t>CK-07</t>
  </si>
  <si>
    <t>MARIA SLOUGH</t>
  </si>
  <si>
    <t>CK-9008</t>
  </si>
  <si>
    <t>CHILLIWACK/VEDDER RIVER</t>
  </si>
  <si>
    <t>CK-17</t>
  </si>
  <si>
    <t>NICOLA RIVER</t>
  </si>
  <si>
    <t>Spring 4.2</t>
  </si>
  <si>
    <t>LOUIS CREEK</t>
  </si>
  <si>
    <t>DEADMAN RIVER</t>
  </si>
  <si>
    <t>COLDWATER RIVER</t>
  </si>
  <si>
    <t>SPIUS CREEK</t>
  </si>
  <si>
    <t>BONAPARTE RIVER</t>
  </si>
  <si>
    <t>CK-19</t>
  </si>
  <si>
    <t>CLEARWATER RIVER</t>
  </si>
  <si>
    <t>PINCHI CREEK</t>
  </si>
  <si>
    <t>STELLAKO RIVER</t>
  </si>
  <si>
    <t>CK-18</t>
  </si>
  <si>
    <t>BLUE RIVER</t>
  </si>
  <si>
    <t>HORSEY CREEK</t>
  </si>
  <si>
    <t>DOME CREEK</t>
  </si>
  <si>
    <r>
      <t>·</t>
    </r>
    <r>
      <rPr>
        <sz val="7"/>
        <color theme="1"/>
        <rFont val="Times New Roman"/>
        <family val="1"/>
      </rPr>
      <t xml:space="preserve">        </t>
    </r>
    <r>
      <rPr>
        <sz val="11"/>
        <color theme="1"/>
        <rFont val="Calibri"/>
        <family val="2"/>
        <scheme val="minor"/>
      </rPr>
      <t>The McGregor Aggregate escapement estimate is the sum of the surveyed tributaries;</t>
    </r>
  </si>
  <si>
    <r>
      <t>·</t>
    </r>
    <r>
      <rPr>
        <sz val="7"/>
        <color theme="1"/>
        <rFont val="Times New Roman"/>
        <family val="1"/>
      </rPr>
      <t xml:space="preserve">        </t>
    </r>
    <r>
      <rPr>
        <sz val="11"/>
        <color theme="1"/>
        <rFont val="Calibri"/>
        <family val="2"/>
        <scheme val="minor"/>
      </rPr>
      <t>Zeros are zeros based on the method used, do not infill;</t>
    </r>
  </si>
  <si>
    <r>
      <t>·</t>
    </r>
    <r>
      <rPr>
        <sz val="7"/>
        <color theme="1"/>
        <rFont val="Times New Roman"/>
        <family val="1"/>
      </rPr>
      <t xml:space="preserve">        </t>
    </r>
    <r>
      <rPr>
        <sz val="11"/>
        <color theme="1"/>
        <rFont val="Calibri"/>
        <family val="2"/>
        <scheme val="minor"/>
      </rPr>
      <t>Ni’s indicate that the stream was not inspected and infilling is required;</t>
    </r>
  </si>
  <si>
    <r>
      <t>·</t>
    </r>
    <r>
      <rPr>
        <sz val="7"/>
        <color theme="1"/>
        <rFont val="Times New Roman"/>
        <family val="1"/>
      </rPr>
      <t xml:space="preserve">        </t>
    </r>
    <r>
      <rPr>
        <sz val="11"/>
        <color theme="1"/>
        <rFont val="Calibri"/>
        <family val="2"/>
        <scheme val="minor"/>
      </rPr>
      <t>Type 6 indicates the estimate is suitable for presence but not quantitative analysis and infilling is required - do not use old estimates;</t>
    </r>
  </si>
  <si>
    <r>
      <t>·</t>
    </r>
    <r>
      <rPr>
        <sz val="7"/>
        <color theme="1"/>
        <rFont val="Times New Roman"/>
        <family val="1"/>
      </rPr>
      <t xml:space="preserve">        </t>
    </r>
    <r>
      <rPr>
        <sz val="11"/>
        <color theme="1"/>
        <rFont val="Calibri"/>
        <family val="2"/>
        <scheme val="minor"/>
      </rPr>
      <t>A blank indicates that we did not verify the escapement estimate and will be verified as time permits, please use the old estimate or infill as required;</t>
    </r>
  </si>
  <si>
    <r>
      <t>·</t>
    </r>
    <r>
      <rPr>
        <sz val="7"/>
        <color theme="1"/>
        <rFont val="Times New Roman"/>
        <family val="1"/>
      </rPr>
      <t xml:space="preserve">        </t>
    </r>
    <r>
      <rPr>
        <sz val="11"/>
        <color theme="1"/>
        <rFont val="Calibri"/>
        <family val="2"/>
        <scheme val="minor"/>
      </rPr>
      <t>A standardized time series of data for Nechako back to 1980 has been provided using ML AUC or AUC equivalent method, please infill 1979;</t>
    </r>
  </si>
  <si>
    <r>
      <t>·</t>
    </r>
    <r>
      <rPr>
        <sz val="7"/>
        <color theme="1"/>
        <rFont val="Times New Roman"/>
        <family val="1"/>
      </rPr>
      <t xml:space="preserve">        </t>
    </r>
    <r>
      <rPr>
        <sz val="11"/>
        <color theme="1"/>
        <rFont val="Calibri"/>
        <family val="2"/>
        <scheme val="minor"/>
      </rPr>
      <t>Stocks and years that are not listed were not verified and will be verified as time permits, therefore, use the old estimate; and</t>
    </r>
  </si>
  <si>
    <r>
      <t>·</t>
    </r>
    <r>
      <rPr>
        <sz val="7"/>
        <color theme="1"/>
        <rFont val="Times New Roman"/>
        <family val="1"/>
      </rPr>
      <t xml:space="preserve">        </t>
    </r>
    <r>
      <rPr>
        <sz val="11"/>
        <color theme="1"/>
        <rFont val="Calibri"/>
        <family val="2"/>
        <scheme val="minor"/>
      </rPr>
      <t>Please note that some of the updates go back further than 1995 such as Lower Shuswap, Middle Shuswap, Nicola, Harrison, Nechako and Birkenhead.</t>
    </r>
  </si>
  <si>
    <r>
      <t>·</t>
    </r>
    <r>
      <rPr>
        <sz val="7"/>
        <color theme="1"/>
        <rFont val="Times New Roman"/>
        <family val="1"/>
      </rPr>
      <t xml:space="preserve">        </t>
    </r>
    <r>
      <rPr>
        <sz val="11"/>
        <color theme="1"/>
        <rFont val="Calibri"/>
        <family val="2"/>
        <scheme val="minor"/>
      </rPr>
      <t>The Nechako data set was updated based on AUC Equivalent work by Hill &amp; Irvine (1980-1987) and ML AUC work done by Trouton et al (2005 &amp; 2015).</t>
    </r>
  </si>
  <si>
    <t>Notes from Fraser CN&amp;CO for Chinook Run Reconstruction (planned for Feb 2015):</t>
  </si>
  <si>
    <t>Overview of Updates provided:</t>
  </si>
  <si>
    <t>Date:</t>
  </si>
  <si>
    <t>By:</t>
  </si>
  <si>
    <t>Nicole Trouton, DFO</t>
  </si>
  <si>
    <r>
      <t>·</t>
    </r>
    <r>
      <rPr>
        <sz val="7"/>
        <color theme="1"/>
        <rFont val="Times New Roman"/>
        <family val="1"/>
      </rPr>
      <t xml:space="preserve">        </t>
    </r>
    <r>
      <rPr>
        <sz val="11"/>
        <color theme="1"/>
        <rFont val="Calibri"/>
        <family val="2"/>
        <scheme val="minor"/>
      </rPr>
      <t>An updated time series has been included for Middle Shuswap, Lower Shuswap &amp; Lower Chilcotin as a result of Lemke et al's calibration work.</t>
    </r>
  </si>
  <si>
    <r>
      <t>·</t>
    </r>
    <r>
      <rPr>
        <sz val="7"/>
        <color theme="1"/>
        <rFont val="Times New Roman"/>
        <family val="1"/>
      </rPr>
      <t xml:space="preserve">        </t>
    </r>
    <r>
      <rPr>
        <sz val="11"/>
        <color theme="1"/>
        <rFont val="Calibri"/>
        <family val="2"/>
        <scheme val="minor"/>
      </rPr>
      <t>An updated time series has been included for Nicola River based on Parken &amp; Bailey's work.</t>
    </r>
  </si>
  <si>
    <r>
      <t>·</t>
    </r>
    <r>
      <rPr>
        <sz val="7"/>
        <color theme="1"/>
        <rFont val="Times New Roman"/>
        <family val="1"/>
      </rPr>
      <t xml:space="preserve">        </t>
    </r>
    <r>
      <rPr>
        <sz val="11"/>
        <color theme="1"/>
        <rFont val="Calibri"/>
        <family val="2"/>
        <scheme val="minor"/>
      </rPr>
      <t>These estimates were verified originally for the SBC investigation.</t>
    </r>
  </si>
  <si>
    <r>
      <t>·</t>
    </r>
    <r>
      <rPr>
        <i/>
        <sz val="7"/>
        <color theme="1"/>
        <rFont val="Times New Roman"/>
        <family val="1"/>
      </rPr>
      <t xml:space="preserve">        </t>
    </r>
    <r>
      <rPr>
        <i/>
        <sz val="11"/>
        <color theme="1"/>
        <rFont val="Calibri"/>
        <family val="2"/>
        <scheme val="minor"/>
      </rPr>
      <t>Verifications and updates will continue as time permits.</t>
    </r>
  </si>
  <si>
    <t>-2 = Not verified</t>
  </si>
  <si>
    <t>-6 = Type 6 not a quantitative estimate</t>
  </si>
  <si>
    <t>Stock Agg</t>
  </si>
  <si>
    <t>Order</t>
  </si>
  <si>
    <t>Stock Name</t>
  </si>
  <si>
    <t>Stock #</t>
  </si>
  <si>
    <t>Bessette</t>
  </si>
  <si>
    <t>Blackwater</t>
  </si>
  <si>
    <t>McGregor</t>
  </si>
  <si>
    <t>Bowron</t>
  </si>
  <si>
    <t>Torpy</t>
  </si>
  <si>
    <t>Adams</t>
  </si>
  <si>
    <t xml:space="preserve">Baker </t>
  </si>
  <si>
    <t>Barriere</t>
  </si>
  <si>
    <t>Big Silver</t>
  </si>
  <si>
    <t>Birkenhead</t>
  </si>
  <si>
    <t>Blue</t>
  </si>
  <si>
    <t>Bonaparte</t>
  </si>
  <si>
    <t>Bridge</t>
  </si>
  <si>
    <t>Cariboo</t>
  </si>
  <si>
    <t>Chilako</t>
  </si>
  <si>
    <t>Chilcotin Lower</t>
  </si>
  <si>
    <t>Chilcotin Upper</t>
  </si>
  <si>
    <t>Chilko</t>
  </si>
  <si>
    <t>Fall</t>
  </si>
  <si>
    <t>Chilliwack</t>
  </si>
  <si>
    <t>Chilliwack Su</t>
  </si>
  <si>
    <t>Clearwater</t>
  </si>
  <si>
    <t>Coldwater</t>
  </si>
  <si>
    <t>Cottonwood</t>
  </si>
  <si>
    <t>Deadman</t>
  </si>
  <si>
    <t>Dome</t>
  </si>
  <si>
    <t>Douglas</t>
  </si>
  <si>
    <t>Eagle</t>
  </si>
  <si>
    <t>Elkin</t>
  </si>
  <si>
    <t>Endako</t>
  </si>
  <si>
    <t>Finn</t>
  </si>
  <si>
    <t>Fraser</t>
  </si>
  <si>
    <t>Goat</t>
  </si>
  <si>
    <t>Harrison</t>
  </si>
  <si>
    <t>Holliday</t>
  </si>
  <si>
    <t>Holmes</t>
  </si>
  <si>
    <t>Horsefly</t>
  </si>
  <si>
    <t>Horsey</t>
  </si>
  <si>
    <t>Kazchek</t>
  </si>
  <si>
    <t>Kuzkwa</t>
  </si>
  <si>
    <t>Lemieux</t>
  </si>
  <si>
    <t>Little River</t>
  </si>
  <si>
    <t>Louis</t>
  </si>
  <si>
    <t>Lower Shuswap</t>
  </si>
  <si>
    <t>Lower Thompson</t>
  </si>
  <si>
    <t>Mahood</t>
  </si>
  <si>
    <t>Maria Slough</t>
  </si>
  <si>
    <t>McKale</t>
  </si>
  <si>
    <t>Middle Shuswap</t>
  </si>
  <si>
    <t>Morkill</t>
  </si>
  <si>
    <t>Nahatlatch</t>
  </si>
  <si>
    <t>Narcosli</t>
  </si>
  <si>
    <t>Naver</t>
  </si>
  <si>
    <t>Nechako</t>
  </si>
  <si>
    <t>Nevin</t>
  </si>
  <si>
    <t>Nicola</t>
  </si>
  <si>
    <t>North Thompson</t>
  </si>
  <si>
    <t>Pinchi</t>
  </si>
  <si>
    <t>Pitt</t>
  </si>
  <si>
    <t>Portage</t>
  </si>
  <si>
    <t>Quesnel</t>
  </si>
  <si>
    <t>Raft</t>
  </si>
  <si>
    <t>Scotch</t>
  </si>
  <si>
    <t>Seton</t>
  </si>
  <si>
    <t>Seymour</t>
  </si>
  <si>
    <t>Slim</t>
  </si>
  <si>
    <t>Sloquet</t>
  </si>
  <si>
    <t>Small</t>
  </si>
  <si>
    <t>THOMPSON RIVER</t>
  </si>
  <si>
    <t>South Thompson</t>
  </si>
  <si>
    <t>Spius</t>
  </si>
  <si>
    <t>Stave</t>
  </si>
  <si>
    <t>Stellako</t>
  </si>
  <si>
    <t>Stuart</t>
  </si>
  <si>
    <t>Swift</t>
  </si>
  <si>
    <t>Taseko</t>
  </si>
  <si>
    <t>Tipella</t>
  </si>
  <si>
    <t>Twin</t>
  </si>
  <si>
    <t>Upper Adams</t>
  </si>
  <si>
    <t>Walker</t>
  </si>
  <si>
    <t>Wap</t>
  </si>
  <si>
    <t>Willow</t>
  </si>
  <si>
    <t>Salmon (PG)</t>
  </si>
  <si>
    <t>Salmon (ST)</t>
  </si>
  <si>
    <t>Agg Name</t>
  </si>
  <si>
    <t>Kris Singer, DFO</t>
  </si>
  <si>
    <r>
      <t>·</t>
    </r>
    <r>
      <rPr>
        <b/>
        <sz val="7"/>
        <color theme="1"/>
        <rFont val="Times New Roman"/>
        <family val="1"/>
      </rPr>
      <t xml:space="preserve">        </t>
    </r>
    <r>
      <rPr>
        <b/>
        <sz val="11"/>
        <color theme="1"/>
        <rFont val="Calibri"/>
        <family val="2"/>
        <scheme val="minor"/>
      </rPr>
      <t>Updated Harrison MR Estimates.</t>
    </r>
  </si>
  <si>
    <r>
      <t>·</t>
    </r>
    <r>
      <rPr>
        <b/>
        <sz val="7"/>
        <color theme="1"/>
        <rFont val="Times New Roman"/>
        <family val="1"/>
      </rPr>
      <t xml:space="preserve">        </t>
    </r>
    <r>
      <rPr>
        <b/>
        <sz val="11"/>
        <color theme="1"/>
        <rFont val="Calibri"/>
        <family val="2"/>
        <scheme val="minor"/>
      </rPr>
      <t>Updated all available 2014 Estimates.</t>
    </r>
  </si>
  <si>
    <t>Douglas, Sloquet &amp; Tipella, no estimates given to DFO as of this date from 2012 to present</t>
  </si>
  <si>
    <t>Nic added Chilko 2012 - 2014</t>
  </si>
  <si>
    <t>Nechako (ML AUC) needs to be updated for 2014</t>
  </si>
  <si>
    <t>L. Thompson 'type' needs to be identified; 2013 missing information</t>
  </si>
  <si>
    <t>Wap 'type' needs to be identified</t>
  </si>
  <si>
    <t>Nicklen estimate not updated for 2014</t>
  </si>
  <si>
    <t>Received Bonaparte estimate (today), Sue to verify then needs to be updated here (2012 +)</t>
  </si>
  <si>
    <t>Baezaeko R</t>
  </si>
  <si>
    <t>Birkenhead R</t>
  </si>
  <si>
    <t>Bonaparte R</t>
  </si>
  <si>
    <t>Bowron R</t>
  </si>
  <si>
    <t>Bridge R</t>
  </si>
  <si>
    <t>Chehalis R</t>
  </si>
  <si>
    <t>Chilko R</t>
  </si>
  <si>
    <t>Coldwater R</t>
  </si>
  <si>
    <t>Cottonwood R</t>
  </si>
  <si>
    <t>Deadman R</t>
  </si>
  <si>
    <t>Dome Cr</t>
  </si>
  <si>
    <t>Duteau Cr</t>
  </si>
  <si>
    <t>Eagle R</t>
  </si>
  <si>
    <t>Finn Cr</t>
  </si>
  <si>
    <t>Fontoniko Cr</t>
  </si>
  <si>
    <t>Harrison R</t>
  </si>
  <si>
    <t>Horsefly R</t>
  </si>
  <si>
    <t>Indianpoint Cr</t>
  </si>
  <si>
    <t>McKinley Cr</t>
  </si>
  <si>
    <t>Nazko R</t>
  </si>
  <si>
    <t>Nicola R</t>
  </si>
  <si>
    <t>Quesnel R</t>
  </si>
  <si>
    <t>Raft R</t>
  </si>
  <si>
    <t>Slim Cr</t>
  </si>
  <si>
    <t>Spius Cr</t>
  </si>
  <si>
    <t>Stave R</t>
  </si>
  <si>
    <t>Stuart R</t>
  </si>
  <si>
    <t>West Road R</t>
  </si>
  <si>
    <t>Chilliwack R Su</t>
  </si>
  <si>
    <t>No.</t>
  </si>
  <si>
    <t>Loc</t>
  </si>
  <si>
    <t>Average</t>
  </si>
  <si>
    <t>Total</t>
  </si>
  <si>
    <t>New Stocks Total</t>
  </si>
  <si>
    <t>CHEHALIS RIVER</t>
  </si>
  <si>
    <t>MCKINLEY CREEK</t>
  </si>
  <si>
    <t>Escapement estimates for McKinley Creek and Chehalis River from Chuck Parken added to escapement file</t>
  </si>
  <si>
    <t>Karl English, LGL</t>
  </si>
  <si>
    <t>McKinley</t>
  </si>
  <si>
    <t>Chehalis</t>
  </si>
  <si>
    <t>Worksheet</t>
  </si>
  <si>
    <t>ESCAPE</t>
  </si>
  <si>
    <t>Category</t>
  </si>
  <si>
    <t>Model Input</t>
  </si>
  <si>
    <t>EscapeNew</t>
  </si>
  <si>
    <t>Updated Esc Est</t>
  </si>
  <si>
    <t>Updated escapement estimates for each Chinook stream as provided by DFO in a flat file (one record per stream per year).</t>
  </si>
  <si>
    <t>Escapement estimates with all missing values filled in using the escapement analysis program.</t>
  </si>
  <si>
    <t>Analysis Output</t>
  </si>
  <si>
    <t>Analysis Input</t>
  </si>
  <si>
    <t>Hatchery Removals</t>
  </si>
  <si>
    <t>Description</t>
  </si>
  <si>
    <t>Contains the annual escapement estimates for each stock in the Fraser Chinook RR Model.</t>
  </si>
  <si>
    <t>Notes</t>
  </si>
  <si>
    <t>Information</t>
  </si>
  <si>
    <t>Record of changes made to the escapement input data file or analysis process</t>
  </si>
  <si>
    <t>Analysis Steps</t>
  </si>
  <si>
    <t>Type-4: Moderate effort (1-4 surveys), known survey method</t>
  </si>
  <si>
    <t>Type-2: Mark-recapture</t>
  </si>
  <si>
    <t xml:space="preserve">Type-3: High effort (5 or more surveys)  </t>
  </si>
  <si>
    <t>Upper Pitt R</t>
  </si>
  <si>
    <t>Big Silver Cr</t>
  </si>
  <si>
    <t>Type-5: Low effort (1 survey) inconsistent or poorly executed methods</t>
  </si>
  <si>
    <t>Confirmed from electronic data, March 2015.</t>
  </si>
  <si>
    <t>Douglas Cr</t>
  </si>
  <si>
    <t>Sloquet Cr</t>
  </si>
  <si>
    <t>Tipella Cr</t>
  </si>
  <si>
    <t>Nahatlatch R</t>
  </si>
  <si>
    <t>Removed ReddExp from estimate (-18), March 2015.</t>
  </si>
  <si>
    <t>Updated with consistent expansion factor (was 2).</t>
  </si>
  <si>
    <t>Portage R</t>
  </si>
  <si>
    <t>Ahbau Cr</t>
  </si>
  <si>
    <t>Removed ReddExp from original estimate (-35), March 2015.</t>
  </si>
  <si>
    <t>Baker Cr</t>
  </si>
  <si>
    <t>Type-1: Fence or Fishway with virtually no bypass</t>
  </si>
  <si>
    <t>Chilako R</t>
  </si>
  <si>
    <t>Removed brood from original estimate (-11). March 2015.</t>
  </si>
  <si>
    <t>Chilcotin R (Lower)</t>
  </si>
  <si>
    <t>Chilcotin R (Upper)</t>
  </si>
  <si>
    <t>Driftwood R</t>
  </si>
  <si>
    <t>Endako R</t>
  </si>
  <si>
    <t>Lightning Cr</t>
  </si>
  <si>
    <t>Removed ReddExp from original estimate (-135; 45x3), March 2015.</t>
  </si>
  <si>
    <t>Documented count was not based on peak (updated from 117)</t>
  </si>
  <si>
    <t>Removed ReddExp from original estimate (-7), March 2015.</t>
  </si>
  <si>
    <t>Removed ReddExp from original estimate (-11), March 2015.</t>
  </si>
  <si>
    <t>Narcosli Cr</t>
  </si>
  <si>
    <t>Removed ReddExp from original estimate (-95).</t>
  </si>
  <si>
    <t>Updated from raw data March 2015</t>
  </si>
  <si>
    <t>Removed ReddExp from original estimate (-29)</t>
  </si>
  <si>
    <t>Naver Cr</t>
  </si>
  <si>
    <t>Removed ReddExp from original estimate (-114; 38x3)</t>
  </si>
  <si>
    <t>Removed ReddExp from original estimate (-4)</t>
  </si>
  <si>
    <t>Removed ReddExp from original estimate (-22)</t>
  </si>
  <si>
    <t>Punkutlaenkut Cr</t>
  </si>
  <si>
    <t>Swift R</t>
  </si>
  <si>
    <t>Victoria Cr</t>
  </si>
  <si>
    <t>Cariboo R (Lower)</t>
  </si>
  <si>
    <t>Updated from raw data March 2015.</t>
  </si>
  <si>
    <t>Elkin Cr</t>
  </si>
  <si>
    <t>Kazchek Cr</t>
  </si>
  <si>
    <t>Kuzkwa R</t>
  </si>
  <si>
    <t>Type-1B: Fence with significant breach</t>
  </si>
  <si>
    <t>Middle R</t>
  </si>
  <si>
    <t>Nechako R</t>
  </si>
  <si>
    <t>Ormond Cr</t>
  </si>
  <si>
    <t>Pinchi Cr</t>
  </si>
  <si>
    <t>Estimates for 1975 - 1980 include Cariboo R (Lower)</t>
  </si>
  <si>
    <t>Removed ReddExp from original estimate (-411), March 2015.</t>
  </si>
  <si>
    <t>Removed ReddExp from original estimate (-62), March 2015.</t>
  </si>
  <si>
    <t>Seton R</t>
  </si>
  <si>
    <t>Updated from raw data March 2015 (previously 0, None observed)</t>
  </si>
  <si>
    <t>Stellako R</t>
  </si>
  <si>
    <t>Tachie R</t>
  </si>
  <si>
    <t>Taseko R</t>
  </si>
  <si>
    <t>Estimates provided by Chuck Parken 2016, series based on Albion GSI method</t>
  </si>
  <si>
    <t>Antler Cr</t>
  </si>
  <si>
    <t>UNK: Unknown how estimate was generated</t>
  </si>
  <si>
    <t>Corrected typo March 2015.  Previously 1946.</t>
  </si>
  <si>
    <t>Updated from raw data (previously 7542).</t>
  </si>
  <si>
    <t>Captain Cr</t>
  </si>
  <si>
    <t>Forgetmenot Cr</t>
  </si>
  <si>
    <t>Fraser R @ Tete Jaune</t>
  </si>
  <si>
    <t>Goat R</t>
  </si>
  <si>
    <t>Haggen Cr</t>
  </si>
  <si>
    <t>Updated from raw data, March 2015.</t>
  </si>
  <si>
    <t>Herrick Cr</t>
  </si>
  <si>
    <t>Holliday Cr</t>
  </si>
  <si>
    <t>Holmes R</t>
  </si>
  <si>
    <t>Horsey Cr</t>
  </si>
  <si>
    <t>Humbug Cr</t>
  </si>
  <si>
    <t>Ice Cr</t>
  </si>
  <si>
    <t>McKale Cr</t>
  </si>
  <si>
    <t>Morkill R</t>
  </si>
  <si>
    <t>Updated from raw data March 2015. Previously 664. Typo?</t>
  </si>
  <si>
    <t>Updated from raw data March 2015.  Original estimate included Forgetmenot Cr.</t>
  </si>
  <si>
    <t>Removed Forgetmenot Cr. fish from estimate (-78).</t>
  </si>
  <si>
    <t>Nevin Cr</t>
  </si>
  <si>
    <t>Otter Cr</t>
  </si>
  <si>
    <t>Salmon R (PG)</t>
  </si>
  <si>
    <t>Seebach Cr</t>
  </si>
  <si>
    <t>Updated using consistent expansion factor (1.538).  Previous estimate (2112) used 2.</t>
  </si>
  <si>
    <t>Small Cr</t>
  </si>
  <si>
    <t>Spakwaniko Cr</t>
  </si>
  <si>
    <t>Swift Cr</t>
  </si>
  <si>
    <t>Torpy R</t>
  </si>
  <si>
    <t>Twin Cr (East)</t>
  </si>
  <si>
    <t>Twin Cr (West)</t>
  </si>
  <si>
    <t>Walker Cr</t>
  </si>
  <si>
    <t>Updated with consistent expansion factor (1.538); original estimate used 2.</t>
  </si>
  <si>
    <t>Wansa Cr</t>
  </si>
  <si>
    <t>Willow R</t>
  </si>
  <si>
    <t>Adams R (Lower)</t>
  </si>
  <si>
    <t>Updated from raw data, April 2016.</t>
  </si>
  <si>
    <t>Little R</t>
  </si>
  <si>
    <t>South Thompson R</t>
  </si>
  <si>
    <t>Thompson R</t>
  </si>
  <si>
    <t>Type-6: Presence/Absence</t>
  </si>
  <si>
    <t>CK-14</t>
  </si>
  <si>
    <t>Salmon R (ST)</t>
  </si>
  <si>
    <t>Natural spawners + d/s of fence estimate. Downstream estimate = 200</t>
  </si>
  <si>
    <t>Natural spawners + d/s of fence estimate. Downstream estimate = 100</t>
  </si>
  <si>
    <t>Natural spawners + d/s of fence estimate. Downstream estimate = 275</t>
  </si>
  <si>
    <t>Natural spawners + d/s of fence estimate.  Downstream estimate = 60</t>
  </si>
  <si>
    <t>Natural spawners + d/s of fence estimate.  Downstream estimate = 5</t>
  </si>
  <si>
    <t>Natural spawners + d/s of fence estimate.  Downstream estimate = 100</t>
  </si>
  <si>
    <t>Natural spawners + d/s of fence estimate.  Downstream estimate = 180</t>
  </si>
  <si>
    <t>Scotch Cr</t>
  </si>
  <si>
    <t>Seymour R</t>
  </si>
  <si>
    <t>Shuswap R (Lower)</t>
  </si>
  <si>
    <t>Shuswap R (Middle)</t>
  </si>
  <si>
    <t>Wap Cr</t>
  </si>
  <si>
    <t>Updated from raw data March 2015.  Previously AUC estimate (194)</t>
  </si>
  <si>
    <t>Bessette Cr</t>
  </si>
  <si>
    <t>Updated from SIL raw data March 2015.  Previously reported 360!</t>
  </si>
  <si>
    <t>Creighton Cr</t>
  </si>
  <si>
    <t>Harris Cr</t>
  </si>
  <si>
    <t>AUC estimate for escapement below the fence added (28).</t>
  </si>
  <si>
    <t>AUC estimate for escapement below the fence added (69).</t>
  </si>
  <si>
    <t>AUC estimate for escapement below the fence added (68).</t>
  </si>
  <si>
    <t>AUC estimate for escapement below the fence added (74).</t>
  </si>
  <si>
    <t>AUC estimate for escapement below the fence added (153).</t>
  </si>
  <si>
    <t>AUC estimate for escapement below the fence added (31).</t>
  </si>
  <si>
    <t>AUC estimate for escapement below the fence added (32).</t>
  </si>
  <si>
    <t>AUC estimate for escapement below the fence added (85).</t>
  </si>
  <si>
    <t>Actual AUC estimate for escapement below the fence added (117).</t>
  </si>
  <si>
    <t>Fishway count expanded for periods when the fence was not operational and should have been, based on run timing. Actual AUC estimate below fence added (152).</t>
  </si>
  <si>
    <t>First year of logie counter. Combined logie and manual counts. Fishway count expanded for periods when the fence was not operational and should have been, based on run timing. Actual AUC estimate below fence added (107).</t>
  </si>
  <si>
    <t>Fishway count expanded for periods when the fence was not operational and should have been, based on run timing. AUC estimate below fence added (98).</t>
  </si>
  <si>
    <t>Logie counts only. Fence count expanded for periods when the fence was not operational and should have been, based on run timing. AUC estimate below fence added (79).</t>
  </si>
  <si>
    <t>Fishway count expanded for periods when the fence was not operational and should have been, based on run timing. AUC estimate below fence added (31).</t>
  </si>
  <si>
    <t>Fishway count expanded for periods when the fence was not operational and should have been, based on run timing. AUC estimate below fence added (17).</t>
  </si>
  <si>
    <t>Fishway count expanded for periods when the fence was not operational and should have been, based on run timing. AUC estimate below fence added (87).</t>
  </si>
  <si>
    <t>Fishway count expanded for periods when the fence was not operational and should have been, based on run timing. AUC estimate below fence added (21).</t>
  </si>
  <si>
    <t>Fishway count expanded for periods when the fence was not operational and should have been, based on run timing. AUC estimate below fence added (39).</t>
  </si>
  <si>
    <t>Fishway count expanded for periods when the fence was not operational and should have been, based on run timing. AUC estimate below fence added (28).</t>
  </si>
  <si>
    <t>Fishway count expanded for periods when the fence was not operational and should have been, based on run timing. AUC estimate below fence added (49).</t>
  </si>
  <si>
    <t>Fishway count expanded for periods when the fence was not operational and should have been, based on run timing. AUC estimate below fence added (40).</t>
  </si>
  <si>
    <t>FN harvest = 276. Fishway count expanded for periods when the fence was not operational and should have been, based on run timing. AUC estimate below fence added (202).</t>
  </si>
  <si>
    <t>Fishway operational 25 May - 20 Sep. Count expanded for periods when the fence was not operational and should have been, based on run timing. AUC estimate below fence added (88).</t>
  </si>
  <si>
    <t>Louis Cr</t>
  </si>
  <si>
    <t>Removed ReddExp from original estimate (-62)</t>
  </si>
  <si>
    <t>Removed ReddExp from original estimate (-48)</t>
  </si>
  <si>
    <t>Blue R</t>
  </si>
  <si>
    <t>Need to track down Galesloot 1999 report for final estimate.</t>
  </si>
  <si>
    <t>Barriere R</t>
  </si>
  <si>
    <t>Clearwater R</t>
  </si>
  <si>
    <t>Lemieux Cr</t>
  </si>
  <si>
    <t>Removed ReddExp from original estimate (216)</t>
  </si>
  <si>
    <t>Mahood R</t>
  </si>
  <si>
    <t>Updated from raw data March 2015. (previously 155).</t>
  </si>
  <si>
    <t>North Thompson R</t>
  </si>
  <si>
    <t>Confirm from Galesloot 1999 report. May be AUC estimate?</t>
  </si>
  <si>
    <t>CK-82</t>
  </si>
  <si>
    <t>Adams R (Upper)</t>
  </si>
  <si>
    <t>Chilliwack/Vedder R</t>
  </si>
  <si>
    <t>Estimates provided by Chuck Parken 2016, SEP data</t>
  </si>
  <si>
    <t>Estimates provided by Chuck Parken 2016, SEP data from J. Sandher</t>
  </si>
  <si>
    <t>Old Escape List</t>
  </si>
  <si>
    <t>New Escape List</t>
  </si>
  <si>
    <t>Group Code</t>
  </si>
  <si>
    <t>StockList</t>
  </si>
  <si>
    <t>List of all the names, codes and aggregates for the Chinook stocks.</t>
  </si>
  <si>
    <t>Stock-Stream List</t>
  </si>
  <si>
    <t>List of all the stream names and associated stock codes and group codes.</t>
  </si>
  <si>
    <t>DFO Input Data</t>
  </si>
  <si>
    <t xml:space="preserve">Final year for analysis = </t>
  </si>
  <si>
    <t>Control</t>
  </si>
  <si>
    <t>Macro Control</t>
  </si>
  <si>
    <t xml:space="preserve">Set final year for escapement analysis.  </t>
  </si>
  <si>
    <t>CK-9006</t>
  </si>
  <si>
    <t>Releases of Harrison River-origin juveniles began with the 1981 brood and the ealiest returns begain in 1983. An assessment program in the river did not begin until 1985, though a rough estimatewas made for years 1983 and 1984.  In order to create base period harvest rates and then fishery index values, a fictitious escapement of 50 fish has been entered for the base period years 1979-82.</t>
  </si>
  <si>
    <t>The original value in this cell was 50 which was obtained from the hatchery records. An arbitrary number of 100 has been entered instead so that the FP values are not inflated too much.</t>
  </si>
  <si>
    <t>ESCAPE macro changed to read Updated Esc Est. for all years for all streams</t>
  </si>
  <si>
    <t>EscapeOldAdj worksheet set to 1 June 2015 escapement estimates for 1979-2014</t>
  </si>
  <si>
    <t xml:space="preserve">ESCAPE macro changed to compare new estimates with EscapeOldAdj for all 84 stocks for 1979-2014 </t>
  </si>
  <si>
    <t xml:space="preserve">ESCAPE macro changed to add group names to GroupP output worksheet </t>
  </si>
  <si>
    <t>ESCAPE macro changed so pre-1998 estimates for Twin and Cottonwood groups are equal to the total of recorded estimates for these stream groups (i.e. no adjustments for missing estimates)</t>
  </si>
  <si>
    <t>ESCAPE macro changed to calculate annual estimates for Cottonwood group and add Harris Cr. to Bessette group</t>
  </si>
  <si>
    <t>Stock-Stream List worksheet changed to add Cottonwood group with 3 new streams plus Cottonwood and add Harris Cr. to Bessette group</t>
  </si>
  <si>
    <t>Elkin Creek changed from Spring 5.2 to Summer 5.2</t>
  </si>
  <si>
    <t>Nicole Trouton &amp; Chuck Parken</t>
  </si>
  <si>
    <r>
      <t>·</t>
    </r>
    <r>
      <rPr>
        <b/>
        <sz val="7"/>
        <color theme="1"/>
        <rFont val="Times New Roman"/>
        <family val="1"/>
      </rPr>
      <t xml:space="preserve">        </t>
    </r>
    <r>
      <rPr>
        <b/>
        <sz val="11"/>
        <color theme="1"/>
        <rFont val="Calibri"/>
        <family val="2"/>
        <scheme val="minor"/>
      </rPr>
      <t>Updated all Escapement Estimates and added 2016</t>
    </r>
  </si>
  <si>
    <r>
      <t>·</t>
    </r>
    <r>
      <rPr>
        <b/>
        <sz val="7"/>
        <color theme="1"/>
        <rFont val="Times New Roman"/>
        <family val="1"/>
      </rPr>
      <t xml:space="preserve">        </t>
    </r>
    <r>
      <rPr>
        <b/>
        <sz val="11"/>
        <color theme="1"/>
        <rFont val="Calibri"/>
        <family val="2"/>
        <scheme val="minor"/>
      </rPr>
      <t>Updated all Hatchery Removals and addedd 2017</t>
    </r>
    <r>
      <rPr>
        <sz val="11"/>
        <color theme="1"/>
        <rFont val="Calibri"/>
        <family val="2"/>
        <scheme val="minor"/>
      </rPr>
      <t/>
    </r>
  </si>
  <si>
    <r>
      <t>·</t>
    </r>
    <r>
      <rPr>
        <b/>
        <sz val="7"/>
        <color theme="1"/>
        <rFont val="Times New Roman"/>
        <family val="1"/>
      </rPr>
      <t xml:space="preserve">        </t>
    </r>
    <r>
      <rPr>
        <b/>
        <sz val="11"/>
        <color theme="1"/>
        <rFont val="Calibri"/>
        <family val="2"/>
        <scheme val="minor"/>
      </rPr>
      <t>Used 2015 Chilliwack Sport Catch as placeholder for 2016</t>
    </r>
  </si>
  <si>
    <r>
      <t>·</t>
    </r>
    <r>
      <rPr>
        <b/>
        <sz val="7"/>
        <color theme="1"/>
        <rFont val="Times New Roman"/>
        <family val="1"/>
      </rPr>
      <t xml:space="preserve">        </t>
    </r>
    <r>
      <rPr>
        <b/>
        <sz val="11"/>
        <color theme="1"/>
        <rFont val="Calibri"/>
        <family val="2"/>
        <scheme val="minor"/>
      </rPr>
      <t>Used preliminary 2016 estimate for Fraser Mainstem Sport catch and proportions by area from 2014</t>
    </r>
  </si>
  <si>
    <r>
      <t>·</t>
    </r>
    <r>
      <rPr>
        <b/>
        <sz val="7"/>
        <color theme="1"/>
        <rFont val="Times New Roman"/>
        <family val="1"/>
      </rPr>
      <t xml:space="preserve">        </t>
    </r>
    <r>
      <rPr>
        <b/>
        <sz val="11"/>
        <color theme="1"/>
        <rFont val="Calibri"/>
        <family val="2"/>
        <scheme val="minor"/>
      </rPr>
      <t>Added 1979 - 1985 Chilliwack Sport Catch to TribCatch file:</t>
    </r>
  </si>
  <si>
    <r>
      <t>·</t>
    </r>
    <r>
      <rPr>
        <b/>
        <sz val="7"/>
        <color theme="1"/>
        <rFont val="Times New Roman"/>
        <family val="1"/>
      </rPr>
      <t xml:space="preserve">        </t>
    </r>
    <r>
      <rPr>
        <b/>
        <sz val="11"/>
        <color theme="1"/>
        <rFont val="Calibri"/>
        <family val="2"/>
        <scheme val="minor"/>
      </rPr>
      <t>Added 1979 - 1985 Fraser Mainstem Sport Catch to SportCatch file:</t>
    </r>
  </si>
  <si>
    <t>Hatchery removals for broodstock etc. for Chinook stocks with hatcheries for 1979-2017</t>
  </si>
  <si>
    <t xml:space="preserve">Estimates from old CTC spreadsheet </t>
  </si>
  <si>
    <t>Peak spawn date estimated 1 Oct 99</t>
  </si>
  <si>
    <t>Updated from raw data March 2015. Updated to reflect consistent expansion factor (2 to 1.538).  Estimate updated (previously 2496)</t>
  </si>
  <si>
    <t>Updated from raw data March 2015. Updated to reflect consistent expansion factor (2 to 1.538).  Estimate updated (previously 2216)</t>
  </si>
  <si>
    <t>Count complicated by large numbers of SK</t>
  </si>
  <si>
    <t xml:space="preserve"> Highest count on record.</t>
  </si>
  <si>
    <t>Redd count = 34</t>
  </si>
  <si>
    <t>Majority of fish spawning on gravel corner at Mica Lake</t>
  </si>
  <si>
    <t>Redd count = 8</t>
  </si>
  <si>
    <t>Redd count = 68 (4 Nov)</t>
  </si>
  <si>
    <t>Redd count = 108 (19 Nov).</t>
  </si>
  <si>
    <t>Redd count = 75 (14 Nov)</t>
  </si>
  <si>
    <t>Redd count = 68 (31 Oct)</t>
  </si>
  <si>
    <t>Redd count = 37 (6 Nov)</t>
  </si>
  <si>
    <t>Redd count = 25</t>
  </si>
  <si>
    <t>4 Nov 13: Too late for an accurate redd count but redds observed indicated chinook were present in the system at an earlier date.</t>
  </si>
  <si>
    <t>Survey conducted by Sockeye StAD.  Only about one third of reach 2 was surveyed due to low water and restricted access. Crews conducted surveys on Aug 12, 19, 26, Sep 2, 9, 12, 16, Oct 10 and 17. Chinook were only observed on the Oct 10 survey. The Upper Adams was not surveyed for Chinook redds in 2015.  The timing was too late as it was conducted during the Coho flight.</t>
  </si>
  <si>
    <t>Included in Cottonwood estimate?</t>
  </si>
  <si>
    <t xml:space="preserve">Included in Cottonwood estimate? </t>
  </si>
  <si>
    <t>Removed redd count expansion, March 2015.</t>
  </si>
  <si>
    <t>No water in system.</t>
  </si>
  <si>
    <t>Did not inspect Reach 2.</t>
  </si>
  <si>
    <t>Very low water. Reach 2 not inspected.</t>
  </si>
  <si>
    <t>Very low water.</t>
  </si>
  <si>
    <t>Extremely low water level</t>
  </si>
  <si>
    <t>Extremely low water level and flow.</t>
  </si>
  <si>
    <t>No water in Ahbau this year.</t>
  </si>
  <si>
    <t>Low water.</t>
  </si>
  <si>
    <t>No survey - extreme low water conditions have blocked off the mouth.  Dry at confluence with Cottonwood mainstem.</t>
  </si>
  <si>
    <t>Very low water - no evidence of any CN presence.</t>
  </si>
  <si>
    <t>Included in Bowron estimate?</t>
  </si>
  <si>
    <t>Removed ReddExp from orignal estimate (-40), March 2015.</t>
  </si>
  <si>
    <t>Removed ReddExp from original estimate (-13), March 2015.</t>
  </si>
  <si>
    <t>Impassable beaver dam ~500m from mouth.</t>
  </si>
  <si>
    <t>System just over peak of spawn.  Many singles on redds obs &amp; all fish showed lots of wear</t>
  </si>
  <si>
    <t>Peak of spawn is over - likely occurring btw survey dates.  All spawners nearing late stages of spawn with mostly singles on redds &amp; ratty pairs obs.  Weather conditions good.</t>
  </si>
  <si>
    <t>Included in Westroad estimate or not inspected?</t>
  </si>
  <si>
    <t>High water and turbidity at peak of spawn. Redd count conducted when water receded (27 Sep). Redd count = 220.</t>
  </si>
  <si>
    <t>Removed ReddExp from original estimate (-35)</t>
  </si>
  <si>
    <t>Very poor visibility (low light, dark substrate, high water)</t>
  </si>
  <si>
    <t>~400 sockeye. Surface glare &amp; dark substrate limit visibility.</t>
  </si>
  <si>
    <t>Survey at peak of spawn.  All Chinook were actively spawning &amp; most starting to show significant signs of wear.  Many singles on redds &amp; empty redds (11) observed.  May not need another survey.  High density spawning at ver top just d/s of Coglistiko.  No Sockeye observed.</t>
  </si>
  <si>
    <t>Survey conditions fairly decent - good light throughout.  All CN obs were spawning.  Spawners looked well established &amp; timing appears to be at or just over peak of spawn.  Almost all CN exhibited moderate-heavy spawning wear &amp; there were lots of singles on redds.  No Sockeye obs.  Water levels also higher than normal but instream vis still ok.</t>
  </si>
  <si>
    <t>No access due to intense forest fire activity.</t>
  </si>
  <si>
    <t>Estimates from old CTC spreadsheet</t>
  </si>
  <si>
    <t>Updated from raw data March 2015. Removed ReddExp from original estimate (-60)</t>
  </si>
  <si>
    <t>Updated from raw data March 2015. Removed ReddExp from original estimate (-13)</t>
  </si>
  <si>
    <t>Not enough water for fish passage above the falls.</t>
  </si>
  <si>
    <t>Updated from raw data March 2015. Removed ReddExp from original estimate (-7).</t>
  </si>
  <si>
    <t>Redd count = 10</t>
  </si>
  <si>
    <t>Redd count = 12</t>
  </si>
  <si>
    <t>Redd count = 7</t>
  </si>
  <si>
    <t>Redd count = 15</t>
  </si>
  <si>
    <t>Appears to be peak of spawn.  The large abundance of Pink salmon and low water levels made counting more difficult; as Chinook were spawning in similar areas, carcasses/empty redds were difficult to determine species.  Reduced visibility due to shadows and tree canopy.</t>
  </si>
  <si>
    <t>Clay bank slough</t>
  </si>
  <si>
    <t>R. Bailey estimate</t>
  </si>
  <si>
    <t>Redd count =185</t>
  </si>
  <si>
    <t xml:space="preserve">Beaver dam in segment 4 is growing weekly but salmon observed above dam. The dam is channel spanning.
Flight notes: 22 Sep - Flew lower portion of Bessette, as discharge was high providing good access for Chinook.  Large areas of shadowing made count challenging.  27 Sep - Peak of spawn or just past.  Very good counting conditions for Bessette - flew later &amp; flew downstream.  Lots of water for spawning.  Aerial estimate reported as combined with Middle Shuswap aerial.
</t>
  </si>
  <si>
    <t>Surveys conducted by Sockeye StAD.  Crews conducted surveys on Aug 31, Sept 7, 16, and 21, 29, and Oct 6th.  Chinook were observed on all but the first and last surveys.</t>
  </si>
  <si>
    <t xml:space="preserve">Sockeye StAD conducted 5 surveys between 29 Aug &amp; 26 Sep. </t>
  </si>
  <si>
    <t>Single stream walk on 12 Sep (+/- 1 day); Hugh Naylor, Pemberton Fish &amp; Game Club. Information from CTCESCxx.xls workbook</t>
  </si>
  <si>
    <t>Single stream walk on 12 Sep (+/- 1 day); Hugh Naylor, Pemberton Fish &amp; Game Club. Information from CTCESCxx.xls workbook.</t>
  </si>
  <si>
    <t xml:space="preserve">Updated March 2015.  Removed brood from calculation. </t>
  </si>
  <si>
    <t>PSARC methodology. Information from CTCESCxx.xls workbook.</t>
  </si>
  <si>
    <t>PSARC methodology; includes Tallifer Cr</t>
  </si>
  <si>
    <t xml:space="preserve">Lil'wat FN. Surveys were conducted on July 22, 27, Aug 6, 7, 10, 11, 12, 17, 18, 21, 25, 26, 27, 31 Sept 3, 4, 8, 11 and 18. Chinook were observed on all upper river surveys (segments 8-12) starting on July 22 to Sept 18th but none were observed on any of the lower river surveys (segments 1-3). </t>
  </si>
  <si>
    <t>Lil'wat FN. 15 surveys conducted between 3 Jun and 26 Sep.</t>
  </si>
  <si>
    <t>Estimate from old CTC spreadsheet</t>
  </si>
  <si>
    <t>Completed simultaneous boat and aerial surveys 16 and 25 Aug for calibration.</t>
  </si>
  <si>
    <t>Completed simultaneous boat and aerial survey 17 Aug for calibration. Second float and flight not coordinated due to weather (24 &amp; 29 Aug, respectively).</t>
  </si>
  <si>
    <t>Fishway/resistivity counter estimate expanded for days when the fence was not operational + a downstream AUC estimate.</t>
  </si>
  <si>
    <t>Estimate updated Jan 2018; error in expansion for early end date.</t>
  </si>
  <si>
    <t>Incomplete count.  Expanded - see Bonparte and Deadman expanded estimates 1985-2017.xlsx in CHINOOK/BONAPARTE &amp; DEADMAN folder.</t>
  </si>
  <si>
    <t>Estimate includes tributaries?</t>
  </si>
  <si>
    <t>Peak spawner count date used for estimate</t>
  </si>
  <si>
    <t>Very high water.</t>
  </si>
  <si>
    <t xml:space="preserve">Very strong count - survey conditions ideal, instream visIbility excellent.  Many very large holding groups observed throughout - some &gt;300+.  7-10 days before peak.  CN observed throughout entire survey area - very top -&gt; bottom. Many very large CN observed.  Fish looked very healthy.  Water levels noticeably lower than normal, several large side channels with little - no water.  Many SK observed (276) all migrating upstream in groups of 5-60, no SK spawning activity observed.  </t>
  </si>
  <si>
    <t>Lots of CN obs holding very large groups of 70-300.  Spawn timing is further along in bottom end but even there CN are just starting to dig/pair up.  Peak of spawn at least 7-10 day away it seems.  Fish all look very fresh &amp; really healthy.  Will contemplate pushing back second survey to better catch peak count.  Water levels lower than normal.</t>
  </si>
  <si>
    <t>Removed ReddExp from original estimate. 1099 CN through fence.</t>
  </si>
  <si>
    <t>1605 live, 135 dead CN salvaged during dewatering</t>
  </si>
  <si>
    <t>Updated with consistent exp factor (1.538). Originally 2.</t>
  </si>
  <si>
    <t>One inexperienced observer on flight.</t>
  </si>
  <si>
    <t>Instream Fisheries Research, St'at'imc Eco-Resources, BC Hydro</t>
  </si>
  <si>
    <t>Updated Jan 2018; new infill calc.</t>
  </si>
  <si>
    <t>Extreme low water.</t>
  </si>
  <si>
    <t>Water level very low.</t>
  </si>
  <si>
    <t>Majority of fish still holding.</t>
  </si>
  <si>
    <t xml:space="preserve">Spawn timing appears to have just started.  Most CN were obs in one large holding group (~30) + random pairs starting to dig redds.  Most spawning obs in lower end of system.  Water levels lower than normal but ok for fish.  Visibility excellent.  24 Aug: Count appears to be @ peak of spawn or just slightly over.  Spawners obs throughout but @ highest density lower in the system.  Holders obs in pools higher up in the system.  Water levels down slightly from last survey; temps good.  Vis excellent.
</t>
  </si>
  <si>
    <t>22 Aug: Spawn timing appears over. High water may have pushed some spawners out. Spawners were mostly singles on redd and all showed signs of spawning wear. Water levels up quite a bit from last week and water slightly coloured - instream visibility still good.</t>
  </si>
  <si>
    <t>Hatchery reconnaisance (unpublished). Information from old CTC spreadsheet</t>
  </si>
  <si>
    <t xml:space="preserve">Poor visibility. </t>
  </si>
  <si>
    <t>Updated from raw data March 2015. Updated with consistent expansion factor, March 2015. Original estimate used 3.</t>
  </si>
  <si>
    <t>Poor visibility in glacial till. Updated with consistent expansion factor, March 2015. Original estimate used 3.</t>
  </si>
  <si>
    <t>Good stream visibility with low water level.</t>
  </si>
  <si>
    <t>Updated from raw data March 2015. Removed ReddExp from original estimate, March 2015.</t>
  </si>
  <si>
    <t>Very poor visibility in Narrows (wind riffle)</t>
  </si>
  <si>
    <t>Shadows &amp; poor vis.  Looked like peak spawn.  Some shadow. Not many singles or carcasses.</t>
  </si>
  <si>
    <t>Survey conditions better than last survey but water levels still quite high.  Slight instream turbidity but survey OK.  All CN obs were spawning - still relatively fresh with little spawning wear.  CN obs in 3 main spawning groups of 20-30, randomly scattered in lower 2 reaches.  No Sockeye obs.</t>
  </si>
  <si>
    <t>Estimates provided by Chuck Parken, SEP data from J. Sandher. Updated Feb 2018.</t>
  </si>
  <si>
    <t>Updated from raw data March 2015. Updated with consistent expansion factor, March 2015. Original estimate used 3. Bank erosion.</t>
  </si>
  <si>
    <t>Fence operational 5 Jul - 29 Aug.  Good chance Chinook in the system before fence installation. High water temps may have caused significant prespawn mortality.</t>
  </si>
  <si>
    <t>Fence count + brood</t>
  </si>
  <si>
    <t>Redd count = 18</t>
  </si>
  <si>
    <t>Redd count = 21</t>
  </si>
  <si>
    <t>Incredible amount of beaver activity in upper river.</t>
  </si>
  <si>
    <t>100+ beaver dams in upper 3 reaches.</t>
  </si>
  <si>
    <t>Spawn timing very good - right @ peak of spawn.  One group of 27 holders obs low in the system.  Spawners spread out through 2 upper reaches and mostly obs in pairs.  There were 40+ beaver dams that most CN would have had to jump over.  Water levels down from normal.  CN just starting to show signs of wear - many w/ white tails, but no real ratty CN obs. 3 Black Bears, 4 White-tail Deer, 3 Moose, 40+ Eagles, 40+ Herons, 3 Beavers, 10 Red Tail Hawks, 7 Osprey</t>
  </si>
  <si>
    <t>Spawn timing very difficult to pinpoint - holders, fresh spawning pairs, singles on redds and empty redds all observed and al in uppermost reach. Only 3 Chinook observed in bottom 3 reaches - all singles on redds. Water levels were good - slightly higher than normal. All of the beaver dams (new to last year) were blown out this year - not one full blockage observed.</t>
  </si>
  <si>
    <t>It appears that peak of spawn may be over by a few days.  All CN obs were spawning - no holders obs - and nearly all fish showed wear from spawning.  Spawn timing noticeably further along in bottom end as many Er's &amp; singles on redds obs.  Water levels were higher than normal.  Water clarity excellent.  No Sockeye obs.</t>
  </si>
  <si>
    <t>Second flight aborted due to heavy forest fire smoke</t>
  </si>
  <si>
    <t>Both water levels &amp; temps were ideal; no significant volume change &amp; water nice &amp; cool.  Spawn has started but still in beginning stages as very few fish showed signs of wear &amp; there were several holding groups of 10+.  Spawn timing further along upstream; fish fresher d/s.  All CN appear very healthy.  4 Deer, 1 Moose, 1 Sandhill Crane</t>
  </si>
  <si>
    <t>Looks as if peak count was obtained.  Most CN were in full spawn &amp; many singles on redds were obs.  The spawners almost all showed some signs of spawning wear.  The only holders obs were just migrating u/s btw spawning locations.  Wx conditions were perfect, water levels back down to normal &amp; instream vis was perfect.</t>
  </si>
  <si>
    <t>No access due to intense forest fire activity</t>
  </si>
  <si>
    <t>No fall run</t>
  </si>
  <si>
    <t>Includes total recoveries (unexpanded) from Sweltzer Creek (411).</t>
  </si>
  <si>
    <t>Estimate updated Dec 2017 to include Sweltzer Cr</t>
  </si>
  <si>
    <t>Includes total recoveries (unexpanded) from Sweltzer Creek (119).</t>
  </si>
  <si>
    <t>Includes total recoveries (unexpanded) from Sweltzer Creek (323).</t>
  </si>
  <si>
    <t>Includes total recoveries (unexpanded) and fence count from Sweltzer Creek (640).</t>
  </si>
  <si>
    <t>Includes total recoveries (unexpanded) and fence count from Sweltzer Creek (323).</t>
  </si>
  <si>
    <t>Includes total recoveries (unexpanded) and fence count from Sweltzer Creek (248).</t>
  </si>
  <si>
    <t>Includes total recoveries (unexpanded) and fence count from Sweltzer Creek (324).</t>
  </si>
  <si>
    <t>Information from old CTC spreadsheet</t>
  </si>
  <si>
    <t>Lower river at peak; upper river just coming on spawn</t>
  </si>
  <si>
    <t>Peak of spawn below Mahood confluence; start of spawn upsteam.</t>
  </si>
  <si>
    <t>Past peak at Whitehorse Bluffs; peak at Chute/Horseshoe. Some turbidity from recent heavy rains. Flat light.</t>
  </si>
  <si>
    <t>Peak of spawn.  Hard to see due to reflection, shadowing, high water in bottom section (mouth to Mahood) - the sun came out a few times &amp; made it easier to see.  Better visibility in upper reaches due to better light &amp; less turbid above Murtle R.  Hard to see holders in pools except when near surface or in shallower pools.</t>
  </si>
  <si>
    <t>Bright sun.  Shadows &amp; surface glare in some sections hampered vis despite later start.  Directional change i.e. u/s vs d/s helped in some cases.  Lower river spawning farther along than in upper.  Few carcasses and spawning fish still in good shape.</t>
  </si>
  <si>
    <t>Systematic survey (Stewart and Matthew MS 1985).</t>
  </si>
  <si>
    <t>Systematic survey (Jarvis and Stewart MS 1985a).</t>
  </si>
  <si>
    <t>Systematic survey (unpublished).</t>
  </si>
  <si>
    <t>R. Bailey estimate.</t>
  </si>
  <si>
    <t>Removed brood from estimate (59), March 2015.</t>
  </si>
  <si>
    <t>Excluded late-run fish below Murray Lk. Bridge</t>
  </si>
  <si>
    <t>Excluded late-run fish below Murray Lk. Bridge. Removed ReddExp from estimate (-51).</t>
  </si>
  <si>
    <t>Removed ReddExp from estimate (-86), March 2015.</t>
  </si>
  <si>
    <t xml:space="preserve">Very low water. </t>
  </si>
  <si>
    <t>Removed ReddExp from estimate (-11), March 2015</t>
  </si>
  <si>
    <t>Fish spread throughout.  Hard to tell spawn timing as a combination of spawners, holders &amp; empty redds.  Low water throughout.  Mine Cr is dry.  Spawners may be getting predated on, as redds were smaller.</t>
  </si>
  <si>
    <t>Active spawning in upper reaches.  A few empty redds.  Large groups (10-30) still holding in deep pools in lower river (late run fish?).</t>
  </si>
  <si>
    <t>Cottonwood R estimates include tributaries, 1975-1997. Information from old CTC spreadsheet.</t>
  </si>
  <si>
    <t>Removed ReddExp (9x3) included in estimate, March 2015.</t>
  </si>
  <si>
    <t>All fish were either holding or just starting to spawn (redds were not complete).  No spawned out fish observed.  Spawning was confined to ~ 2 km section below John Boyd in lower reach.  10 of 14 holders in upper reach were in 1 deep pool.  There may have been more holders not visible in other deep pools.</t>
  </si>
  <si>
    <t>No real evidence of CN presence.  Just one pair of spawners right d/s of confluence with Swift &amp; Lightning.  Water levels good - temps decreased.</t>
  </si>
  <si>
    <t>Lots of debris.</t>
  </si>
  <si>
    <t>Systematic survey (unpublished). Information from old CTC spreadsheet.</t>
  </si>
  <si>
    <t>Systematic survey (Stewart and Matthew MS 1985). Information from old CTC spreadsheet.</t>
  </si>
  <si>
    <t>Systematic survey (Jarvis and Stewart MS 1985a). Information from old CTC spreadsheet.</t>
  </si>
  <si>
    <t>Fence count expanded for periods when the fence was not operational and should have been, based on Bonaparte R run timing.</t>
  </si>
  <si>
    <t xml:space="preserve">Fence operational 1 Jul - 30 Nov. FN harvest (47) and brood not included in estimate. Fence count expanded for periods when the fence was not operational and should have been, based on Bonaparte R run timing. </t>
  </si>
  <si>
    <t xml:space="preserve">Fence operational 1 Jul - 13 Nov. FN harvest (32) and brood not included in estimate. Fence count expanded for periods when the fence was not operational and should have been, based on Bonaparte R run timing. </t>
  </si>
  <si>
    <t xml:space="preserve">Fence count expanded for periods when the fence was not operational and should have been, based on Bonaparte R run timing. </t>
  </si>
  <si>
    <t xml:space="preserve">First year of logie counter. Fence count expanded for periods when the fence was not operational and should have been, based on Bonaparte R run timing. </t>
  </si>
  <si>
    <t xml:space="preserve">Fence operational 21 Jun - 29 Sep. </t>
  </si>
  <si>
    <t xml:space="preserve">Fence in 20 May - 15 Sep. </t>
  </si>
  <si>
    <t>Estimate updated Jan 2018 to reflect new infilling average.</t>
  </si>
  <si>
    <t>Infill estimate</t>
  </si>
  <si>
    <t>Does not include brood (78)</t>
  </si>
  <si>
    <t>Estimate does not include brood; does include expanded redd count from below fence (20 x 2.2). Fence operational 19 Jul - 11 Sep.</t>
  </si>
  <si>
    <t>Fence 15 Jul - 28 Aug. Many log jams and heavily vegetated side channels make aerial counts challenging.</t>
  </si>
  <si>
    <t>Does not include brood (65)</t>
  </si>
  <si>
    <t>Does not include brood (20)</t>
  </si>
  <si>
    <t>Includes spawners below fence. Does not include brood (29)</t>
  </si>
  <si>
    <t>Fence in operation 20 July - 4 Sep.</t>
  </si>
  <si>
    <t>Includes spawners below fence</t>
  </si>
  <si>
    <t xml:space="preserve">Lil'Wat FN. 14 surveys between 31 May and 13 Oct. </t>
  </si>
  <si>
    <t>Updated from raw data March 2015. Redd count = 33</t>
  </si>
  <si>
    <t>Locals reported to Tony A. that they observed approx. 70 Chinook the previous day (Sept 30th).</t>
  </si>
  <si>
    <t>Redd count = 254</t>
  </si>
  <si>
    <t>Information from CTCESCxx.xls workbook</t>
  </si>
  <si>
    <t>Verified from electronic data, March 2015</t>
  </si>
  <si>
    <t>Verified from raw data, March 2015</t>
  </si>
  <si>
    <t>Estimate includes Shovel Cr. No inspection dates recorded.</t>
  </si>
  <si>
    <t>Estimate includes Shovel Cr. No inspection date recorded.</t>
  </si>
  <si>
    <t>Estimate does not include Shovell Cr. (23)</t>
  </si>
  <si>
    <t>Estimate includes Shovel Cr.  Redd count = 63</t>
  </si>
  <si>
    <t>Estimate does not include Shovel Cr</t>
  </si>
  <si>
    <t>Live + dead count.</t>
  </si>
  <si>
    <t>Live + dead count. Estimate includes Shovel Cr.</t>
  </si>
  <si>
    <t>Estimate from D. Ableson Endako report for CSTC = 32</t>
  </si>
  <si>
    <t>Raw live count. Confirm final estimate from Galesloot 1998 report.</t>
  </si>
  <si>
    <t xml:space="preserve">Peak spawner count used to generate estimate (28 Aug). More logs washed ionto log jam. Larger boulder washed out of Hwy 5 Bridge leaving spawning gravel. Loss of debris creating new channels. 
</t>
  </si>
  <si>
    <t>Excellent visibility for this system.</t>
  </si>
  <si>
    <t>Single observer on flight.</t>
  </si>
  <si>
    <t xml:space="preserve">Peak spawning period with lots of groups still actively spawning and not that many single females on redds or carcasses.  Visibility was 2.5-3 feet -&gt; Not as good as 1st 2015 survey but much better than aborted survey on Sept 3/15.  Direct overhead sunlight and clear sky helped a lot for lower reaches below hwy bridge where most spawners were.  Sky was overcast for Rearguard Falls to Overlander Falls making visibility less optimal. Stream visibility for Robson River to Overlander Falls was extra low.  </t>
  </si>
  <si>
    <t>Perfect survey conditions for this system.  All CN were spawning - often in very large groups of 50-300.  It appears to be right at peak of spawn.  Spawners obs all the way throughout entire survey area.  Very high spawner densities in south channel.  No Sockeye obs.</t>
  </si>
  <si>
    <t>Updated from raw data March 2015.  Did not include ReddExp.</t>
  </si>
  <si>
    <t>Upper section is at peak of spawn; lower is past peak.</t>
  </si>
  <si>
    <t>Heavy rain between flights; turbidity aborted second flight 21 Aug</t>
  </si>
  <si>
    <t>Heavy smoke and surface glare reduced visibility.</t>
  </si>
  <si>
    <t xml:space="preserve">One very large (35+) spawning group obs ~ 3km d/s of Hwy 16 Bridge.  All other redds very spread out.  Spawn timing just beginning.  Slight turbidity from Milk R. but overall visibility was pretty good.  Fish appear healthy &amp; large overall.  Water levels good.  </t>
  </si>
  <si>
    <t>At or very near peak of spawn.</t>
  </si>
  <si>
    <t>Included in Bowron estimate? Information from old CTC spreadsheet.</t>
  </si>
  <si>
    <t>Excellent visibility.</t>
  </si>
  <si>
    <t xml:space="preserve">Count appears to be right @ or just before peak of spawn.  Redds spreadout throughtout entire survey area.  No major spawning groups obs - just groups of 2-5. Water levels good, temps cool, clarity excellent.  Most CN actively spawning - few singles on redds.  </t>
  </si>
  <si>
    <t>Spawn timing further along than in Bowron mainstem.  Most CN obs actively spawning but still in good shape - very few obs with spawning wear.  Only one small holding group obs.  Water levels normal.</t>
  </si>
  <si>
    <t>Channel spanning beaver/log jams observed in segments 2, 3, and 4. They are growing with each passing week.</t>
  </si>
  <si>
    <t>Visual estimates from old CTC escapement spreadsheet.</t>
  </si>
  <si>
    <t>The escapement estimates for years 1979-1982 have been multiplied by 5.2, the average expansion factor determined for years when overflight counts in the Harrsion and the mark-recapture program were conducted in the same years.</t>
  </si>
  <si>
    <t>Stream did not appear to have a strong freshet.  Large amount of silt deposition on bed.  Upstream erosion possible factor.  No obstructions to fish observed.</t>
  </si>
  <si>
    <t>Peak spawning appears to be bimodal. Redd count = 328. Removed ReddExp from original estimate (-722).</t>
  </si>
  <si>
    <t>Very poor visibility. Redd count = 71. Removed ReddExp from estimate (-156), March 2015.</t>
  </si>
  <si>
    <t>Ideal survey conditions.</t>
  </si>
  <si>
    <t xml:space="preserve">Peak count obtained.  All CN observed were actively spawning or recently spawned out.  Timing appears further along in upper portion of survery area.  Visibility improved significantly from last survery - cooler temps have decreased glacial influence.  Water levels down just slightly but temps way cooler @ 7.5 C.  Large spawning groups of 30+ obs d/s of Hwy 16.  </t>
  </si>
  <si>
    <t>This count is very close to peak of spawn - upper spawning group (upstream of Chalco) appears to be further along than downstream (below Hwy 16 bridge). Upper group may be 1-2 days past peak; lower group 1-3 days before peak. Water levels good but turbidilty up just slightly from glacial melt due to hot weather. Chinook overall appear very healthy. Nearly all available spawning habitat being utilized.</t>
  </si>
  <si>
    <t>Holding fish only.</t>
  </si>
  <si>
    <t>ReddExp + raw live count (4).  Only documentation of live count is in notes section of 1998 Master. Redd count = 24.</t>
  </si>
  <si>
    <t>Channels are straightening out.  Overall channel is less braided.  Less deep pool habitat.  Bed is agraded.  No impediments to fish movement observed.</t>
  </si>
  <si>
    <t xml:space="preserve">Extremely turbid. </t>
  </si>
  <si>
    <t>Visibility nil with turbidity.</t>
  </si>
  <si>
    <t>Carcass count = 926.</t>
  </si>
  <si>
    <t xml:space="preserve"> IPSFC database (T. Cone).</t>
  </si>
  <si>
    <t>Updated from raw data March 2015.  Previously 488.</t>
  </si>
  <si>
    <t>Majority of fish still holding.  Now passing beaver dam ~5km from Bowron confluence, but holding behind another dam ~10km from confluence. 12Sep10: Gary Zwack (DFO-Sk) reported that Chinook had successfully jumped this dam with increased water flow and were paired and spawning in low gradient section above.</t>
  </si>
  <si>
    <t>System is approaching peak of spawn - within 3-4 days.  Spawn activity well under way but fish still relatively fresh overall.  A couple holding groups of 30-70 obs. Spawn timing further along in lower end.  No sockeye obs.</t>
  </si>
  <si>
    <t>James Cr</t>
  </si>
  <si>
    <t>Water levels very low.</t>
  </si>
  <si>
    <t>Water levels low due to huge beaver dam at outlet of Pacific Lake.</t>
  </si>
  <si>
    <t>Very low water and multiple beaver dams.</t>
  </si>
  <si>
    <t>Water levels were quite low but temp excellent at 10.5 C.  Spawners just starting and randomly scattered throughout.  Most holders obs very low  &amp; another group @ James Lake.  Several large beaver dams @ James L. but CN got over.</t>
  </si>
  <si>
    <t>Spawn timing still early as Chinook mostly holding and any spawners observed were very fresh and just starting to pair up and dig. Water levels good and visibility was excellent.</t>
  </si>
  <si>
    <t xml:space="preserve">Surveys on Sep 13, 16 and 27.  </t>
  </si>
  <si>
    <t>No Chinook observed. 5 inspections between 12 &amp; 29 Sep.  1 aerial survey, 19 Sep.</t>
  </si>
  <si>
    <t>Sockeye fence fish-tight 19 Aug - 27 Sep. No Chinook through fence.</t>
  </si>
  <si>
    <t>Flight data from 11 Sep was used to determine the escapement of the Road Bridge to Tezzeron Lake section (182); count from boat survey of 10 Sep (DFO-Sk) was used for Road Bridge to Kuzkwa Mouth section (.</t>
  </si>
  <si>
    <t>Surveys on Sep 10, 17, 23, 24 and Oct 1 using ground and aerial methods.  Live Chinook were observed on Sep 10, 17, 23 and Oct 1.</t>
  </si>
  <si>
    <t>8 streamwalk inspections between 7 Sep &amp; 5 Oct.  1 aerial survey, 19 Sep.</t>
  </si>
  <si>
    <t>9 Sep notes: Segment 6 not walked as creek was dry above Fowler's. Sockeye spawning at Hwy 5 bridge. Only fish in the stream. Last week surveys forgot to note that dead fry were observed throughout the stream. 15 cm Rainbow Trout dead in stream due to warm water on first walk as well.</t>
  </si>
  <si>
    <t>Very turbid from confluence to Troll Mtn. from rain and clay bank slough.</t>
  </si>
  <si>
    <t>Low water</t>
  </si>
  <si>
    <t>Peak of spawn most definitely over &amp; missed.  Lots of mining activity observed.  Water levels low but close to normal &amp; temps good at 11 C.</t>
  </si>
  <si>
    <t>Spawn appears to be just over peak and nearing completion.  Several singles on redds &amp; empty redds obs.  Most CN obs in upper 1/3 of survey area.</t>
  </si>
  <si>
    <t>Live count only</t>
  </si>
  <si>
    <t>Huge numbers of sockeye. Updated with consistent expansion factor (1.5385); was 2.</t>
  </si>
  <si>
    <t>Count complicated by large numbers of sockeye. Impossible to enumerate anything in deeper sections.</t>
  </si>
  <si>
    <t>Great visibility; approaching peak.  Very few Sockeye.  Able to see into deep water - very clear &amp; good light.</t>
  </si>
  <si>
    <t>Likely peak of spawning - fish paired up &amp; digging.  Counting conditions very good in lower section but wind ripple in upper section (=65%).  Flew over South Thompson by Chase &amp; it was past peak!</t>
  </si>
  <si>
    <t>Fence count = 61; no spawning below fence. Fish in prior to fence installation?</t>
  </si>
  <si>
    <t xml:space="preserve">Fence operational 22 Jul. Following wash-out (23 - 26 Jul), fence operated through 11 Sep. Unknown how may fish migrated upstream during the wash-out. </t>
  </si>
  <si>
    <t>Fence count = 351.  Total let upstream is reported estimate.</t>
  </si>
  <si>
    <t>Well past peak (40 carcasses)</t>
  </si>
  <si>
    <t>Shadows made it hard to see.  Just before peak.  Fish mainly close to confluence - 1st km.</t>
  </si>
  <si>
    <t>One Chinook observed guarding a large redd near the mouth.</t>
  </si>
  <si>
    <t>Extremely low water precluded fish access until mid-October. Fish trying to spawn in Chaplin Rd culvert.</t>
  </si>
  <si>
    <t>No inspection dates recorded in 1998 Master.</t>
  </si>
  <si>
    <t>No obstructions to fish movement observed.</t>
  </si>
  <si>
    <t>Estimates provided by Chuck Parken 2016, Fraser Sk StAD data</t>
  </si>
  <si>
    <t>No shadows/flat light.  Spawning Chinook were also observed on Sep 17 but no count information was recorded.</t>
  </si>
  <si>
    <t>Poor visibility.</t>
  </si>
  <si>
    <t>Morkill blown out.</t>
  </si>
  <si>
    <t>Uncountable; turbidity caused by rainfall.</t>
  </si>
  <si>
    <t xml:space="preserve">Did not inspect above Forgetmenot Cr. </t>
  </si>
  <si>
    <t xml:space="preserve">Excellent visibility. </t>
  </si>
  <si>
    <t>Very turbid</t>
  </si>
  <si>
    <t>Heavy rain between flights; turbidity aborted second flight 20 Aug</t>
  </si>
  <si>
    <t>Peak count absolutely obtained - almost all CN obs actively spawning.  Two very large spawning groups of 60+ obs. Visibility was great but slightly limited by surface glare, turbidity &amp; wind riffle.</t>
  </si>
  <si>
    <t xml:space="preserve">No inspection date recorded. Many sockeye and log jams. </t>
  </si>
  <si>
    <t>Redd count = 77</t>
  </si>
  <si>
    <t>Redd count = 2</t>
  </si>
  <si>
    <t>Surveys on Aug 21, 28, Sep 6, 15, and 20th. .  Chinook were observed only on the Sep 6 survey.</t>
  </si>
  <si>
    <t>Chinook observed on the 4 Sep survey only.</t>
  </si>
  <si>
    <t>Beaver dams affecting fish passage</t>
  </si>
  <si>
    <t>High water; beaver dams blown out</t>
  </si>
  <si>
    <t>Redd counts (two comments from separate observers) =  114 and 19</t>
  </si>
  <si>
    <t xml:space="preserve"> </t>
  </si>
  <si>
    <t>Included in Westroad R estimate or not inspected?</t>
  </si>
  <si>
    <t>High water and turbidity at peak of spawn. Redd count conducted when water receded (27 Sep). Redd count = 34.</t>
  </si>
  <si>
    <t>Not inspected (logistical error). Estimate calculated from historical contribution of Nazko to Westroad aggregate (15%)</t>
  </si>
  <si>
    <t xml:space="preserve">System appears to be very close to peak of spawn - possibly just past by 1-2 days.  Spawning concentrated in 2 areas, d/s of townsite &amp; near FSR bridge.  The 2 holders d/s of beaver dam.  Lots of beaver activity ~30 dams.  No Sockeye observed.
</t>
  </si>
  <si>
    <t>Based on obs CN behaviour it appears as if this may be a peak count or slightly past peak.  All CN obs were spawning &amp; most showed some sign of wear.  Lots of singles on redds obs in lower end &amp; some ER's obs also.  No holders obs.  Several scattered spawning clusters of 4-10 obs - highest density btw Nazko town &amp; FSR br.  No sockeye obs.  Water level high - higher than normal.</t>
  </si>
  <si>
    <t>Calibrated time series.</t>
  </si>
  <si>
    <t>No aerial survey in 2015.</t>
  </si>
  <si>
    <t>No aerial survey in 2016.</t>
  </si>
  <si>
    <t>Redd count = 980</t>
  </si>
  <si>
    <t>Redd count = 1534</t>
  </si>
  <si>
    <t>Redd count = 1213 (18 Oct)</t>
  </si>
  <si>
    <t>No Chinook observed.  2 inspections: 27 Sep and 4 Oct.</t>
  </si>
  <si>
    <t>7 carcasses</t>
  </si>
  <si>
    <t>1 carcass</t>
  </si>
  <si>
    <t>One carcass observed.</t>
  </si>
  <si>
    <t xml:space="preserve"> 7 inspections between 6 Sep - 4 Oct.</t>
  </si>
  <si>
    <t>Systematic survey (Schubert 1982). Information from CTCESCxx.xls workbook.</t>
  </si>
  <si>
    <t>Systematic survey (unpublished). Information from CTCESCxx.xls workbook.</t>
  </si>
  <si>
    <t>Fence and systematic survey (unpublished). Information from CTCESCxx.xls workbook.</t>
  </si>
  <si>
    <t>AUC escapement estimate for Blue Creek (trib. to Upper Pitt River)</t>
  </si>
  <si>
    <t xml:space="preserve">Classified 'NI': Incomplete surveys with inexperienced crews on Sept 4, 10, 17, 18, and 24.  No Chinook were observed.  </t>
  </si>
  <si>
    <t xml:space="preserve">Whitecap Creek blew out in Sept 2015 causing complete blockage of Portage Creek. Machine has been in and dug out a new river channel. Portage River was backed up into Anderson lake and as a result the water was significantly higher than in previous years. Water flow below 1rst road bridge was faster and a little deeper, There has been substantial gravel movement and deposits below Whitecap Creek. Unable to float under 1rst road bridge due to high water levels.  </t>
  </si>
  <si>
    <t>Two floats conducted by SK StAD; 1 bankwalk by Ch/Co StAD (1 segment only)</t>
  </si>
  <si>
    <t xml:space="preserve"> 2-3 days before peak.  </t>
  </si>
  <si>
    <t>Nearly all CN obs were spawning &amp; were still very fresh looking - spawners just starting to show signs of spawing wear.  It appears that this survey occurred at or very near peak of spawn.  Only holders obs were just u/s of Likely bridge crossing.  Small group of 10 Sockeye migrating u/s near Likely bridge.</t>
  </si>
  <si>
    <t>Peak count recorded by Sockeye crew on 30 Aug (single survey). Simpcw crew surveying the previous day observed no Chinook (?). Simpcw conducted 5 surveys.</t>
  </si>
  <si>
    <t>Fence count plus raw live count below fence.</t>
  </si>
  <si>
    <t>Updated from raw data, March 2015. Redd count = 74</t>
  </si>
  <si>
    <t>Redd count = 150</t>
  </si>
  <si>
    <t>Redd count = 11</t>
  </si>
  <si>
    <t>Redd count = 48</t>
  </si>
  <si>
    <t>Redd count = 56</t>
  </si>
  <si>
    <t>Redd count = 65</t>
  </si>
  <si>
    <t>Redd count = 57</t>
  </si>
  <si>
    <t>Redd count = 47</t>
  </si>
  <si>
    <t>Redd count = 43. Significant beaver activity above Great Beaver Cr. No fish or evidence of fish observed above two full stream-width dams ~20km upstream of Great Beaver Cr.</t>
  </si>
  <si>
    <t>Redd count = 70</t>
  </si>
  <si>
    <t>Redd count = 45</t>
  </si>
  <si>
    <t>Peak of spawn over for at least a week - possibly more.  50-60% of spawners counted were singles on redds &amp; almost all CN showed signs of wear.  No holding fish obs &amp; lots of empty redds (69).  Spawners/redds were very evenly distributed throughout each of the 4 upper reaches.  Three large beaver dams have blocked off upper 20-30 km of survey area - no evidence of CN u/s of dams.</t>
  </si>
  <si>
    <t>Estimates from old CTC spreadsheet.</t>
  </si>
  <si>
    <t>Fence operational 30 Jun-2 Dec. First fish 1 Jul.  188 males,  207 females, 43 jacks. 68 kept for brood.</t>
  </si>
  <si>
    <t>Fence operational 2 Jul-1 Dec. First fish 3 Jul.  204 males, 112 females, 53 jacks. 70 kept for brood.</t>
  </si>
  <si>
    <t>Fence operational 2 Jul-1 Dec. First fish 7 Jul.  332 males, 317 females, 16 jacks. 60 kept for brood.</t>
  </si>
  <si>
    <t>Fence operational 18 Jul-30 Nov. First fish 31 Jul. 82 males, 81 females, 49 jacks. 51 kept for brood.</t>
  </si>
  <si>
    <t>Fence operational 20 Jul-24 Nov. First fish 24 Jul. 179 males, 154 females, 61 jacks. 50 kept for brood.</t>
  </si>
  <si>
    <t>Fence operational 1 Jul-15 Nov. First fish 12 Jul. 407 males, 272 females, 69 jacks. 46 kept for brood.</t>
  </si>
  <si>
    <t>Fence operational 1 Jul-15 Nov. First fish 12 Jul. 460 males, 334 females, 16 jacks. 54 kept for brood.</t>
  </si>
  <si>
    <t>Fence operational 7 Jul-26 Dec. First fish 10 Jul. 104 males, 76 females, 8 jacks. 49 kept for brood.</t>
  </si>
  <si>
    <t>Fence operational 15 Jul-9 Nov. First fish 18 Jul. 26 males, 15 females, 20 jacks. No brood (?).</t>
  </si>
  <si>
    <t>Fence operational  24 Jul-21 Oct, first fish 26 Jul.  79 males, 91 females, 8 jacks. 48 kept for brood.</t>
  </si>
  <si>
    <t>Fence in 1 Oct - 6 Nov</t>
  </si>
  <si>
    <t>Surveys on Oct 7, 14, 21.</t>
  </si>
  <si>
    <t>Excellent stream visibility.</t>
  </si>
  <si>
    <t>Majority of fish holding.  W. Seebach stream bed dry and impassable ~2/3 through segment. Impassable beaver dam ~5km upstream of E-W junction on E. Seebach.</t>
  </si>
  <si>
    <t>Water levels noticeably low, not alarming, but low.  Water level way lower in W. Seebach, higher in E.  Spawn timing appears good - spawn well under way but still many large holding groups in pools of 20+.  No CN presence or evidence of presence in W. Seebach.  Large holding group of 60 @ junction of E &amp; W.  Many impassable beaver dams in E. Seebach where spawn timing was further along.  Redd density scattered - no major spawning groups.</t>
  </si>
  <si>
    <t>All Chinook appear very fresh. Most Chinook observed holding in pools or migrating upstream; Chinook observed throughout entire survey area. High water event in West Seebach has blown out all the beaver dams which has opened up additional spawning habitat which Chinook were observed utilizing. Spawn just starting in upper West Seebach. Water levels on the low side of normal.</t>
  </si>
  <si>
    <t>Survey did not capture peak spawn</t>
  </si>
  <si>
    <t>Surveys on Aug 14, 21, 28, Sep 4, 11, 18, 25, Oct 2 and 9.</t>
  </si>
  <si>
    <t xml:space="preserve">2015 MR based on marked fish only. </t>
  </si>
  <si>
    <t>Stream visibility excellent.</t>
  </si>
  <si>
    <t>Lower section from highway downstream very turbid.</t>
  </si>
  <si>
    <t>Surface glare reduced visibility</t>
  </si>
  <si>
    <t>Very good timing as system was very close to peak of spawn; w/in a day or two.  Very high spawner density just d/s (for 3km) of Tumuch Lake - spawning group of 350+.  Redds one after another down to FSR bridge then more spaced out to Fraser confluence.  Water levels up from last survey &amp; temps down.  Fraser R @ mouth, levels up significantly from last week.</t>
  </si>
  <si>
    <t>Survey conditions absolutely perfect - excellent count.  Spawn has started and a peak count should be obtained next survey.  Spawn timing further along in bottom end with many singles on redds obs.  Still lots of holders obs - several large groups of 20-140 obs.  Fish mostly appear healthy - approx 10-15 obs with white head fungus.  Water levels normal - ok.</t>
  </si>
  <si>
    <t>Lil'wat FN. 18 surveys conducted between 13 Apr and 12 Oct.</t>
  </si>
  <si>
    <t>Redd count in south fork = 15</t>
  </si>
  <si>
    <t>No obstructions to fish movement in creek observed.</t>
  </si>
  <si>
    <t>Verified raw data, March 2015. Updated to reflect consistent expansion factor (previous estimate 41277, exp. 1.537)</t>
  </si>
  <si>
    <t>Verified raw data, March 2015. Updated to reflect consistent expansion factor (previous estimate 22675, exp factor = 2.5)</t>
  </si>
  <si>
    <t>Verified raw data, March 2015. Updated to reflect consistent expansion factor (previous estimate 17560, exp factor = 2.5)</t>
  </si>
  <si>
    <t>Verified raw data, March 2015. Updated to reflect consistent expansion factor (previous estimate 36740, exp factor = 2.5)</t>
  </si>
  <si>
    <t>Verified raw data, March 2015. Updated to reflect consistent expansion factor (previous estimate 38592, exp factor = 2.0)</t>
  </si>
  <si>
    <t>Verified raw data, March 2015. Updated to reflect consistent expansion factor (previous estimate 58956, exp factor = 2.0)</t>
  </si>
  <si>
    <t>Verified raw data, March 2015. Updated to reflect consistent expansion factor (previous estimate 74462, exp factor = 2.0)</t>
  </si>
  <si>
    <t>Evidence of activity on gravel in deeper sections and can make out shapes, but can't accurately count.  Carcass count grossly underestimated; too many sockeye dead to differentiate.</t>
  </si>
  <si>
    <t>Verified raw data, March 2015. Updated to reflect consistent expansion factor (previous estimate 76504, exp factor = 2.0)</t>
  </si>
  <si>
    <t>At peak - could see to bottom in most places.  Very tough carcass count.  Very few Sockeye.  Turbidity created from high density of spawners - just below Monte Creek.  Couldn't see to bottom at Hoffman Bluff or upper portion of horse crossing.</t>
  </si>
  <si>
    <t>~3 days off peak - likely peak in lower but before in upper.  No Sockeye.  Good light but lots of wind ripple.  Water is high with some turbidity.  Overall good counting conditions.</t>
  </si>
  <si>
    <t>Streamwalk raw count estimate.</t>
  </si>
  <si>
    <t>Excluded late-run fish below Little Box Canyon</t>
  </si>
  <si>
    <t xml:space="preserve">Removed ReddExp from original estimate (-143). Excluded late-run fish below Little Box Canyon. Streamwalk counts for Maka more accurate. </t>
  </si>
  <si>
    <t>Very low water</t>
  </si>
  <si>
    <t>Upper Spius -  very low flow &amp; high algae.  Only flew up 2 km due to low water.  Maka - no sign of fish - flew to just above power line.  Spius - a few spawners - looked fresh.  Holders in about 6 groups - holding at bottom of pools.  Lots of trout in pools also.</t>
  </si>
  <si>
    <t>Most fish still holding in large groups in deep pools.  Tightly schooling.</t>
  </si>
  <si>
    <t>Fence operational 18 Aug - 23 Sep.</t>
  </si>
  <si>
    <t>Fence operational 31 Aug - 22 Oct.</t>
  </si>
  <si>
    <t>One aerial survey</t>
  </si>
  <si>
    <t>30 inspections between 26 Aug - 12 Oct.</t>
  </si>
  <si>
    <t>Included in Cottonwood R estimate. Information from old CTC spreadsheet.</t>
  </si>
  <si>
    <t>Victoria Cr not inspected.</t>
  </si>
  <si>
    <t>Includes Victoria Cr estimate (252).</t>
  </si>
  <si>
    <t>Includes Victoria Cr estimate (83).</t>
  </si>
  <si>
    <t>None observed in Victoria Cr</t>
  </si>
  <si>
    <t>Very low water. Includes Victoria Cr estimate (14).</t>
  </si>
  <si>
    <t>Includes Victoria Cr estimate (14).</t>
  </si>
  <si>
    <t>Very low water in Victoria Cr; not inspected.</t>
  </si>
  <si>
    <t>Includes Victoria Cr estimate (2)</t>
  </si>
  <si>
    <t>Includes Victoria Cr estimate (6)</t>
  </si>
  <si>
    <t>Chinook spawning was well distributed throughout Swift River. Very low water in Victoria Cr; not inspected.</t>
  </si>
  <si>
    <t>All CN essentially have started spawning - estimate that peak of spawn is still ~5-7 days away.  No Chinook observed in Victoria Cr.</t>
  </si>
  <si>
    <t>No Chinook observed in Victoria Cr.</t>
  </si>
  <si>
    <t>Redd count = 825 (8 Oct)</t>
  </si>
  <si>
    <t>Redd count = 1457 (6 Oct)</t>
  </si>
  <si>
    <t>Redd count = 3138 (17 Oct)</t>
  </si>
  <si>
    <t>Redd count = 8603 (16Oct)</t>
  </si>
  <si>
    <t>Flight aborted.  Redds algae covered.</t>
  </si>
  <si>
    <t>Redd count = 4550 (15 Oct)</t>
  </si>
  <si>
    <t>Flight 20 Oct</t>
  </si>
  <si>
    <t>Redd count = 10748 (30 Oct)</t>
  </si>
  <si>
    <t>Redd count = 3886 (25 Oct)</t>
  </si>
  <si>
    <t>Redd count = 7681 (Date?)</t>
  </si>
  <si>
    <t>Flight too late.  Periphyton growth obscuring redds.</t>
  </si>
  <si>
    <t>Redd count = 5475 (20 Oct)</t>
  </si>
  <si>
    <t>Redd count = 6265 (18 Oct)</t>
  </si>
  <si>
    <t>Redd count = 2352 (22 Oct)</t>
  </si>
  <si>
    <t>Too late to obtain accurate redd count</t>
  </si>
  <si>
    <t>Redd count = 2015 (20 Oct)</t>
  </si>
  <si>
    <t xml:space="preserve">Redd count = 6214 (16 Oct).  Slightly murky, but decent visibility.  Pink spawners making it difficult to discern individual redds in shallows.
</t>
  </si>
  <si>
    <t>Redd count = 2643. High water &amp; turbidity from Deadman &amp; Bonaparte.  Hard to see redds in deep water.  Some glare.  Many empty redds &amp; many with active spawners.  Carcasses along shore &amp; in pools.  No pinks obs.</t>
  </si>
  <si>
    <t>Old CTC spreadsheet reports as 'nr'</t>
  </si>
  <si>
    <t>Lil'Wat FN conducted 9 surveys between 28 Jun &amp; 13 Oct. No Chinook were reported.</t>
  </si>
  <si>
    <t>Clay bank sloughs</t>
  </si>
  <si>
    <t>Peak spawner count date used for estimate.</t>
  </si>
  <si>
    <t>Smoke haze and surface glare combined to reduce visibility on southbound, E-W Junction to Hooker's Cabin section. Visibility downstream of Hooker's Cabin ver poor due to clay silt inflow from groundwater springs.</t>
  </si>
  <si>
    <t>Bottom 2 segments not surveyed; high turbidity from clay spring discharge (usual for this system)</t>
  </si>
  <si>
    <t xml:space="preserve">Near peak of spawn.  Spawners well distributed throughout survey area w/ no obs competition for space.  Only 2 larger holding groups of ~ 20+ obs, others in small holding groups of 4-10 near spawning grounds.  3 carcasses obs were potentially pre-spawn mortalities.  Water levels good &amp; temps down from last survey.  Last 2 reaches NS due to clay in river (vis &lt; 1").  </t>
  </si>
  <si>
    <t>Includes West Twin Cr.</t>
  </si>
  <si>
    <t>ReddExp + raw live count (7).  Only documentation of of live count is in notes section of 1998 Master. Redd count =26</t>
  </si>
  <si>
    <t>No obstructions to fish movement observed in creek.</t>
  </si>
  <si>
    <t>Water levels very low; side channels dry.</t>
  </si>
  <si>
    <t>Smoke haze and surface glare combined to reduce visibility on southbound segments.</t>
  </si>
  <si>
    <t>Turbid at lower end.</t>
  </si>
  <si>
    <t>Almost all Chinook showing some signs of wear. Survey is near peak - full peak may be in 1-3 days from now. Water levels slightly lower than last survey.</t>
  </si>
  <si>
    <t>Included in Willow R estimate? Information from old CTC spreadsheet.</t>
  </si>
  <si>
    <t>Spot check survey and partial walk.  Only 2 carcasses observed.</t>
  </si>
  <si>
    <t>Visibility poor on peak flight.</t>
  </si>
  <si>
    <t>3 major beaver dams at the mouth restricting fish migration. Fish started moving up right away once staff created a partial breach.</t>
  </si>
  <si>
    <t>Water level very low. Did not inspect sections 2 &amp; 3 (above highway bridge (no water).</t>
  </si>
  <si>
    <t>High stream visibility. Stopped at Coalmine Rd.  Many beaver dams.</t>
  </si>
  <si>
    <t>Impassable beaver dam ~300 m from Willow confluence. No fish observed above. Low water conditions.</t>
  </si>
  <si>
    <t>Impassable beaver dam.</t>
  </si>
  <si>
    <t>Water level very low in upper reaches.  27 beaver dams counted throughout system.</t>
  </si>
  <si>
    <t>Impassable beaver dam ~300 m upstream from mouth. Survey aborted.</t>
  </si>
  <si>
    <t>Reach 3 not surveyed due to low water.</t>
  </si>
  <si>
    <t>Only surveyed first reach from mouth to highway bridge.  2 very large beaver dams ~50m upstream of Willow confluence. Breached lower dam to allow passage; within 10 minutes, Chinook observed migrating upstream.</t>
  </si>
  <si>
    <t>No CN presence in Wansa. Three very large beaver dams just u/s from Willow confluence &amp; very low water conditions make passage u/s very difficult.</t>
  </si>
  <si>
    <t>Finally Chinook in Wansa! Observed Chinook were all spawning - mostly in pairs on redds randomly scattered in lowest reach. Chinook were showing some, but minimal signs of spawning wear. All of these fish had to bypass 3 significant beaver dams to reach spawning grounds. No Chinook or presence of Chinook observed upstream of Hwy 16 culvert.</t>
  </si>
  <si>
    <t>Redd count = 36</t>
  </si>
  <si>
    <t>Redd count = 53</t>
  </si>
  <si>
    <t>Updated from raw data March 2015. Redd count = 29. Past peak of spawn.</t>
  </si>
  <si>
    <t>One carcass only.</t>
  </si>
  <si>
    <t>Surveys on Oct 5, 12,  19.  Chinook were observed on the first and third surveys. AFC Chinook recovered on final survey (Head Code 1168953).</t>
  </si>
  <si>
    <t>Westroad R estimates include tribs, 1975-1996. Information from old CTC spreadsheet.</t>
  </si>
  <si>
    <t>Hatchery reconnaisance (unpublished).  Westroad R estimates include tribs, 1975-1996. Information from old CTC spreadsheet.</t>
  </si>
  <si>
    <t>High water and turbidity at peak of spawn. Redd count conducted when water receded (27 Sep). Redd count = 367.</t>
  </si>
  <si>
    <t>Visibility at times challenging - very dark/bad glare/dark water when sund behind clouds.  Most Chinook spawning but still fresh. Spawners observed throughout entire survey area; large spawning groups of 50+ observed.  No holders observed.  No Sockeye observed.</t>
  </si>
  <si>
    <t>Very poor counting conditions - very high water &amp; terrible glare is likely to have underestimated count.  There were noticeably less fish/redds than normal however.  All CN obs were actively spawning but still looked very fresh.  Impossible to count any CN that may have been holding in pools.  No Sockeye obs.</t>
  </si>
  <si>
    <r>
      <t>·</t>
    </r>
    <r>
      <rPr>
        <b/>
        <sz val="7"/>
        <color theme="1"/>
        <rFont val="Times New Roman"/>
        <family val="1"/>
      </rPr>
      <t xml:space="preserve">        </t>
    </r>
    <r>
      <rPr>
        <b/>
        <sz val="11"/>
        <color theme="1"/>
        <rFont val="Calibri"/>
        <family val="2"/>
        <scheme val="minor"/>
      </rPr>
      <t>Updated all Escapement Estimates and added 2017</t>
    </r>
  </si>
  <si>
    <t>Sue Lemke, DFO</t>
  </si>
  <si>
    <r>
      <t>·</t>
    </r>
    <r>
      <rPr>
        <b/>
        <sz val="7"/>
        <color theme="1"/>
        <rFont val="Times New Roman"/>
        <family val="1"/>
      </rPr>
      <t xml:space="preserve">        </t>
    </r>
    <r>
      <rPr>
        <b/>
        <sz val="11"/>
        <color theme="1"/>
        <rFont val="Calibri"/>
        <family val="2"/>
        <scheme val="minor"/>
      </rPr>
      <t>Updated all Hatchery Removals and added 2017 (SEP data, 6 Feb 2018)</t>
    </r>
  </si>
  <si>
    <t>In Updated Esc Est Sheet</t>
  </si>
  <si>
    <t>In Hatchery Removals - changed all zeros to blanks by using conditional formating to highlight zeros in red</t>
  </si>
  <si>
    <t>Updated from raw data March 2015. Removed ReddExp from original estimate (-20)</t>
  </si>
  <si>
    <t>AUC equivalent (Hill &amp; Irvine, 2001)</t>
  </si>
  <si>
    <t>AUC ML</t>
  </si>
  <si>
    <t>AUC equivalent (Hill &amp; Irvine); relationship updated 2015 (Lemke)</t>
  </si>
  <si>
    <t>-1 = Not inspected or no estimate available</t>
  </si>
  <si>
    <t>used infill from the Terminal Run file to infill Cottonwood 1988 = 1,239</t>
  </si>
  <si>
    <t xml:space="preserve">Operational issues with resistivity counter (SFC). </t>
  </si>
  <si>
    <t/>
  </si>
  <si>
    <t xml:space="preserve">Infill estimate, March 2018. </t>
  </si>
  <si>
    <t>Infill estimate, March 2018.</t>
  </si>
  <si>
    <t>Infill estimate, March 2018</t>
  </si>
  <si>
    <t>Updated Feb 2019, ARIS estimate provided by InStream</t>
  </si>
  <si>
    <t xml:space="preserve">Infill estimate, March 2018. Cottonwood R estimates include tributaries, 1975-1997. </t>
  </si>
  <si>
    <t>Not inspected. Infill estimate, March 2018.</t>
  </si>
  <si>
    <t>Infill estimate, March 2018. Included in Chilcotin R (Upper) estimate or not inspected?</t>
  </si>
  <si>
    <t>Infill estimate, March 2018. No access due to intense forest fire activity.</t>
  </si>
  <si>
    <t>Infill estimate, March 2018. Cariboo R (Lower) estimates included in Quesnel R, 1975-1980.</t>
  </si>
  <si>
    <t>Updated 26Jul18. Ratio estimate, C. Parken. Taseko escapement estimates.xlsx</t>
  </si>
  <si>
    <t>Infill estimate, March 2018. One female Chinook through the fence (DFO-Sk).</t>
  </si>
  <si>
    <t xml:space="preserve">Infill estimate, March 2018. Included in Bowron estimate? </t>
  </si>
  <si>
    <t xml:space="preserve">One walk only after peak. Infill estimate, March 2018. </t>
  </si>
  <si>
    <t>Updated from BC16, April 2016</t>
  </si>
  <si>
    <t>Updated from raw data, April 2016</t>
  </si>
  <si>
    <t>Updated from raw data, April 2017</t>
  </si>
  <si>
    <t>Updated from raw data, April 2018</t>
  </si>
  <si>
    <t>Original estimate (16704) adjusted for spawn success (51%) X # dead.  Recalculated without adjustment, for consistency</t>
  </si>
  <si>
    <t>Spot checks only. One prespawn mort observed 18 Aug. Infill estimate, March 2018.</t>
  </si>
  <si>
    <t>Updated 26Jul18. Ratio estimate, C. Parken. North Thompson escapement estimates.xlsx</t>
  </si>
  <si>
    <t>No record of Chinook observations during Lil'wat Sockeye surveys.  Assume 0?</t>
  </si>
  <si>
    <t>No Chinook observed.</t>
  </si>
  <si>
    <t>Chinook excluded from survey area due to very low water. 15 observed holding off 1st Chaplin Rd culvert 22 Oct (not a survey segment). 4 carcasses sampled here.</t>
  </si>
  <si>
    <t>Heli flight also conducted aug 30.  10 spawners observed.  DFO sk float count reported for consistancy</t>
  </si>
  <si>
    <t>Access cut off due to low water - system not surveyed.</t>
  </si>
  <si>
    <t>Infill estimate, March 2018. Redd count = 3 (27 Aug 99)</t>
  </si>
  <si>
    <t>Instream Fisheries Research, BC Hydro</t>
  </si>
  <si>
    <t>Suitable habitat in only a few sections. Turbid conditions. Infill estimate, March 2018.</t>
  </si>
  <si>
    <t>Estimates provided by Chuck Parken 2018, SEP data</t>
  </si>
  <si>
    <t>Infill estimate, March 2018. Included in Westroad R estimate or not inspected?</t>
  </si>
  <si>
    <t>Ratio method.  Nt=[(Nc+1)*(Gt+1)/(Gc+1)]-1, where Nt = escapement of Elkin Cr; Nc = escapement of Chilko (PCExp); Gc = genetic catch of Chilko (Albion GSI) and Gt = genetic catch of Elkin (Albion GSI). Assumptions: a) both stocks have equal survival between the test fishery and spawning grounds, b) both stocks have equal catchability at the test fishery. C. Parken.</t>
  </si>
  <si>
    <t>one aerial survey 15 sept, below area of streamwalk surveys.  11 spawners observed and ~50 empty redds.  7 streamwalk surveys also conducted between 11 Sept and 4 Oct.  Peak count of 16 chinook on 15 Sept</t>
  </si>
  <si>
    <t>Hill &amp; Irvine, 2001</t>
  </si>
  <si>
    <t>creek very low; limited mouth access; beaver dams impassable due to low water levels; no sign of any chinook activity; substrate not great where creek flowing now (moved); now muddy/sandy</t>
  </si>
  <si>
    <t>Ratio method.  Nt=[(Nc+1)*(Gt+1)/(Gc+1)]-1, where Nt = escapement of Taseko Cr; Nc = escapement of Chilko (PCExp); Gc = genetic catch of Chilko (Albion GSI) and Gt = genetic catch of Taseko (Albion GSI). Assumptions: a) both stocks have equal survival between the test fishery and spawning grounds, b) both stocks have equal catchability at the test fishery. C. Parken.</t>
  </si>
  <si>
    <t xml:space="preserve">Infill estimate, March 2018. Included in Willow R estimate? </t>
  </si>
  <si>
    <t>Beavers (once again) have cut off access to Wansa. The only redd was observed just below lowest beaver dam approximately 100m upstream of confluence with Willow. Over 100 dams observed.</t>
  </si>
  <si>
    <t>Estimate based on second flight - max spawner count.</t>
  </si>
  <si>
    <t>Redd count = 4401 (22 Oct).  Excellent stream visibility.</t>
  </si>
  <si>
    <t>Fence operational 26 July-24 Nov, first fish 28 July.  87 males, 43 females, 48 jacks. 50 kept for brood.</t>
  </si>
  <si>
    <t>Large numbers of sockeye made counting very challenging.</t>
  </si>
  <si>
    <t>No aerial surveys in 2016.</t>
  </si>
  <si>
    <t>No fishway/resistivity estimate. Infill estimate, March 2018.</t>
  </si>
  <si>
    <t>Incomplete count. Forest fire evacuation, equipment malfunction. Incomplete fishway/resistivity counter estimate expanded for days when the fence was not operational + a downstream AUC estimate.</t>
  </si>
  <si>
    <t xml:space="preserve">Catastrophic breach in fishway. Minimal passage possible. Aerial survey observations (11 Sep): 1 live, 2 empty redds. </t>
  </si>
  <si>
    <t>Restricted access due to wildfire evacuation order. Operational issues with resistivity counter. Infill estimate developed by DFO (N. Trouton).</t>
  </si>
  <si>
    <t xml:space="preserve">Resistivity counter operational 20 May-30 Sep. </t>
  </si>
  <si>
    <t>No aerial survey in 2018.</t>
  </si>
  <si>
    <t>Blue River was not surveyed in 2015 due to budget constraints. Infill estimate, March 2018.</t>
  </si>
  <si>
    <t>Completed simultaneous boat and aerial surveys 16 &amp; 23 Aug for calibration.</t>
  </si>
  <si>
    <t>used count from DFO-Sk, no chinook seen by Simpcw crew</t>
  </si>
  <si>
    <t>Ratio method. Nt=[(Nc+1)*(Gt+1)/(Gc+1)]-1, where Nt = escapement of N. Thompson; Nc = escapement of Clearwater (PCExp); Gc = genetic catch of Clearwater (Albion GSI) and Gt = genetic catch of N. Thompson (Albion GSI). Assumptions: a) both stocks have equal survival between the test fishery and spawning grounds, b) both stocks have equal catchability at the test fishery. C. Parken.</t>
  </si>
  <si>
    <t>DFO-SK observed a small number of spawning chinook during sockeye surveys.  Not a representative count of the system</t>
  </si>
  <si>
    <t>Redd count noted on Coho assessment flight.</t>
  </si>
  <si>
    <t>Includes Sweltzer Cr.</t>
  </si>
  <si>
    <t xml:space="preserve">Feb 2019 removed 2x expansion and used standard 1.5385x expansion.  Previous estimate using 2x was 56944.  Updated from raw data March 2015.  </t>
  </si>
  <si>
    <t>Estimate from D. Ableson Endako report for CSTC = 58</t>
  </si>
  <si>
    <t>Change zeros in  Hatchery Removals to blanks.</t>
  </si>
  <si>
    <t>Update the DFO Data in the "Updated Esc Est" and "Hatchery Removals" worksheets.</t>
  </si>
  <si>
    <t>Make any necessary adjustments to the "Stock-Stream List" and "HRStockList" worksheets</t>
  </si>
  <si>
    <t>Update "Control" tab to reflect current analysis year</t>
  </si>
  <si>
    <t>Adjust the average column in ESCAPE worksheet to include all years (note the average column is not used by the model)</t>
  </si>
  <si>
    <r>
      <t>·</t>
    </r>
    <r>
      <rPr>
        <b/>
        <sz val="7"/>
        <color theme="1"/>
        <rFont val="Times New Roman"/>
        <family val="1"/>
      </rPr>
      <t xml:space="preserve">        </t>
    </r>
    <r>
      <rPr>
        <b/>
        <sz val="11"/>
        <color theme="1"/>
        <rFont val="Calibri"/>
        <family val="2"/>
        <scheme val="minor"/>
      </rPr>
      <t>Updated all Hatchery Removals and added 2017 (SEP data, 11 Feb 2019)</t>
    </r>
  </si>
  <si>
    <t>Travis Desy</t>
  </si>
  <si>
    <t>Nicole Trouton</t>
  </si>
  <si>
    <t>DFO</t>
  </si>
  <si>
    <r>
      <t>·</t>
    </r>
    <r>
      <rPr>
        <b/>
        <sz val="7"/>
        <color theme="1"/>
        <rFont val="Times New Roman"/>
        <family val="1"/>
      </rPr>
      <t xml:space="preserve">        </t>
    </r>
    <r>
      <rPr>
        <b/>
        <sz val="11"/>
        <color theme="1"/>
        <rFont val="Calibri"/>
        <family val="2"/>
        <scheme val="minor"/>
      </rPr>
      <t>used infill from the Terminal Run file to infill Cottonwood 1988 = 1,228 (11 Feb 2019)</t>
    </r>
  </si>
  <si>
    <t>Estimates provided by Chuck Parken, SEP data from J. Sandher. Updated Feb 2019.</t>
  </si>
  <si>
    <t>(blank)</t>
  </si>
  <si>
    <t>17 surveys were completed by Lil'wat first nations between Aug 8th and Oct 3.  Chinook were observed on Aug 21, Sept 12, 13, 17, 20, 24, 29, Oct 1 and 2</t>
  </si>
  <si>
    <t>2 aerial surveys of all the segments were completed by DFO Sockeye crews on Sept5th and 11th. Chinook were observed on both surveys but Sept 5th was the peak.</t>
  </si>
  <si>
    <t>5 surveys were completed by DFO Sockeye crews between Sept 2nd and 30th. Chinook were observed on Sept 9th, 16th, 23rd and 30th.</t>
  </si>
  <si>
    <t>7 surveys were completed by the Lil'wat crew between Aug 6th and Sept 25th. No Chinook were observed.</t>
  </si>
  <si>
    <t xml:space="preserve">8 surveys were completed by Lil'wat crews between Aug 7th and Sept 23rd. Chinook were observed on Aug 19th, 26, Sept 9th and 23rd. </t>
  </si>
  <si>
    <t>3 surveys were completed by Lil'wat crew between Aug 28th and Sept 26th.  No Chinook were observed.</t>
  </si>
  <si>
    <t>Aerial survey much higher count than sockeye survey. First survey is from DFO-sk (ground based)</t>
  </si>
  <si>
    <t xml:space="preserve">Updated Jan 2020, ARIS estimate </t>
  </si>
  <si>
    <t>Punky creek estimate reported seperately</t>
  </si>
  <si>
    <t>Estimate from D. Ableson Endako report for CSTC = 30, Includes 2 chinook in Shovel Cr.</t>
  </si>
  <si>
    <t>4 surveys by NSTC and 9 surveys by DFO sockeye</t>
  </si>
  <si>
    <t>waiting for NSTC counts</t>
  </si>
  <si>
    <t>Reporting Hill &amp; Irvine AUC Equivalent</t>
  </si>
  <si>
    <t>One survey was conducted for sockeye on Oct 11, noted to be too late for CN.  Not inspected during period CN would be present.</t>
  </si>
  <si>
    <t>very high water, low visibility, fresh spawners on redd</t>
  </si>
  <si>
    <t>7</t>
  </si>
  <si>
    <t>Not inspected.  Infill estimate, only based on systems above Big Bar slide</t>
  </si>
  <si>
    <t xml:space="preserve">Two surveys conducted with one holder each time, the second date, August 20, 2019 was used. </t>
  </si>
  <si>
    <t>No SIL for this peak count data for Holmes; inspection Info based on note from Slim Creek SIL for 08/29/19, Bottom of Holmes (Fraser to hwy Bridge) 18 CH observed. Otherwise, only 2 CN were observed on August 20, 2018</t>
  </si>
  <si>
    <t>one survey, noted they didn’t count some reaches.  Change to infill estimate.  Infill estimate only based on systems above Big Bar slide</t>
  </si>
  <si>
    <t>Redd count = 9</t>
  </si>
  <si>
    <t>estimate changed May 2019.  Previous estimate of 7504 was due to addition error on flightsheet.</t>
  </si>
  <si>
    <t>Redd count = 1679.  High water and turbidity made it hard to see bottom in places</t>
  </si>
  <si>
    <t>Combined streamwalk and float</t>
  </si>
  <si>
    <t xml:space="preserve">cumulative CN at fence = 475.  53 CN taken for brood.  51 jacks released upstream not included in adult estimate.  223 males and 149 females released upstream.  Fence operated July 20-Nov 22.  No breaches reported. </t>
  </si>
  <si>
    <t xml:space="preserve">6 surveys were completed by DFO Sockeye crews between Aug 24th and Sept 26th. There are no comments as to if these Chinook were holding or spawning. *Note: Normally the peak of spawn is late August and rarely Chinook spawn below McNomee Creek.  The Chinook counted on Sept 20th are very unusual and possibly Thompson aggregage fish making these counts 2 seperate populations. </t>
  </si>
  <si>
    <t>Only reach 1 surveyed</t>
  </si>
  <si>
    <t>unreliable data from Splatsin, type 5 estimate</t>
  </si>
  <si>
    <t>Only surveys before sept 12 used, this timing represents true Bessette fish.  3 redds seen on Sept 12 survey</t>
  </si>
  <si>
    <t>Only one survey in early September which would represent true Bessette fish</t>
  </si>
  <si>
    <t>Only 2 surveys conducted before Sept 12.  Only these surveys represent true Bessette fish</t>
  </si>
  <si>
    <t>Only one survey conducted sept 12 that would be appropriate for representing true Bessette fish.</t>
  </si>
  <si>
    <t>Fish counter not operational in 2019, aerial estimate reported</t>
  </si>
  <si>
    <t>Previous survey (August 16, 2019)  had equal numbers of fish however all but 1 were holders. Chose peak based on spawners</t>
  </si>
  <si>
    <t>Resistivity operated by SFC.  Counter operated from May 30 to Sept 30.  No reports of counter malfunction.</t>
  </si>
  <si>
    <t>surveys conducted over 2 days</t>
  </si>
  <si>
    <t>No aerial survey in 2019.</t>
  </si>
  <si>
    <t>Extremely high numbers of Pinks.  Difficult to count CN</t>
  </si>
  <si>
    <t>Flight sheet notes very poor counting conditions</t>
  </si>
  <si>
    <t>DFO-SK count used, higher than Simpcw count</t>
  </si>
  <si>
    <t>Three surveys conducted by DFO-SK.  Only surveyed one reach, CN observed on all surveys</t>
  </si>
  <si>
    <r>
      <t>·</t>
    </r>
    <r>
      <rPr>
        <b/>
        <sz val="7"/>
        <color theme="1"/>
        <rFont val="Times New Roman"/>
        <family val="1"/>
      </rPr>
      <t xml:space="preserve">        </t>
    </r>
    <r>
      <rPr>
        <b/>
        <sz val="11"/>
        <color theme="1"/>
        <rFont val="Calibri"/>
        <family val="2"/>
        <scheme val="minor"/>
      </rPr>
      <t>Updated all Escapement Estimates</t>
    </r>
  </si>
  <si>
    <r>
      <t>·</t>
    </r>
    <r>
      <rPr>
        <b/>
        <sz val="7"/>
        <color theme="1"/>
        <rFont val="Times New Roman"/>
        <family val="1"/>
      </rPr>
      <t xml:space="preserve">        </t>
    </r>
    <r>
      <rPr>
        <b/>
        <sz val="11"/>
        <color theme="1"/>
        <rFont val="Calibri"/>
        <family val="2"/>
        <scheme val="minor"/>
      </rPr>
      <t>used infill from the Terminal Run file to infill Cottonwood 1988 = 1,239 (4 Feb 2020)</t>
    </r>
  </si>
  <si>
    <t>Instream Fisheries Research, St'at'imc Eco-Resources, BC Hydro.  ARIS estimate (340), expanded by 16% to account for downstream spawners</t>
  </si>
  <si>
    <t>ARIS estimate provided by Instream (42)  estimate expanded by 16% to account for downstream spawners.  AUC estimate also provided (42)</t>
  </si>
  <si>
    <t>AUC estimate of 203, includes fish that were counted at the fence.  DNA results for these fish determined they were not Bridge origin fish</t>
  </si>
  <si>
    <t xml:space="preserve"> ARIS estimate of 94 from Instream.  Aris estimate expanded by 16% to account for spawning below the counter.  This estimate is for Bridge origin fish only and excludes later timed fish that were determined to be of Upper Fraser origin</t>
  </si>
  <si>
    <t>Fence count that includes all fish, not just fish determined to be true Bridge fish</t>
  </si>
  <si>
    <t xml:space="preserve"> Fence estimate of 23 from Coldstream Ecology.  Fence estimate expanded by 16% to account for spawning below the fence.  This estimate is for Bridge origin fish only and excludes later timed fish that were determined to be of Upper Fraser origin.  See notes and data workup in 2020 Bridge folder</t>
  </si>
  <si>
    <t>Not inspected. Infill estimate, February 2021.</t>
  </si>
  <si>
    <t>- Remember to follow all steps outlined in the Chinook master RR tab, as there are some manual adjustments that need to be done</t>
  </si>
  <si>
    <t xml:space="preserve">Run the macro named "escape".  </t>
  </si>
  <si>
    <t>Infill the 1988 Cottonwood estimate in EscapeNew using the infilled value from the most recent Fraser Infilling file</t>
  </si>
  <si>
    <t>NOTE - the Fraser Infilling method infills by MU, whereas the RR infills based on the stock number (specified in the Stock-Stream List tab)</t>
  </si>
  <si>
    <t>- This has to be done since all the systems in that aggregate need to be infilled in 1988, so the RR can't infill based on the other systems in that aggregate</t>
  </si>
  <si>
    <t>Description of Worksheets</t>
  </si>
  <si>
    <t>Update as Required</t>
  </si>
  <si>
    <t>Update EACH Year</t>
  </si>
  <si>
    <t>Produced by Macro</t>
  </si>
  <si>
    <t>Action</t>
  </si>
  <si>
    <t>Add new columns to the ESCAPE worksheet for new year that has been added and copy formula from the previous year to new cells</t>
  </si>
  <si>
    <t>Lauren Weir</t>
  </si>
  <si>
    <t>·        Updated all Escapement Estimates</t>
  </si>
  <si>
    <t xml:space="preserve">·        Used infill from the Terminal Run file to infill Cottonwood 1988 = 1,209 </t>
  </si>
  <si>
    <t>·        Updated Hatchery Removal tab using the new R script in the Hatchery Removals folder</t>
  </si>
  <si>
    <t>·        Deleted all unecessary tabs to make the file cleaner and clearer</t>
  </si>
  <si>
    <t>·        Updated the read me file for clarity</t>
  </si>
  <si>
    <t>Big Bar</t>
  </si>
  <si>
    <t>Yes</t>
  </si>
  <si>
    <t>No</t>
  </si>
  <si>
    <t>otton</t>
  </si>
  <si>
    <t>Includes Wansa Cr? Information from old CTC spreadsheet.</t>
  </si>
  <si>
    <t>Well ahead of peak spawn. Low water and high temps.</t>
  </si>
  <si>
    <t>Very high water</t>
  </si>
  <si>
    <t xml:space="preserve">Close to peak of spawn.  Almost all CN were obs actively spawning but still appeared pretty fresh.  All holding fish in small groups near spawning grounds.  Several good sized spawning groups of 20-30 obs.  6 singles on redds obs u/s of the falls -&gt; spawn timing further along u/s. Densest spawning just u/s &amp; d/s of Wansa confluence.  </t>
  </si>
  <si>
    <t>Instream visibility and weather conditions significantly better than last survey. No holding Chinook observed - able to see into deepest pools. Several very large spawning groups observed of 20-50 fish. Spawn timing is right at peak of spawn. All fish looked healthy. Highest spawner densities ~2 km upstream of Wansa Cr. confluence.</t>
  </si>
  <si>
    <t xml:space="preserve">cumulative CN at fence = 413.  34 CN taken for brood.  33 jacks released upstream not included in adult estimate.  71 males and 275 females released upstream, suspect sex id error.  Fence operated July 22-Dec 3.  No breaches reported. </t>
  </si>
  <si>
    <t>Fishway count expanded for periods when the fence was not operational and should have been, based on run timing. AUC estimate below fence added (55).</t>
  </si>
  <si>
    <t>Fishway operational 13 June - 14 Sep. Count expanded for periods when the fence was not operational and should have been, based on run timing. AUC estimate below fence added (55).</t>
  </si>
  <si>
    <t>Operational June 18 to ept 15.</t>
  </si>
  <si>
    <t>No aerial survey in 2020.</t>
  </si>
  <si>
    <t>Chinook seen during Sockeye survey</t>
  </si>
  <si>
    <t>Swim survey count provided by Chehalis hatchery.  Raw count of 219 multiplied by standard Chinook expansion of 1.583</t>
  </si>
  <si>
    <t>BigBar</t>
  </si>
  <si>
    <t>StockNo</t>
  </si>
  <si>
    <t>System</t>
  </si>
  <si>
    <t>·        Corrections from 2019:</t>
  </si>
  <si>
    <t xml:space="preserve">               ·        Last year the Westroad population was not included, because the name wasn't change so it wasn't recognized in the macro</t>
  </si>
  <si>
    <t xml:space="preserve">               ·        Changed the hatchery removals for Chilliwack falls, as in 2019 the summer removals were included</t>
  </si>
  <si>
    <t>·        Updated the escape macro so that it doesn't infill based on 2019</t>
  </si>
  <si>
    <t xml:space="preserve">Survey 1 of 6, not dates </t>
  </si>
  <si>
    <t>survey 1 of 5 by sockeye</t>
  </si>
  <si>
    <t>1 of 2 by sockeye</t>
  </si>
  <si>
    <t xml:space="preserve">2 of 7 by sockeye </t>
  </si>
  <si>
    <t>survey 9 of 17 by sockeye</t>
  </si>
  <si>
    <t>cumulative CN at fence = 459.  51 CN taken for brood, one AFC killed at fence, one mort in trapbox.  17 jacks released upstream not included in adult estimate.  Fence operated July 15 to Nov, no breaches reported.</t>
  </si>
  <si>
    <t>Prefer the timing to the LSIB survey</t>
  </si>
  <si>
    <t>Too late, but all we have and has been used in recent years</t>
  </si>
  <si>
    <t xml:space="preserve">Fishway operational 18 June - 9 Sep. count expanded </t>
  </si>
  <si>
    <t>Operational from June 18 to Sep 15</t>
  </si>
  <si>
    <t>- There is code in the Hatchery Removals folder (in the general CHINOOK folder) which will produce an output to update the Hatchery Removals tab</t>
  </si>
  <si>
    <t>2019 Big Bar Survival</t>
  </si>
  <si>
    <t>BigBar 2020 Survival</t>
  </si>
  <si>
    <t>·        Used infill from the Terminal Run/Infiling file to infill Cottonwood 1988 = 1,193</t>
  </si>
  <si>
    <t xml:space="preserve">Infill estimate, Feb 2022. </t>
  </si>
  <si>
    <t xml:space="preserve">Sept 30 cut-off for Chinook applied to 2021 sonar data. Sonar operational July 14 and captured migration immediately; Upper Chilcotin CN?? </t>
  </si>
  <si>
    <t>East Twin Cr Not Surveyed. West Twin Type-4: Moderate effort (1-4 surveys), known survey method</t>
  </si>
  <si>
    <t>WestRoad R</t>
  </si>
  <si>
    <t xml:space="preserve">Feb 9, 2023 - Rory Cleveland Updates: </t>
  </si>
  <si>
    <t xml:space="preserve">Updated Feb 9 2023 -  pretty sure these are correct and good to go. But may be updated if an updated file comes our way RC. </t>
  </si>
  <si>
    <t>Haven't receved data for yet this year - used last year's data and may need updating - RC Feb 2, 2023</t>
  </si>
  <si>
    <t>Updated past (2021) Entries using Feb 2, 2023 using 1980-2022 StAD Escapment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</si>
</sst>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quot;$&quot;* #,##0.00_-;\-&quot;$&quot;* #,##0.00_-;_-&quot;$&quot;* &quot;-&quot;??_-;_-@_-"/>
    <numFmt numFmtId="165" formatCode="_-* #,##0.00_-;\-* #,##0.00_-;_-* &quot;-&quot;??_-;_-@_-"/>
    <numFmt numFmtId="166" formatCode="0.000"/>
    <numFmt numFmtId="167" formatCode="General_)"/>
    <numFmt numFmtId="168" formatCode="[=0.01]&quot;AP&quot;;[=0.001]&quot;NI&quot;;General"/>
    <numFmt numFmtId="169" formatCode="[=0.01]&quot;-6&quot;;[=0.001]&quot;-1&quot;;General"/>
  </numFmts>
  <fonts count="68" x14ac:knownFonts="1">
    <font>
      <sz val="11"/>
      <color theme="1"/>
      <name val="Calibri"/>
      <family val="2"/>
      <scheme val="minor"/>
    </font>
    <font>
      <sz val="11"/>
      <color theme="1"/>
      <name val="Calibri"/>
      <family val="2"/>
      <scheme val="minor"/>
    </font>
    <font>
      <sz val="10"/>
      <name val="MS Sans Serif"/>
      <family val="2"/>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1"/>
      <color theme="1"/>
      <name val="Calibri"/>
      <family val="2"/>
      <scheme val="minor"/>
    </font>
    <font>
      <sz val="11"/>
      <name val="Calibri"/>
      <family val="2"/>
      <scheme val="minor"/>
    </font>
    <font>
      <sz val="11"/>
      <color theme="1"/>
      <name val="Symbol"/>
      <family val="1"/>
      <charset val="2"/>
    </font>
    <font>
      <sz val="7"/>
      <color theme="1"/>
      <name val="Times New Roman"/>
      <family val="1"/>
    </font>
    <font>
      <i/>
      <sz val="11"/>
      <color theme="1"/>
      <name val="Symbol"/>
      <family val="1"/>
      <charset val="2"/>
    </font>
    <font>
      <i/>
      <sz val="7"/>
      <color theme="1"/>
      <name val="Times New Roman"/>
      <family val="1"/>
    </font>
    <font>
      <i/>
      <sz val="11"/>
      <color theme="1"/>
      <name val="Calibri"/>
      <family val="2"/>
      <scheme val="minor"/>
    </font>
    <font>
      <sz val="10"/>
      <name val="Arial"/>
      <family val="2"/>
    </font>
    <font>
      <sz val="10"/>
      <name val="Times New Roman"/>
      <family val="1"/>
    </font>
    <font>
      <sz val="10"/>
      <name val="MS Sans Serif"/>
      <family val="2"/>
    </font>
    <font>
      <sz val="8"/>
      <name val="Times New Roman"/>
      <family val="1"/>
    </font>
    <font>
      <sz val="9"/>
      <name val="Times New Roman"/>
      <family val="1"/>
    </font>
    <font>
      <b/>
      <sz val="11"/>
      <color theme="1"/>
      <name val="Symbol"/>
      <family val="1"/>
      <charset val="2"/>
    </font>
    <font>
      <b/>
      <sz val="7"/>
      <color theme="1"/>
      <name val="Times New Roman"/>
      <family val="1"/>
    </font>
    <font>
      <sz val="10"/>
      <name val="MS Sans Serif"/>
      <family val="2"/>
    </font>
    <font>
      <b/>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name val="Helvetica"/>
      <family val="2"/>
    </font>
    <font>
      <sz val="10"/>
      <color indexed="8"/>
      <name val="Arial"/>
      <family val="2"/>
    </font>
    <font>
      <sz val="11"/>
      <color theme="1"/>
      <name val="Cambria"/>
      <family val="1"/>
      <scheme val="major"/>
    </font>
    <font>
      <b/>
      <sz val="11"/>
      <color theme="1"/>
      <name val="Cambria"/>
      <family val="1"/>
      <scheme val="major"/>
    </font>
    <font>
      <b/>
      <sz val="11"/>
      <color rgb="FFFF0000"/>
      <name val="Calibri"/>
      <family val="2"/>
      <scheme val="minor"/>
    </font>
    <font>
      <i/>
      <sz val="11"/>
      <color rgb="FFFF0000"/>
      <name val="Calibri"/>
      <family val="2"/>
      <scheme val="minor"/>
    </font>
    <font>
      <i/>
      <sz val="11"/>
      <name val="Calibri"/>
      <family val="2"/>
      <scheme val="minor"/>
    </font>
    <font>
      <b/>
      <sz val="11"/>
      <name val="Calibri"/>
      <family val="2"/>
      <scheme val="minor"/>
    </font>
    <font>
      <b/>
      <sz val="16"/>
      <color theme="1"/>
      <name val="Calibri"/>
      <family val="2"/>
      <scheme val="minor"/>
    </font>
    <font>
      <b/>
      <sz val="16"/>
      <name val="Calibri"/>
      <family val="2"/>
      <scheme val="minor"/>
    </font>
    <font>
      <sz val="8"/>
      <name val="Calibri"/>
      <family val="2"/>
      <scheme val="minor"/>
    </font>
  </fonts>
  <fills count="73">
    <fill>
      <patternFill patternType="none"/>
    </fill>
    <fill>
      <patternFill patternType="gray125"/>
    </fill>
    <fill>
      <patternFill patternType="solid">
        <fgColor rgb="FFF9FFD7"/>
        <bgColor indexed="64"/>
      </patternFill>
    </fill>
    <fill>
      <patternFill patternType="solid">
        <fgColor indexed="4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7" tint="0.399975585192419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3" tint="0.59999389629810485"/>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rgb="FFFFC000"/>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theme="0" tint="-0.14999847407452621"/>
      </patternFill>
    </fill>
    <fill>
      <patternFill patternType="solid">
        <fgColor theme="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bgColor indexed="64"/>
      </patternFill>
    </fill>
  </fills>
  <borders count="30">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1" tint="0.499984740745262"/>
      </left>
      <right style="thin">
        <color theme="1" tint="0.499984740745262"/>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78">
    <xf numFmtId="0" fontId="0" fillId="0" borderId="0"/>
    <xf numFmtId="0" fontId="2" fillId="0" borderId="0"/>
    <xf numFmtId="43" fontId="1" fillId="0" borderId="0" applyFont="0" applyFill="0" applyBorder="0" applyAlignment="0" applyProtection="0"/>
    <xf numFmtId="0" fontId="1" fillId="0" borderId="0"/>
    <xf numFmtId="0" fontId="3" fillId="0" borderId="0"/>
    <xf numFmtId="0" fontId="3" fillId="0" borderId="0"/>
    <xf numFmtId="43"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0" fontId="8" fillId="0" borderId="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7"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10" fillId="14"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21" borderId="0" applyNumberFormat="0" applyBorder="0" applyAlignment="0" applyProtection="0"/>
    <xf numFmtId="0" fontId="11" fillId="5" borderId="0" applyNumberFormat="0" applyBorder="0" applyAlignment="0" applyProtection="0"/>
    <xf numFmtId="0" fontId="12" fillId="22" borderId="2" applyNumberFormat="0" applyAlignment="0" applyProtection="0"/>
    <xf numFmtId="0" fontId="13" fillId="23" borderId="3" applyNumberFormat="0" applyAlignment="0" applyProtection="0"/>
    <xf numFmtId="0" fontId="14" fillId="0" borderId="0" applyNumberFormat="0" applyFill="0" applyBorder="0" applyAlignment="0" applyProtection="0"/>
    <xf numFmtId="0" fontId="15" fillId="6" borderId="0" applyNumberFormat="0" applyBorder="0" applyAlignment="0" applyProtection="0"/>
    <xf numFmtId="0" fontId="16" fillId="0" borderId="4" applyNumberFormat="0" applyFill="0" applyAlignment="0" applyProtection="0"/>
    <xf numFmtId="0" fontId="17" fillId="0" borderId="5" applyNumberFormat="0" applyFill="0" applyAlignment="0" applyProtection="0"/>
    <xf numFmtId="0" fontId="18" fillId="0" borderId="6" applyNumberFormat="0" applyFill="0" applyAlignment="0" applyProtection="0"/>
    <xf numFmtId="0" fontId="18" fillId="0" borderId="0" applyNumberFormat="0" applyFill="0" applyBorder="0" applyAlignment="0" applyProtection="0"/>
    <xf numFmtId="0" fontId="19" fillId="9" borderId="2" applyNumberFormat="0" applyAlignment="0" applyProtection="0"/>
    <xf numFmtId="0" fontId="20" fillId="0" borderId="7" applyNumberFormat="0" applyFill="0" applyAlignment="0" applyProtection="0"/>
    <xf numFmtId="0" fontId="21" fillId="24" borderId="0" applyNumberFormat="0" applyBorder="0" applyAlignment="0" applyProtection="0"/>
    <xf numFmtId="0" fontId="2" fillId="0" borderId="0"/>
    <xf numFmtId="0" fontId="2" fillId="25" borderId="8" applyNumberFormat="0" applyFont="0" applyAlignment="0" applyProtection="0"/>
    <xf numFmtId="0" fontId="22" fillId="22" borderId="9" applyNumberFormat="0" applyAlignment="0" applyProtection="0"/>
    <xf numFmtId="0" fontId="23" fillId="0" borderId="0" applyNumberFormat="0" applyFill="0" applyBorder="0" applyAlignment="0" applyProtection="0"/>
    <xf numFmtId="0" fontId="24" fillId="0" borderId="10" applyNumberFormat="0" applyFill="0" applyAlignment="0" applyProtection="0"/>
    <xf numFmtId="0" fontId="25" fillId="0" borderId="0" applyNumberFormat="0" applyFill="0" applyBorder="0" applyAlignment="0" applyProtection="0"/>
    <xf numFmtId="0" fontId="33" fillId="0" borderId="0"/>
    <xf numFmtId="0" fontId="34" fillId="0" borderId="0"/>
    <xf numFmtId="0" fontId="35" fillId="0" borderId="0"/>
    <xf numFmtId="0" fontId="2" fillId="0" borderId="0"/>
    <xf numFmtId="9" fontId="2" fillId="0" borderId="0" applyFont="0" applyFill="0" applyBorder="0" applyAlignment="0" applyProtection="0"/>
    <xf numFmtId="0" fontId="40" fillId="0" borderId="0"/>
    <xf numFmtId="0" fontId="3" fillId="0" borderId="0"/>
    <xf numFmtId="0" fontId="1" fillId="45" borderId="0" applyNumberFormat="0" applyBorder="0" applyAlignment="0" applyProtection="0"/>
    <xf numFmtId="0" fontId="9" fillId="4" borderId="0" applyNumberFormat="0" applyBorder="0" applyAlignment="0" applyProtection="0"/>
    <xf numFmtId="0" fontId="1" fillId="49" borderId="0" applyNumberFormat="0" applyBorder="0" applyAlignment="0" applyProtection="0"/>
    <xf numFmtId="0" fontId="9" fillId="5" borderId="0" applyNumberFormat="0" applyBorder="0" applyAlignment="0" applyProtection="0"/>
    <xf numFmtId="0" fontId="1" fillId="53" borderId="0" applyNumberFormat="0" applyBorder="0" applyAlignment="0" applyProtection="0"/>
    <xf numFmtId="0" fontId="9" fillId="6" borderId="0" applyNumberFormat="0" applyBorder="0" applyAlignment="0" applyProtection="0"/>
    <xf numFmtId="0" fontId="1" fillId="57" borderId="0" applyNumberFormat="0" applyBorder="0" applyAlignment="0" applyProtection="0"/>
    <xf numFmtId="0" fontId="9" fillId="7" borderId="0" applyNumberFormat="0" applyBorder="0" applyAlignment="0" applyProtection="0"/>
    <xf numFmtId="0" fontId="1" fillId="61" borderId="0" applyNumberFormat="0" applyBorder="0" applyAlignment="0" applyProtection="0"/>
    <xf numFmtId="0" fontId="9" fillId="8" borderId="0" applyNumberFormat="0" applyBorder="0" applyAlignment="0" applyProtection="0"/>
    <xf numFmtId="0" fontId="1" fillId="65" borderId="0" applyNumberFormat="0" applyBorder="0" applyAlignment="0" applyProtection="0"/>
    <xf numFmtId="0" fontId="9" fillId="9" borderId="0" applyNumberFormat="0" applyBorder="0" applyAlignment="0" applyProtection="0"/>
    <xf numFmtId="0" fontId="1" fillId="46" borderId="0" applyNumberFormat="0" applyBorder="0" applyAlignment="0" applyProtection="0"/>
    <xf numFmtId="0" fontId="9" fillId="10" borderId="0" applyNumberFormat="0" applyBorder="0" applyAlignment="0" applyProtection="0"/>
    <xf numFmtId="0" fontId="1" fillId="50" borderId="0" applyNumberFormat="0" applyBorder="0" applyAlignment="0" applyProtection="0"/>
    <xf numFmtId="0" fontId="9" fillId="11" borderId="0" applyNumberFormat="0" applyBorder="0" applyAlignment="0" applyProtection="0"/>
    <xf numFmtId="0" fontId="1" fillId="54" borderId="0" applyNumberFormat="0" applyBorder="0" applyAlignment="0" applyProtection="0"/>
    <xf numFmtId="0" fontId="9" fillId="12" borderId="0" applyNumberFormat="0" applyBorder="0" applyAlignment="0" applyProtection="0"/>
    <xf numFmtId="0" fontId="1" fillId="58" borderId="0" applyNumberFormat="0" applyBorder="0" applyAlignment="0" applyProtection="0"/>
    <xf numFmtId="0" fontId="9" fillId="7" borderId="0" applyNumberFormat="0" applyBorder="0" applyAlignment="0" applyProtection="0"/>
    <xf numFmtId="0" fontId="1" fillId="62" borderId="0" applyNumberFormat="0" applyBorder="0" applyAlignment="0" applyProtection="0"/>
    <xf numFmtId="0" fontId="9" fillId="10" borderId="0" applyNumberFormat="0" applyBorder="0" applyAlignment="0" applyProtection="0"/>
    <xf numFmtId="0" fontId="1" fillId="66" borderId="0" applyNumberFormat="0" applyBorder="0" applyAlignment="0" applyProtection="0"/>
    <xf numFmtId="0" fontId="9" fillId="13" borderId="0" applyNumberFormat="0" applyBorder="0" applyAlignment="0" applyProtection="0"/>
    <xf numFmtId="0" fontId="56" fillId="47" borderId="0" applyNumberFormat="0" applyBorder="0" applyAlignment="0" applyProtection="0"/>
    <xf numFmtId="0" fontId="10" fillId="14" borderId="0" applyNumberFormat="0" applyBorder="0" applyAlignment="0" applyProtection="0"/>
    <xf numFmtId="0" fontId="56" fillId="51" borderId="0" applyNumberFormat="0" applyBorder="0" applyAlignment="0" applyProtection="0"/>
    <xf numFmtId="0" fontId="10" fillId="11" borderId="0" applyNumberFormat="0" applyBorder="0" applyAlignment="0" applyProtection="0"/>
    <xf numFmtId="0" fontId="56" fillId="55" borderId="0" applyNumberFormat="0" applyBorder="0" applyAlignment="0" applyProtection="0"/>
    <xf numFmtId="0" fontId="10" fillId="12" borderId="0" applyNumberFormat="0" applyBorder="0" applyAlignment="0" applyProtection="0"/>
    <xf numFmtId="0" fontId="56" fillId="59" borderId="0" applyNumberFormat="0" applyBorder="0" applyAlignment="0" applyProtection="0"/>
    <xf numFmtId="0" fontId="10" fillId="15" borderId="0" applyNumberFormat="0" applyBorder="0" applyAlignment="0" applyProtection="0"/>
    <xf numFmtId="0" fontId="56" fillId="63" borderId="0" applyNumberFormat="0" applyBorder="0" applyAlignment="0" applyProtection="0"/>
    <xf numFmtId="0" fontId="10" fillId="16" borderId="0" applyNumberFormat="0" applyBorder="0" applyAlignment="0" applyProtection="0"/>
    <xf numFmtId="0" fontId="56" fillId="67" borderId="0" applyNumberFormat="0" applyBorder="0" applyAlignment="0" applyProtection="0"/>
    <xf numFmtId="0" fontId="10" fillId="17" borderId="0" applyNumberFormat="0" applyBorder="0" applyAlignment="0" applyProtection="0"/>
    <xf numFmtId="0" fontId="56" fillId="44" borderId="0" applyNumberFormat="0" applyBorder="0" applyAlignment="0" applyProtection="0"/>
    <xf numFmtId="0" fontId="10" fillId="18" borderId="0" applyNumberFormat="0" applyBorder="0" applyAlignment="0" applyProtection="0"/>
    <xf numFmtId="0" fontId="56" fillId="48" borderId="0" applyNumberFormat="0" applyBorder="0" applyAlignment="0" applyProtection="0"/>
    <xf numFmtId="0" fontId="10" fillId="19" borderId="0" applyNumberFormat="0" applyBorder="0" applyAlignment="0" applyProtection="0"/>
    <xf numFmtId="0" fontId="56" fillId="52" borderId="0" applyNumberFormat="0" applyBorder="0" applyAlignment="0" applyProtection="0"/>
    <xf numFmtId="0" fontId="10" fillId="20" borderId="0" applyNumberFormat="0" applyBorder="0" applyAlignment="0" applyProtection="0"/>
    <xf numFmtId="0" fontId="56" fillId="56" borderId="0" applyNumberFormat="0" applyBorder="0" applyAlignment="0" applyProtection="0"/>
    <xf numFmtId="0" fontId="10" fillId="15" borderId="0" applyNumberFormat="0" applyBorder="0" applyAlignment="0" applyProtection="0"/>
    <xf numFmtId="0" fontId="56" fillId="60" borderId="0" applyNumberFormat="0" applyBorder="0" applyAlignment="0" applyProtection="0"/>
    <xf numFmtId="0" fontId="10" fillId="16" borderId="0" applyNumberFormat="0" applyBorder="0" applyAlignment="0" applyProtection="0"/>
    <xf numFmtId="0" fontId="56" fillId="64" borderId="0" applyNumberFormat="0" applyBorder="0" applyAlignment="0" applyProtection="0"/>
    <xf numFmtId="0" fontId="10" fillId="21" borderId="0" applyNumberFormat="0" applyBorder="0" applyAlignment="0" applyProtection="0"/>
    <xf numFmtId="0" fontId="47" fillId="38" borderId="0" applyNumberFormat="0" applyBorder="0" applyAlignment="0" applyProtection="0"/>
    <xf numFmtId="0" fontId="11" fillId="5" borderId="0" applyNumberFormat="0" applyBorder="0" applyAlignment="0" applyProtection="0"/>
    <xf numFmtId="0" fontId="51" fillId="41" borderId="15" applyNumberFormat="0" applyAlignment="0" applyProtection="0"/>
    <xf numFmtId="0" fontId="12" fillId="22" borderId="2" applyNumberFormat="0" applyAlignment="0" applyProtection="0"/>
    <xf numFmtId="0" fontId="53" fillId="42" borderId="18" applyNumberFormat="0" applyAlignment="0" applyProtection="0"/>
    <xf numFmtId="0" fontId="13" fillId="23" borderId="3" applyNumberFormat="0" applyAlignment="0" applyProtection="0"/>
    <xf numFmtId="43" fontId="1" fillId="0" borderId="0" applyFont="0" applyFill="0" applyBorder="0" applyAlignment="0" applyProtection="0"/>
    <xf numFmtId="165" fontId="3" fillId="0" borderId="0" applyFont="0" applyFill="0" applyBorder="0" applyAlignment="0" applyProtection="0"/>
    <xf numFmtId="164" fontId="3" fillId="0" borderId="0" applyFont="0" applyFill="0" applyBorder="0" applyAlignment="0" applyProtection="0"/>
    <xf numFmtId="0" fontId="55" fillId="0" borderId="0" applyNumberFormat="0" applyFill="0" applyBorder="0" applyAlignment="0" applyProtection="0"/>
    <xf numFmtId="0" fontId="14" fillId="0" borderId="0" applyNumberFormat="0" applyFill="0" applyBorder="0" applyAlignment="0" applyProtection="0"/>
    <xf numFmtId="0" fontId="46" fillId="37" borderId="0" applyNumberFormat="0" applyBorder="0" applyAlignment="0" applyProtection="0"/>
    <xf numFmtId="0" fontId="15" fillId="6" borderId="0" applyNumberFormat="0" applyBorder="0" applyAlignment="0" applyProtection="0"/>
    <xf numFmtId="0" fontId="43" fillId="0" borderId="12" applyNumberFormat="0" applyFill="0" applyAlignment="0" applyProtection="0"/>
    <xf numFmtId="0" fontId="16" fillId="0" borderId="4" applyNumberFormat="0" applyFill="0" applyAlignment="0" applyProtection="0"/>
    <xf numFmtId="0" fontId="44" fillId="0" borderId="13" applyNumberFormat="0" applyFill="0" applyAlignment="0" applyProtection="0"/>
    <xf numFmtId="0" fontId="17" fillId="0" borderId="5" applyNumberFormat="0" applyFill="0" applyAlignment="0" applyProtection="0"/>
    <xf numFmtId="0" fontId="45" fillId="0" borderId="14" applyNumberFormat="0" applyFill="0" applyAlignment="0" applyProtection="0"/>
    <xf numFmtId="0" fontId="18" fillId="0" borderId="6" applyNumberFormat="0" applyFill="0" applyAlignment="0" applyProtection="0"/>
    <xf numFmtId="0" fontId="45" fillId="0" borderId="0" applyNumberFormat="0" applyFill="0" applyBorder="0" applyAlignment="0" applyProtection="0"/>
    <xf numFmtId="0" fontId="18" fillId="0" borderId="0" applyNumberFormat="0" applyFill="0" applyBorder="0" applyAlignment="0" applyProtection="0"/>
    <xf numFmtId="0" fontId="49" fillId="40" borderId="15" applyNumberFormat="0" applyAlignment="0" applyProtection="0"/>
    <xf numFmtId="0" fontId="19" fillId="9" borderId="2" applyNumberFormat="0" applyAlignment="0" applyProtection="0"/>
    <xf numFmtId="0" fontId="52" fillId="0" borderId="17" applyNumberFormat="0" applyFill="0" applyAlignment="0" applyProtection="0"/>
    <xf numFmtId="0" fontId="20" fillId="0" borderId="7" applyNumberFormat="0" applyFill="0" applyAlignment="0" applyProtection="0"/>
    <xf numFmtId="0" fontId="48" fillId="39" borderId="0" applyNumberFormat="0" applyBorder="0" applyAlignment="0" applyProtection="0"/>
    <xf numFmtId="0" fontId="21" fillId="2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5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2" fillId="0" borderId="0"/>
    <xf numFmtId="0" fontId="1" fillId="0" borderId="0"/>
    <xf numFmtId="0" fontId="1" fillId="0" borderId="0"/>
    <xf numFmtId="0" fontId="58" fillId="0" borderId="0"/>
    <xf numFmtId="0" fontId="3" fillId="0" borderId="0"/>
    <xf numFmtId="0" fontId="3" fillId="0" borderId="0"/>
    <xf numFmtId="0" fontId="3" fillId="0" borderId="0"/>
    <xf numFmtId="0" fontId="3"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43" borderId="19" applyNumberFormat="0" applyFont="0" applyAlignment="0" applyProtection="0"/>
    <xf numFmtId="0" fontId="2" fillId="25" borderId="8" applyNumberFormat="0" applyFont="0" applyAlignment="0" applyProtection="0"/>
    <xf numFmtId="0" fontId="50" fillId="41" borderId="16" applyNumberFormat="0" applyAlignment="0" applyProtection="0"/>
    <xf numFmtId="0" fontId="22" fillId="22" borderId="9" applyNumberFormat="0" applyAlignment="0" applyProtection="0"/>
    <xf numFmtId="9" fontId="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42" fillId="0" borderId="0" applyNumberFormat="0" applyFill="0" applyBorder="0" applyAlignment="0" applyProtection="0"/>
    <xf numFmtId="0" fontId="23" fillId="0" borderId="0" applyNumberFormat="0" applyFill="0" applyBorder="0" applyAlignment="0" applyProtection="0"/>
    <xf numFmtId="0" fontId="26" fillId="0" borderId="20" applyNumberFormat="0" applyFill="0" applyAlignment="0" applyProtection="0"/>
    <xf numFmtId="0" fontId="24" fillId="0" borderId="10" applyNumberFormat="0" applyFill="0" applyAlignment="0" applyProtection="0"/>
    <xf numFmtId="0" fontId="54" fillId="0" borderId="0" applyNumberFormat="0" applyFill="0" applyBorder="0" applyAlignment="0" applyProtection="0"/>
    <xf numFmtId="0" fontId="25" fillId="0" borderId="0" applyNumberFormat="0" applyFill="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7"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10" fillId="14"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21" borderId="0" applyNumberFormat="0" applyBorder="0" applyAlignment="0" applyProtection="0"/>
    <xf numFmtId="0" fontId="11" fillId="5" borderId="0" applyNumberFormat="0" applyBorder="0" applyAlignment="0" applyProtection="0"/>
    <xf numFmtId="0" fontId="12" fillId="22" borderId="2" applyNumberFormat="0" applyAlignment="0" applyProtection="0"/>
    <xf numFmtId="0" fontId="13" fillId="23" borderId="3" applyNumberFormat="0" applyAlignment="0" applyProtection="0"/>
    <xf numFmtId="165" fontId="3" fillId="0" borderId="0" applyFont="0" applyFill="0" applyBorder="0" applyAlignment="0" applyProtection="0"/>
    <xf numFmtId="0" fontId="14" fillId="0" borderId="0" applyNumberFormat="0" applyFill="0" applyBorder="0" applyAlignment="0" applyProtection="0"/>
    <xf numFmtId="0" fontId="15" fillId="6" borderId="0" applyNumberFormat="0" applyBorder="0" applyAlignment="0" applyProtection="0"/>
    <xf numFmtId="0" fontId="16" fillId="0" borderId="4" applyNumberFormat="0" applyFill="0" applyAlignment="0" applyProtection="0"/>
    <xf numFmtId="0" fontId="17" fillId="0" borderId="5" applyNumberFormat="0" applyFill="0" applyAlignment="0" applyProtection="0"/>
    <xf numFmtId="0" fontId="18" fillId="0" borderId="6" applyNumberFormat="0" applyFill="0" applyAlignment="0" applyProtection="0"/>
    <xf numFmtId="0" fontId="18" fillId="0" borderId="0" applyNumberFormat="0" applyFill="0" applyBorder="0" applyAlignment="0" applyProtection="0"/>
    <xf numFmtId="0" fontId="19" fillId="9" borderId="2" applyNumberFormat="0" applyAlignment="0" applyProtection="0"/>
    <xf numFmtId="0" fontId="20" fillId="0" borderId="7" applyNumberFormat="0" applyFill="0" applyAlignment="0" applyProtection="0"/>
    <xf numFmtId="0" fontId="21" fillId="24" borderId="0" applyNumberFormat="0" applyBorder="0" applyAlignment="0" applyProtection="0"/>
    <xf numFmtId="0" fontId="3" fillId="0" borderId="0"/>
    <xf numFmtId="0" fontId="2" fillId="25" borderId="8" applyNumberFormat="0" applyFont="0" applyAlignment="0" applyProtection="0"/>
    <xf numFmtId="0" fontId="22" fillId="22" borderId="9" applyNumberFormat="0" applyAlignment="0" applyProtection="0"/>
    <xf numFmtId="0" fontId="23" fillId="0" borderId="0" applyNumberFormat="0" applyFill="0" applyBorder="0" applyAlignment="0" applyProtection="0"/>
    <xf numFmtId="0" fontId="24" fillId="0" borderId="10" applyNumberFormat="0" applyFill="0" applyAlignment="0" applyProtection="0"/>
    <xf numFmtId="0" fontId="25" fillId="0" borderId="0" applyNumberFormat="0" applyFill="0" applyBorder="0" applyAlignment="0" applyProtection="0"/>
  </cellStyleXfs>
  <cellXfs count="158">
    <xf numFmtId="0" fontId="0" fillId="0" borderId="0" xfId="0"/>
    <xf numFmtId="0" fontId="2" fillId="2" borderId="0" xfId="1" quotePrefix="1" applyNumberFormat="1" applyFont="1" applyFill="1" applyBorder="1"/>
    <xf numFmtId="0" fontId="2" fillId="0" borderId="0" xfId="1" quotePrefix="1" applyNumberFormat="1" applyFont="1" applyFill="1" applyBorder="1"/>
    <xf numFmtId="15" fontId="0" fillId="27" borderId="0" xfId="0" applyNumberFormat="1" applyFill="1" applyAlignment="1">
      <alignment horizontal="right" vertical="center"/>
    </xf>
    <xf numFmtId="0" fontId="0" fillId="27" borderId="0" xfId="0" applyFill="1"/>
    <xf numFmtId="0" fontId="28" fillId="27" borderId="0" xfId="0" applyFont="1" applyFill="1" applyAlignment="1">
      <alignment horizontal="left" vertical="center" indent="5"/>
    </xf>
    <xf numFmtId="0" fontId="26" fillId="27" borderId="0" xfId="0" applyFont="1" applyFill="1" applyAlignment="1">
      <alignment vertical="center"/>
    </xf>
    <xf numFmtId="15" fontId="26" fillId="27" borderId="0" xfId="0" applyNumberFormat="1" applyFont="1" applyFill="1"/>
    <xf numFmtId="0" fontId="0" fillId="27" borderId="0" xfId="0" applyFill="1" applyAlignment="1">
      <alignment horizontal="right"/>
    </xf>
    <xf numFmtId="0" fontId="30" fillId="27" borderId="0" xfId="0" applyFont="1" applyFill="1" applyAlignment="1">
      <alignment horizontal="left" vertical="center" indent="5"/>
    </xf>
    <xf numFmtId="0" fontId="32" fillId="27" borderId="0" xfId="0" applyFont="1" applyFill="1"/>
    <xf numFmtId="0" fontId="32" fillId="0" borderId="0" xfId="0" applyFont="1"/>
    <xf numFmtId="0" fontId="0" fillId="0" borderId="0" xfId="0" applyAlignment="1">
      <alignment horizontal="left"/>
    </xf>
    <xf numFmtId="0" fontId="26" fillId="0" borderId="0" xfId="0" applyFont="1"/>
    <xf numFmtId="0" fontId="33" fillId="0" borderId="0" xfId="53"/>
    <xf numFmtId="0" fontId="3" fillId="0" borderId="11" xfId="53" applyFont="1" applyBorder="1"/>
    <xf numFmtId="0" fontId="3" fillId="0" borderId="11" xfId="53" applyFont="1" applyBorder="1" applyAlignment="1">
      <alignment textRotation="90"/>
    </xf>
    <xf numFmtId="0" fontId="35" fillId="0" borderId="0" xfId="55"/>
    <xf numFmtId="0" fontId="36" fillId="0" borderId="0" xfId="55" applyFont="1" applyFill="1" applyBorder="1" applyAlignment="1" applyProtection="1">
      <alignment horizontal="left"/>
    </xf>
    <xf numFmtId="0" fontId="38" fillId="27" borderId="0" xfId="0" applyFont="1" applyFill="1" applyAlignment="1">
      <alignment horizontal="left" vertical="center" indent="5"/>
    </xf>
    <xf numFmtId="0" fontId="26" fillId="27" borderId="0" xfId="0" applyFont="1" applyFill="1"/>
    <xf numFmtId="1" fontId="36" fillId="0" borderId="11" xfId="47" applyNumberFormat="1" applyFont="1" applyBorder="1" applyAlignment="1">
      <alignment horizontal="left" wrapText="1"/>
    </xf>
    <xf numFmtId="1" fontId="36" fillId="0" borderId="11" xfId="47" applyNumberFormat="1" applyFont="1" applyBorder="1" applyAlignment="1" applyProtection="1">
      <alignment horizontal="right"/>
    </xf>
    <xf numFmtId="1" fontId="36" fillId="0" borderId="11" xfId="47" quotePrefix="1" applyNumberFormat="1" applyFont="1" applyBorder="1" applyAlignment="1">
      <alignment horizontal="right"/>
    </xf>
    <xf numFmtId="1" fontId="36" fillId="0" borderId="11" xfId="47" applyNumberFormat="1" applyFont="1" applyBorder="1" applyAlignment="1">
      <alignment horizontal="right"/>
    </xf>
    <xf numFmtId="1" fontId="36" fillId="0" borderId="0" xfId="47" applyNumberFormat="1" applyFont="1" applyBorder="1" applyAlignment="1">
      <alignment horizontal="left" wrapText="1"/>
    </xf>
    <xf numFmtId="1" fontId="36" fillId="0" borderId="0" xfId="47" quotePrefix="1" applyNumberFormat="1" applyFont="1" applyAlignment="1">
      <alignment horizontal="right"/>
    </xf>
    <xf numFmtId="1" fontId="36" fillId="0" borderId="0" xfId="47" applyNumberFormat="1" applyFont="1" applyAlignment="1">
      <alignment horizontal="right"/>
    </xf>
    <xf numFmtId="1" fontId="36" fillId="0" borderId="0" xfId="47" applyNumberFormat="1" applyFont="1" applyAlignment="1" applyProtection="1">
      <alignment horizontal="right"/>
    </xf>
    <xf numFmtId="0" fontId="36" fillId="0" borderId="0" xfId="47" applyFont="1" applyAlignment="1">
      <alignment horizontal="right"/>
    </xf>
    <xf numFmtId="0" fontId="36" fillId="0" borderId="0" xfId="47" applyFont="1" applyBorder="1" applyAlignment="1">
      <alignment horizontal="left"/>
    </xf>
    <xf numFmtId="0" fontId="36" fillId="0" borderId="11" xfId="47" applyFont="1" applyBorder="1" applyAlignment="1">
      <alignment horizontal="left"/>
    </xf>
    <xf numFmtId="0" fontId="36" fillId="0" borderId="11" xfId="47" applyFont="1" applyBorder="1" applyAlignment="1">
      <alignment horizontal="right"/>
    </xf>
    <xf numFmtId="166" fontId="36" fillId="0" borderId="0" xfId="47" applyNumberFormat="1" applyFont="1" applyAlignment="1">
      <alignment horizontal="right"/>
    </xf>
    <xf numFmtId="9" fontId="36" fillId="0" borderId="0" xfId="57" applyFont="1" applyAlignment="1">
      <alignment horizontal="right"/>
    </xf>
    <xf numFmtId="1" fontId="36" fillId="0" borderId="11" xfId="47" applyNumberFormat="1" applyFont="1" applyBorder="1" applyAlignment="1" applyProtection="1">
      <alignment horizontal="center"/>
    </xf>
    <xf numFmtId="1" fontId="36" fillId="0" borderId="0" xfId="47" quotePrefix="1" applyNumberFormat="1" applyFont="1" applyBorder="1" applyAlignment="1" applyProtection="1">
      <alignment horizontal="center"/>
    </xf>
    <xf numFmtId="0" fontId="36" fillId="0" borderId="11" xfId="47" applyFont="1" applyBorder="1" applyAlignment="1">
      <alignment horizontal="center"/>
    </xf>
    <xf numFmtId="0" fontId="36" fillId="0" borderId="0" xfId="47" applyFont="1" applyBorder="1" applyAlignment="1">
      <alignment horizontal="center"/>
    </xf>
    <xf numFmtId="1" fontId="36" fillId="0" borderId="11" xfId="47" applyNumberFormat="1" applyFont="1" applyBorder="1" applyAlignment="1">
      <alignment horizontal="center" wrapText="1"/>
    </xf>
    <xf numFmtId="1" fontId="36" fillId="0" borderId="0" xfId="47" applyNumberFormat="1" applyFont="1" applyBorder="1" applyAlignment="1">
      <alignment horizontal="center" wrapText="1"/>
    </xf>
    <xf numFmtId="0" fontId="36" fillId="0" borderId="0" xfId="55" applyFont="1" applyFill="1" applyBorder="1" applyAlignment="1" applyProtection="1">
      <alignment horizontal="center"/>
    </xf>
    <xf numFmtId="0" fontId="36" fillId="0" borderId="0" xfId="47" applyFont="1" applyAlignment="1">
      <alignment horizontal="center"/>
    </xf>
    <xf numFmtId="0" fontId="36" fillId="0" borderId="0" xfId="47" applyFont="1" applyFill="1" applyBorder="1" applyAlignment="1" applyProtection="1">
      <alignment horizontal="center"/>
    </xf>
    <xf numFmtId="0" fontId="36" fillId="0" borderId="0" xfId="55" quotePrefix="1" applyFont="1" applyFill="1" applyBorder="1" applyAlignment="1" applyProtection="1">
      <alignment horizontal="left"/>
    </xf>
    <xf numFmtId="0" fontId="36" fillId="0" borderId="0" xfId="55" quotePrefix="1" applyFont="1" applyFill="1" applyBorder="1" applyAlignment="1" applyProtection="1">
      <alignment horizontal="center"/>
    </xf>
    <xf numFmtId="49" fontId="36" fillId="0" borderId="0" xfId="55" applyNumberFormat="1" applyFont="1" applyFill="1" applyBorder="1" applyAlignment="1" applyProtection="1">
      <alignment horizontal="left"/>
    </xf>
    <xf numFmtId="0" fontId="36" fillId="0" borderId="0" xfId="47" applyFont="1" applyFill="1" applyBorder="1" applyAlignment="1">
      <alignment horizontal="center"/>
    </xf>
    <xf numFmtId="0" fontId="37" fillId="0" borderId="0" xfId="54" applyFont="1" applyFill="1" applyAlignment="1">
      <alignment horizontal="center"/>
    </xf>
    <xf numFmtId="0" fontId="36" fillId="0" borderId="0" xfId="55" applyFont="1" applyFill="1" applyBorder="1" applyAlignment="1">
      <alignment horizontal="left"/>
    </xf>
    <xf numFmtId="0" fontId="36" fillId="0" borderId="0" xfId="0" applyFont="1" applyFill="1" applyBorder="1" applyAlignment="1">
      <alignment horizontal="left"/>
    </xf>
    <xf numFmtId="0" fontId="36" fillId="0" borderId="0" xfId="0" applyFont="1" applyFill="1" applyBorder="1" applyAlignment="1" applyProtection="1">
      <alignment horizontal="center"/>
    </xf>
    <xf numFmtId="0" fontId="0" fillId="0" borderId="1" xfId="0" applyBorder="1"/>
    <xf numFmtId="0" fontId="33" fillId="0" borderId="0" xfId="53" applyBorder="1"/>
    <xf numFmtId="0" fontId="3" fillId="0" borderId="0" xfId="53" applyFont="1" applyBorder="1" applyAlignment="1"/>
    <xf numFmtId="0" fontId="33" fillId="0" borderId="0" xfId="53" applyFill="1"/>
    <xf numFmtId="0" fontId="3" fillId="0" borderId="11" xfId="53" applyFont="1" applyFill="1" applyBorder="1" applyAlignment="1">
      <alignment textRotation="90"/>
    </xf>
    <xf numFmtId="0" fontId="3" fillId="0" borderId="0" xfId="53" applyFont="1" applyFill="1" applyBorder="1" applyAlignment="1"/>
    <xf numFmtId="0" fontId="33" fillId="0" borderId="0" xfId="53" applyFill="1" applyBorder="1"/>
    <xf numFmtId="0" fontId="0" fillId="0" borderId="0" xfId="0" applyFill="1"/>
    <xf numFmtId="1" fontId="36" fillId="0" borderId="0" xfId="47" applyNumberFormat="1" applyFont="1" applyAlignment="1">
      <alignment horizontal="left"/>
    </xf>
    <xf numFmtId="0" fontId="36" fillId="0" borderId="0" xfId="47" applyFont="1" applyAlignment="1">
      <alignment horizontal="left"/>
    </xf>
    <xf numFmtId="15" fontId="0" fillId="27" borderId="0" xfId="0" applyNumberFormat="1" applyFill="1" applyAlignment="1">
      <alignment horizontal="left" vertical="center"/>
    </xf>
    <xf numFmtId="1" fontId="36" fillId="0" borderId="11" xfId="47" quotePrefix="1" applyNumberFormat="1" applyFont="1" applyBorder="1" applyAlignment="1">
      <alignment horizontal="left"/>
    </xf>
    <xf numFmtId="15" fontId="41" fillId="35" borderId="0" xfId="0" applyNumberFormat="1" applyFont="1" applyFill="1" applyAlignment="1">
      <alignment horizontal="right"/>
    </xf>
    <xf numFmtId="15" fontId="41" fillId="35" borderId="0" xfId="0" applyNumberFormat="1" applyFont="1" applyFill="1"/>
    <xf numFmtId="0" fontId="41" fillId="35" borderId="0" xfId="0" applyFont="1" applyFill="1"/>
    <xf numFmtId="0" fontId="41" fillId="35" borderId="0" xfId="0" applyFont="1" applyFill="1" applyAlignment="1">
      <alignment horizontal="right"/>
    </xf>
    <xf numFmtId="0" fontId="0" fillId="35" borderId="0" xfId="0" applyFill="1"/>
    <xf numFmtId="0" fontId="38" fillId="35" borderId="0" xfId="0" applyFont="1" applyFill="1" applyAlignment="1">
      <alignment horizontal="left" vertical="center" indent="5"/>
    </xf>
    <xf numFmtId="0" fontId="26" fillId="35" borderId="0" xfId="0" applyFont="1" applyFill="1"/>
    <xf numFmtId="2" fontId="0" fillId="35" borderId="0" xfId="0" applyNumberFormat="1" applyFill="1" applyAlignment="1">
      <alignment horizontal="center"/>
    </xf>
    <xf numFmtId="1" fontId="0" fillId="35" borderId="0" xfId="0" applyNumberFormat="1" applyFill="1" applyAlignment="1">
      <alignment horizontal="center"/>
    </xf>
    <xf numFmtId="0" fontId="59" fillId="0" borderId="0" xfId="0" applyFont="1"/>
    <xf numFmtId="0" fontId="27" fillId="0" borderId="0" xfId="0" applyFont="1"/>
    <xf numFmtId="0" fontId="27" fillId="0" borderId="0" xfId="0" applyFont="1" applyFill="1"/>
    <xf numFmtId="0" fontId="0" fillId="28" borderId="0" xfId="0" applyFill="1"/>
    <xf numFmtId="1" fontId="36" fillId="28" borderId="0" xfId="47" applyNumberFormat="1" applyFont="1" applyFill="1" applyAlignment="1">
      <alignment horizontal="right"/>
    </xf>
    <xf numFmtId="1" fontId="0" fillId="0" borderId="0" xfId="0" applyNumberFormat="1" applyFill="1"/>
    <xf numFmtId="0" fontId="60" fillId="0" borderId="0" xfId="0" applyFont="1" applyFill="1" applyAlignment="1">
      <alignment horizontal="left" vertical="center" indent="5"/>
    </xf>
    <xf numFmtId="0" fontId="60" fillId="0" borderId="0" xfId="0" applyFont="1" applyFill="1"/>
    <xf numFmtId="0" fontId="59" fillId="0" borderId="0" xfId="0" applyFont="1" applyFill="1"/>
    <xf numFmtId="0" fontId="0" fillId="0" borderId="0" xfId="0" quotePrefix="1"/>
    <xf numFmtId="0" fontId="0" fillId="0" borderId="0" xfId="0" applyNumberFormat="1" applyFill="1"/>
    <xf numFmtId="168" fontId="61" fillId="0" borderId="0" xfId="0" applyNumberFormat="1" applyFont="1"/>
    <xf numFmtId="169" fontId="61" fillId="0" borderId="0" xfId="0" applyNumberFormat="1" applyFont="1"/>
    <xf numFmtId="0" fontId="61" fillId="0" borderId="0" xfId="0" applyNumberFormat="1" applyFont="1"/>
    <xf numFmtId="0" fontId="26" fillId="0" borderId="21" xfId="0" applyFont="1" applyBorder="1"/>
    <xf numFmtId="0" fontId="65" fillId="69" borderId="22" xfId="0" applyFont="1" applyFill="1" applyBorder="1"/>
    <xf numFmtId="0" fontId="0" fillId="69" borderId="23" xfId="0" applyFill="1" applyBorder="1"/>
    <xf numFmtId="0" fontId="0" fillId="69" borderId="24" xfId="0" applyFill="1" applyBorder="1"/>
    <xf numFmtId="0" fontId="0" fillId="69" borderId="25" xfId="0" applyFill="1" applyBorder="1"/>
    <xf numFmtId="0" fontId="0" fillId="69" borderId="0" xfId="0" applyFill="1" applyBorder="1"/>
    <xf numFmtId="0" fontId="0" fillId="69" borderId="26" xfId="0" applyFill="1" applyBorder="1"/>
    <xf numFmtId="0" fontId="62" fillId="69" borderId="0" xfId="0" quotePrefix="1" applyFont="1" applyFill="1" applyBorder="1"/>
    <xf numFmtId="0" fontId="63" fillId="69" borderId="0" xfId="0" quotePrefix="1" applyFont="1" applyFill="1" applyBorder="1"/>
    <xf numFmtId="0" fontId="0" fillId="69" borderId="0" xfId="0" quotePrefix="1" applyFill="1" applyBorder="1"/>
    <xf numFmtId="0" fontId="62" fillId="69" borderId="0" xfId="0" applyFont="1" applyFill="1" applyBorder="1"/>
    <xf numFmtId="0" fontId="0" fillId="69" borderId="27" xfId="0" applyFill="1" applyBorder="1"/>
    <xf numFmtId="0" fontId="0" fillId="69" borderId="28" xfId="0" applyFill="1" applyBorder="1"/>
    <xf numFmtId="0" fontId="0" fillId="69" borderId="29" xfId="0" applyFill="1" applyBorder="1"/>
    <xf numFmtId="0" fontId="66" fillId="69" borderId="22" xfId="0" applyFont="1" applyFill="1" applyBorder="1"/>
    <xf numFmtId="0" fontId="26" fillId="69" borderId="25" xfId="0" applyFont="1" applyFill="1" applyBorder="1"/>
    <xf numFmtId="0" fontId="26" fillId="69" borderId="0" xfId="0" applyFont="1" applyFill="1" applyBorder="1"/>
    <xf numFmtId="0" fontId="0" fillId="69" borderId="25" xfId="0" applyFont="1" applyFill="1" applyBorder="1"/>
    <xf numFmtId="0" fontId="0" fillId="69" borderId="0" xfId="0" applyFont="1" applyFill="1" applyBorder="1"/>
    <xf numFmtId="0" fontId="0" fillId="69" borderId="28" xfId="0" applyFont="1" applyFill="1" applyBorder="1"/>
    <xf numFmtId="0" fontId="65" fillId="69" borderId="25" xfId="0" applyFont="1" applyFill="1" applyBorder="1"/>
    <xf numFmtId="0" fontId="26" fillId="32" borderId="0" xfId="0" applyFont="1" applyFill="1"/>
    <xf numFmtId="0" fontId="0" fillId="32" borderId="0" xfId="0" applyFont="1" applyFill="1"/>
    <xf numFmtId="0" fontId="26" fillId="32" borderId="0" xfId="0" applyFont="1" applyFill="1" applyAlignment="1">
      <alignment horizontal="left" vertical="center" indent="5"/>
    </xf>
    <xf numFmtId="15" fontId="64" fillId="32" borderId="0" xfId="0" applyNumberFormat="1" applyFont="1" applyFill="1" applyAlignment="1">
      <alignment horizontal="right"/>
    </xf>
    <xf numFmtId="15" fontId="64" fillId="32" borderId="0" xfId="0" applyNumberFormat="1" applyFont="1" applyFill="1"/>
    <xf numFmtId="0" fontId="64" fillId="32" borderId="0" xfId="0" applyFont="1" applyFill="1"/>
    <xf numFmtId="0" fontId="64" fillId="32" borderId="0" xfId="0" applyFont="1" applyFill="1" applyAlignment="1">
      <alignment horizontal="right"/>
    </xf>
    <xf numFmtId="0" fontId="61" fillId="32" borderId="0" xfId="0" applyFont="1" applyFill="1"/>
    <xf numFmtId="169" fontId="1" fillId="68" borderId="21" xfId="0" applyNumberFormat="1" applyFont="1" applyFill="1" applyBorder="1"/>
    <xf numFmtId="0" fontId="3" fillId="0" borderId="1" xfId="53" applyFont="1" applyFill="1" applyBorder="1" applyAlignment="1">
      <alignment textRotation="90"/>
    </xf>
    <xf numFmtId="49" fontId="0" fillId="0" borderId="0" xfId="0" applyNumberFormat="1"/>
    <xf numFmtId="1" fontId="27" fillId="0" borderId="1" xfId="55" applyNumberFormat="1" applyFont="1" applyBorder="1" applyAlignment="1">
      <alignment horizontal="left" wrapText="1"/>
    </xf>
    <xf numFmtId="0" fontId="27" fillId="3" borderId="0" xfId="55" applyFont="1" applyFill="1" applyBorder="1" applyAlignment="1" applyProtection="1">
      <alignment horizontal="left"/>
    </xf>
    <xf numFmtId="0" fontId="27" fillId="0" borderId="0" xfId="55" applyFont="1" applyFill="1" applyBorder="1" applyAlignment="1" applyProtection="1">
      <alignment horizontal="left"/>
    </xf>
    <xf numFmtId="0" fontId="27" fillId="3" borderId="0" xfId="55" quotePrefix="1" applyFont="1" applyFill="1" applyBorder="1" applyAlignment="1" applyProtection="1">
      <alignment horizontal="left"/>
    </xf>
    <xf numFmtId="0" fontId="27" fillId="29" borderId="0" xfId="55" quotePrefix="1" applyFont="1" applyFill="1" applyBorder="1" applyAlignment="1" applyProtection="1">
      <alignment horizontal="left"/>
    </xf>
    <xf numFmtId="0" fontId="27" fillId="29" borderId="0" xfId="55" applyFont="1" applyFill="1" applyBorder="1" applyAlignment="1" applyProtection="1">
      <alignment horizontal="left"/>
    </xf>
    <xf numFmtId="0" fontId="27" fillId="30" borderId="0" xfId="55" applyFont="1" applyFill="1" applyBorder="1" applyAlignment="1" applyProtection="1">
      <alignment horizontal="left"/>
    </xf>
    <xf numFmtId="0" fontId="27" fillId="30" borderId="0" xfId="55" quotePrefix="1" applyFont="1" applyFill="1" applyBorder="1" applyAlignment="1" applyProtection="1">
      <alignment horizontal="left"/>
    </xf>
    <xf numFmtId="0" fontId="27" fillId="26" borderId="0" xfId="55" applyFont="1" applyFill="1" applyBorder="1" applyAlignment="1" applyProtection="1">
      <alignment horizontal="left"/>
    </xf>
    <xf numFmtId="0" fontId="27" fillId="26" borderId="0" xfId="55" quotePrefix="1" applyFont="1" applyFill="1" applyBorder="1" applyAlignment="1" applyProtection="1">
      <alignment horizontal="left"/>
    </xf>
    <xf numFmtId="0" fontId="27" fillId="28" borderId="0" xfId="55" quotePrefix="1" applyFont="1" applyFill="1" applyBorder="1" applyAlignment="1" applyProtection="1">
      <alignment horizontal="left"/>
    </xf>
    <xf numFmtId="0" fontId="27" fillId="28" borderId="0" xfId="55" applyFont="1" applyFill="1" applyBorder="1" applyAlignment="1" applyProtection="1">
      <alignment horizontal="left"/>
    </xf>
    <xf numFmtId="0" fontId="27" fillId="31" borderId="0" xfId="55" applyFont="1" applyFill="1" applyBorder="1" applyAlignment="1" applyProtection="1">
      <alignment horizontal="left"/>
    </xf>
    <xf numFmtId="0" fontId="27" fillId="31" borderId="0" xfId="55" quotePrefix="1" applyFont="1" applyFill="1" applyBorder="1" applyAlignment="1" applyProtection="1">
      <alignment horizontal="left"/>
    </xf>
    <xf numFmtId="0" fontId="27" fillId="32" borderId="0" xfId="55" applyFont="1" applyFill="1" applyBorder="1" applyAlignment="1" applyProtection="1">
      <alignment horizontal="left"/>
    </xf>
    <xf numFmtId="0" fontId="27" fillId="32" borderId="0" xfId="55" quotePrefix="1" applyFont="1" applyFill="1" applyBorder="1" applyAlignment="1" applyProtection="1">
      <alignment horizontal="left"/>
    </xf>
    <xf numFmtId="49" fontId="27" fillId="33" borderId="0" xfId="55" applyNumberFormat="1" applyFont="1" applyFill="1" applyBorder="1" applyAlignment="1" applyProtection="1">
      <alignment horizontal="left"/>
    </xf>
    <xf numFmtId="0" fontId="27" fillId="33" borderId="0" xfId="55" applyFont="1" applyFill="1" applyBorder="1" applyAlignment="1" applyProtection="1">
      <alignment horizontal="left"/>
    </xf>
    <xf numFmtId="0" fontId="27" fillId="33" borderId="0" xfId="55" quotePrefix="1" applyFont="1" applyFill="1" applyBorder="1" applyAlignment="1" applyProtection="1">
      <alignment horizontal="left"/>
    </xf>
    <xf numFmtId="0" fontId="27" fillId="33" borderId="0" xfId="54" applyFont="1" applyFill="1" applyAlignment="1">
      <alignment horizontal="left"/>
    </xf>
    <xf numFmtId="0" fontId="27" fillId="33" borderId="0" xfId="55" applyFont="1" applyFill="1" applyBorder="1" applyAlignment="1">
      <alignment horizontal="left"/>
    </xf>
    <xf numFmtId="0" fontId="27" fillId="34" borderId="0" xfId="55" applyFont="1" applyFill="1" applyBorder="1" applyAlignment="1">
      <alignment horizontal="left"/>
    </xf>
    <xf numFmtId="0" fontId="27" fillId="34" borderId="0" xfId="55" applyFont="1" applyFill="1" applyBorder="1" applyAlignment="1" applyProtection="1">
      <alignment horizontal="left"/>
    </xf>
    <xf numFmtId="0" fontId="27" fillId="34" borderId="0" xfId="54" applyFont="1" applyFill="1" applyAlignment="1">
      <alignment horizontal="left"/>
    </xf>
    <xf numFmtId="0" fontId="27" fillId="36" borderId="0" xfId="0" applyFont="1" applyFill="1" applyBorder="1" applyAlignment="1">
      <alignment horizontal="left"/>
    </xf>
    <xf numFmtId="0" fontId="27" fillId="36" borderId="0" xfId="0" applyFont="1" applyFill="1" applyBorder="1" applyAlignment="1" applyProtection="1">
      <alignment horizontal="left"/>
    </xf>
    <xf numFmtId="0" fontId="27" fillId="36" borderId="0" xfId="54" applyFont="1" applyFill="1" applyAlignment="1">
      <alignment horizontal="left"/>
    </xf>
    <xf numFmtId="0" fontId="27" fillId="0" borderId="0" xfId="55" applyFont="1"/>
    <xf numFmtId="0" fontId="2" fillId="0" borderId="1" xfId="55" applyFont="1" applyBorder="1"/>
    <xf numFmtId="0" fontId="0" fillId="70" borderId="0" xfId="0" applyFill="1"/>
    <xf numFmtId="0" fontId="0" fillId="71" borderId="0" xfId="0" applyFill="1"/>
    <xf numFmtId="0" fontId="0" fillId="0" borderId="0" xfId="0" applyFill="1" applyAlignment="1">
      <alignment horizontal="center"/>
    </xf>
    <xf numFmtId="0" fontId="61" fillId="0" borderId="21" xfId="0" applyFont="1" applyFill="1" applyBorder="1"/>
    <xf numFmtId="0" fontId="2" fillId="0" borderId="0" xfId="55" applyFont="1"/>
    <xf numFmtId="0" fontId="0" fillId="32" borderId="0" xfId="0" applyFill="1"/>
    <xf numFmtId="0" fontId="26" fillId="0" borderId="21" xfId="0" applyFont="1" applyBorder="1" applyAlignment="1">
      <alignment horizontal="left"/>
    </xf>
    <xf numFmtId="0" fontId="54" fillId="0" borderId="0" xfId="0" applyFont="1"/>
    <xf numFmtId="0" fontId="0" fillId="72" borderId="0" xfId="0" applyFill="1"/>
    <xf numFmtId="3" fontId="36" fillId="0" borderId="0" xfId="57" applyNumberFormat="1" applyFont="1" applyAlignment="1">
      <alignment horizontal="right"/>
    </xf>
  </cellXfs>
  <cellStyles count="478">
    <cellStyle name="20% - Accent1 2" xfId="11" xr:uid="{00000000-0005-0000-0000-000000000000}"/>
    <cellStyle name="20% - Accent1 3" xfId="60" xr:uid="{00000000-0005-0000-0000-000001000000}"/>
    <cellStyle name="20% - Accent1 3 2" xfId="61" xr:uid="{00000000-0005-0000-0000-000002000000}"/>
    <cellStyle name="20% - Accent1 4" xfId="435" xr:uid="{00000000-0005-0000-0000-000003000000}"/>
    <cellStyle name="20% - Accent2 2" xfId="12" xr:uid="{00000000-0005-0000-0000-000004000000}"/>
    <cellStyle name="20% - Accent2 3" xfId="62" xr:uid="{00000000-0005-0000-0000-000005000000}"/>
    <cellStyle name="20% - Accent2 3 2" xfId="63" xr:uid="{00000000-0005-0000-0000-000006000000}"/>
    <cellStyle name="20% - Accent2 4" xfId="436" xr:uid="{00000000-0005-0000-0000-000007000000}"/>
    <cellStyle name="20% - Accent3 2" xfId="13" xr:uid="{00000000-0005-0000-0000-000008000000}"/>
    <cellStyle name="20% - Accent3 3" xfId="64" xr:uid="{00000000-0005-0000-0000-000009000000}"/>
    <cellStyle name="20% - Accent3 3 2" xfId="65" xr:uid="{00000000-0005-0000-0000-00000A000000}"/>
    <cellStyle name="20% - Accent3 4" xfId="437" xr:uid="{00000000-0005-0000-0000-00000B000000}"/>
    <cellStyle name="20% - Accent4 2" xfId="14" xr:uid="{00000000-0005-0000-0000-00000C000000}"/>
    <cellStyle name="20% - Accent4 3" xfId="66" xr:uid="{00000000-0005-0000-0000-00000D000000}"/>
    <cellStyle name="20% - Accent4 3 2" xfId="67" xr:uid="{00000000-0005-0000-0000-00000E000000}"/>
    <cellStyle name="20% - Accent4 4" xfId="438" xr:uid="{00000000-0005-0000-0000-00000F000000}"/>
    <cellStyle name="20% - Accent5 2" xfId="15" xr:uid="{00000000-0005-0000-0000-000010000000}"/>
    <cellStyle name="20% - Accent5 3" xfId="68" xr:uid="{00000000-0005-0000-0000-000011000000}"/>
    <cellStyle name="20% - Accent5 3 2" xfId="69" xr:uid="{00000000-0005-0000-0000-000012000000}"/>
    <cellStyle name="20% - Accent5 4" xfId="439" xr:uid="{00000000-0005-0000-0000-000013000000}"/>
    <cellStyle name="20% - Accent6 2" xfId="16" xr:uid="{00000000-0005-0000-0000-000014000000}"/>
    <cellStyle name="20% - Accent6 3" xfId="70" xr:uid="{00000000-0005-0000-0000-000015000000}"/>
    <cellStyle name="20% - Accent6 3 2" xfId="71" xr:uid="{00000000-0005-0000-0000-000016000000}"/>
    <cellStyle name="20% - Accent6 4" xfId="440" xr:uid="{00000000-0005-0000-0000-000017000000}"/>
    <cellStyle name="40% - Accent1 2" xfId="17" xr:uid="{00000000-0005-0000-0000-000018000000}"/>
    <cellStyle name="40% - Accent1 3" xfId="72" xr:uid="{00000000-0005-0000-0000-000019000000}"/>
    <cellStyle name="40% - Accent1 3 2" xfId="73" xr:uid="{00000000-0005-0000-0000-00001A000000}"/>
    <cellStyle name="40% - Accent1 4" xfId="441" xr:uid="{00000000-0005-0000-0000-00001B000000}"/>
    <cellStyle name="40% - Accent2 2" xfId="18" xr:uid="{00000000-0005-0000-0000-00001C000000}"/>
    <cellStyle name="40% - Accent2 3" xfId="74" xr:uid="{00000000-0005-0000-0000-00001D000000}"/>
    <cellStyle name="40% - Accent2 3 2" xfId="75" xr:uid="{00000000-0005-0000-0000-00001E000000}"/>
    <cellStyle name="40% - Accent2 4" xfId="442" xr:uid="{00000000-0005-0000-0000-00001F000000}"/>
    <cellStyle name="40% - Accent3 2" xfId="19" xr:uid="{00000000-0005-0000-0000-000020000000}"/>
    <cellStyle name="40% - Accent3 3" xfId="76" xr:uid="{00000000-0005-0000-0000-000021000000}"/>
    <cellStyle name="40% - Accent3 3 2" xfId="77" xr:uid="{00000000-0005-0000-0000-000022000000}"/>
    <cellStyle name="40% - Accent3 4" xfId="443" xr:uid="{00000000-0005-0000-0000-000023000000}"/>
    <cellStyle name="40% - Accent4 2" xfId="20" xr:uid="{00000000-0005-0000-0000-000024000000}"/>
    <cellStyle name="40% - Accent4 3" xfId="78" xr:uid="{00000000-0005-0000-0000-000025000000}"/>
    <cellStyle name="40% - Accent4 3 2" xfId="79" xr:uid="{00000000-0005-0000-0000-000026000000}"/>
    <cellStyle name="40% - Accent4 4" xfId="444" xr:uid="{00000000-0005-0000-0000-000027000000}"/>
    <cellStyle name="40% - Accent5 2" xfId="21" xr:uid="{00000000-0005-0000-0000-000028000000}"/>
    <cellStyle name="40% - Accent5 3" xfId="80" xr:uid="{00000000-0005-0000-0000-000029000000}"/>
    <cellStyle name="40% - Accent5 3 2" xfId="81" xr:uid="{00000000-0005-0000-0000-00002A000000}"/>
    <cellStyle name="40% - Accent5 4" xfId="445" xr:uid="{00000000-0005-0000-0000-00002B000000}"/>
    <cellStyle name="40% - Accent6 2" xfId="22" xr:uid="{00000000-0005-0000-0000-00002C000000}"/>
    <cellStyle name="40% - Accent6 3" xfId="82" xr:uid="{00000000-0005-0000-0000-00002D000000}"/>
    <cellStyle name="40% - Accent6 3 2" xfId="83" xr:uid="{00000000-0005-0000-0000-00002E000000}"/>
    <cellStyle name="40% - Accent6 4" xfId="446" xr:uid="{00000000-0005-0000-0000-00002F000000}"/>
    <cellStyle name="60% - Accent1 2" xfId="23" xr:uid="{00000000-0005-0000-0000-000030000000}"/>
    <cellStyle name="60% - Accent1 3" xfId="84" xr:uid="{00000000-0005-0000-0000-000031000000}"/>
    <cellStyle name="60% - Accent1 3 2" xfId="85" xr:uid="{00000000-0005-0000-0000-000032000000}"/>
    <cellStyle name="60% - Accent1 4" xfId="447" xr:uid="{00000000-0005-0000-0000-000033000000}"/>
    <cellStyle name="60% - Accent2 2" xfId="24" xr:uid="{00000000-0005-0000-0000-000034000000}"/>
    <cellStyle name="60% - Accent2 3" xfId="86" xr:uid="{00000000-0005-0000-0000-000035000000}"/>
    <cellStyle name="60% - Accent2 3 2" xfId="87" xr:uid="{00000000-0005-0000-0000-000036000000}"/>
    <cellStyle name="60% - Accent2 4" xfId="448" xr:uid="{00000000-0005-0000-0000-000037000000}"/>
    <cellStyle name="60% - Accent3 2" xfId="25" xr:uid="{00000000-0005-0000-0000-000038000000}"/>
    <cellStyle name="60% - Accent3 3" xfId="88" xr:uid="{00000000-0005-0000-0000-000039000000}"/>
    <cellStyle name="60% - Accent3 3 2" xfId="89" xr:uid="{00000000-0005-0000-0000-00003A000000}"/>
    <cellStyle name="60% - Accent3 4" xfId="449" xr:uid="{00000000-0005-0000-0000-00003B000000}"/>
    <cellStyle name="60% - Accent4 2" xfId="26" xr:uid="{00000000-0005-0000-0000-00003C000000}"/>
    <cellStyle name="60% - Accent4 3" xfId="90" xr:uid="{00000000-0005-0000-0000-00003D000000}"/>
    <cellStyle name="60% - Accent4 3 2" xfId="91" xr:uid="{00000000-0005-0000-0000-00003E000000}"/>
    <cellStyle name="60% - Accent4 4" xfId="450" xr:uid="{00000000-0005-0000-0000-00003F000000}"/>
    <cellStyle name="60% - Accent5 2" xfId="27" xr:uid="{00000000-0005-0000-0000-000040000000}"/>
    <cellStyle name="60% - Accent5 3" xfId="92" xr:uid="{00000000-0005-0000-0000-000041000000}"/>
    <cellStyle name="60% - Accent5 3 2" xfId="93" xr:uid="{00000000-0005-0000-0000-000042000000}"/>
    <cellStyle name="60% - Accent5 4" xfId="451" xr:uid="{00000000-0005-0000-0000-000043000000}"/>
    <cellStyle name="60% - Accent6 2" xfId="28" xr:uid="{00000000-0005-0000-0000-000044000000}"/>
    <cellStyle name="60% - Accent6 3" xfId="94" xr:uid="{00000000-0005-0000-0000-000045000000}"/>
    <cellStyle name="60% - Accent6 3 2" xfId="95" xr:uid="{00000000-0005-0000-0000-000046000000}"/>
    <cellStyle name="60% - Accent6 4" xfId="452" xr:uid="{00000000-0005-0000-0000-000047000000}"/>
    <cellStyle name="Accent1 2" xfId="29" xr:uid="{00000000-0005-0000-0000-000048000000}"/>
    <cellStyle name="Accent1 3" xfId="96" xr:uid="{00000000-0005-0000-0000-000049000000}"/>
    <cellStyle name="Accent1 3 2" xfId="97" xr:uid="{00000000-0005-0000-0000-00004A000000}"/>
    <cellStyle name="Accent1 4" xfId="453" xr:uid="{00000000-0005-0000-0000-00004B000000}"/>
    <cellStyle name="Accent2 2" xfId="30" xr:uid="{00000000-0005-0000-0000-00004C000000}"/>
    <cellStyle name="Accent2 3" xfId="98" xr:uid="{00000000-0005-0000-0000-00004D000000}"/>
    <cellStyle name="Accent2 3 2" xfId="99" xr:uid="{00000000-0005-0000-0000-00004E000000}"/>
    <cellStyle name="Accent2 4" xfId="454" xr:uid="{00000000-0005-0000-0000-00004F000000}"/>
    <cellStyle name="Accent3 2" xfId="31" xr:uid="{00000000-0005-0000-0000-000050000000}"/>
    <cellStyle name="Accent3 3" xfId="100" xr:uid="{00000000-0005-0000-0000-000051000000}"/>
    <cellStyle name="Accent3 3 2" xfId="101" xr:uid="{00000000-0005-0000-0000-000052000000}"/>
    <cellStyle name="Accent3 4" xfId="455" xr:uid="{00000000-0005-0000-0000-000053000000}"/>
    <cellStyle name="Accent4 2" xfId="32" xr:uid="{00000000-0005-0000-0000-000054000000}"/>
    <cellStyle name="Accent4 3" xfId="102" xr:uid="{00000000-0005-0000-0000-000055000000}"/>
    <cellStyle name="Accent4 3 2" xfId="103" xr:uid="{00000000-0005-0000-0000-000056000000}"/>
    <cellStyle name="Accent4 4" xfId="456" xr:uid="{00000000-0005-0000-0000-000057000000}"/>
    <cellStyle name="Accent5 2" xfId="33" xr:uid="{00000000-0005-0000-0000-000058000000}"/>
    <cellStyle name="Accent5 3" xfId="104" xr:uid="{00000000-0005-0000-0000-000059000000}"/>
    <cellStyle name="Accent5 3 2" xfId="105" xr:uid="{00000000-0005-0000-0000-00005A000000}"/>
    <cellStyle name="Accent5 4" xfId="457" xr:uid="{00000000-0005-0000-0000-00005B000000}"/>
    <cellStyle name="Accent6 2" xfId="34" xr:uid="{00000000-0005-0000-0000-00005C000000}"/>
    <cellStyle name="Accent6 3" xfId="106" xr:uid="{00000000-0005-0000-0000-00005D000000}"/>
    <cellStyle name="Accent6 3 2" xfId="107" xr:uid="{00000000-0005-0000-0000-00005E000000}"/>
    <cellStyle name="Accent6 4" xfId="458" xr:uid="{00000000-0005-0000-0000-00005F000000}"/>
    <cellStyle name="Bad 2" xfId="35" xr:uid="{00000000-0005-0000-0000-000060000000}"/>
    <cellStyle name="Bad 3" xfId="108" xr:uid="{00000000-0005-0000-0000-000061000000}"/>
    <cellStyle name="Bad 3 2" xfId="109" xr:uid="{00000000-0005-0000-0000-000062000000}"/>
    <cellStyle name="Bad 4" xfId="459" xr:uid="{00000000-0005-0000-0000-000063000000}"/>
    <cellStyle name="Calculation 2" xfId="36" xr:uid="{00000000-0005-0000-0000-000064000000}"/>
    <cellStyle name="Calculation 3" xfId="110" xr:uid="{00000000-0005-0000-0000-000065000000}"/>
    <cellStyle name="Calculation 3 2" xfId="111" xr:uid="{00000000-0005-0000-0000-000066000000}"/>
    <cellStyle name="Calculation 4" xfId="460" xr:uid="{00000000-0005-0000-0000-000067000000}"/>
    <cellStyle name="Check Cell 2" xfId="37" xr:uid="{00000000-0005-0000-0000-000068000000}"/>
    <cellStyle name="Check Cell 3" xfId="112" xr:uid="{00000000-0005-0000-0000-000069000000}"/>
    <cellStyle name="Check Cell 3 2" xfId="113" xr:uid="{00000000-0005-0000-0000-00006A000000}"/>
    <cellStyle name="Check Cell 4" xfId="461" xr:uid="{00000000-0005-0000-0000-00006B000000}"/>
    <cellStyle name="Comma 2" xfId="6" xr:uid="{00000000-0005-0000-0000-00006C000000}"/>
    <cellStyle name="Comma 2 2" xfId="2" xr:uid="{00000000-0005-0000-0000-00006D000000}"/>
    <cellStyle name="Comma 2 2 2" xfId="114" xr:uid="{00000000-0005-0000-0000-00006E000000}"/>
    <cellStyle name="Comma 3" xfId="115" xr:uid="{00000000-0005-0000-0000-00006F000000}"/>
    <cellStyle name="Comma 4" xfId="462" xr:uid="{00000000-0005-0000-0000-000070000000}"/>
    <cellStyle name="Currency 2" xfId="116" xr:uid="{00000000-0005-0000-0000-000071000000}"/>
    <cellStyle name="Explanatory Text 2" xfId="38" xr:uid="{00000000-0005-0000-0000-000072000000}"/>
    <cellStyle name="Explanatory Text 3" xfId="117" xr:uid="{00000000-0005-0000-0000-000073000000}"/>
    <cellStyle name="Explanatory Text 3 2" xfId="118" xr:uid="{00000000-0005-0000-0000-000074000000}"/>
    <cellStyle name="Explanatory Text 4" xfId="463" xr:uid="{00000000-0005-0000-0000-000075000000}"/>
    <cellStyle name="Good 2" xfId="39" xr:uid="{00000000-0005-0000-0000-000076000000}"/>
    <cellStyle name="Good 3" xfId="119" xr:uid="{00000000-0005-0000-0000-000077000000}"/>
    <cellStyle name="Good 3 2" xfId="120" xr:uid="{00000000-0005-0000-0000-000078000000}"/>
    <cellStyle name="Good 4" xfId="464" xr:uid="{00000000-0005-0000-0000-000079000000}"/>
    <cellStyle name="Heading 1 2" xfId="40" xr:uid="{00000000-0005-0000-0000-00007A000000}"/>
    <cellStyle name="Heading 1 3" xfId="121" xr:uid="{00000000-0005-0000-0000-00007B000000}"/>
    <cellStyle name="Heading 1 3 2" xfId="122" xr:uid="{00000000-0005-0000-0000-00007C000000}"/>
    <cellStyle name="Heading 1 4" xfId="465" xr:uid="{00000000-0005-0000-0000-00007D000000}"/>
    <cellStyle name="Heading 2 2" xfId="41" xr:uid="{00000000-0005-0000-0000-00007E000000}"/>
    <cellStyle name="Heading 2 3" xfId="123" xr:uid="{00000000-0005-0000-0000-00007F000000}"/>
    <cellStyle name="Heading 2 3 2" xfId="124" xr:uid="{00000000-0005-0000-0000-000080000000}"/>
    <cellStyle name="Heading 2 4" xfId="466" xr:uid="{00000000-0005-0000-0000-000081000000}"/>
    <cellStyle name="Heading 3 2" xfId="42" xr:uid="{00000000-0005-0000-0000-000082000000}"/>
    <cellStyle name="Heading 3 3" xfId="125" xr:uid="{00000000-0005-0000-0000-000083000000}"/>
    <cellStyle name="Heading 3 3 2" xfId="126" xr:uid="{00000000-0005-0000-0000-000084000000}"/>
    <cellStyle name="Heading 3 4" xfId="467" xr:uid="{00000000-0005-0000-0000-000085000000}"/>
    <cellStyle name="Heading 4 2" xfId="43" xr:uid="{00000000-0005-0000-0000-000086000000}"/>
    <cellStyle name="Heading 4 3" xfId="127" xr:uid="{00000000-0005-0000-0000-000087000000}"/>
    <cellStyle name="Heading 4 3 2" xfId="128" xr:uid="{00000000-0005-0000-0000-000088000000}"/>
    <cellStyle name="Heading 4 4" xfId="468" xr:uid="{00000000-0005-0000-0000-000089000000}"/>
    <cellStyle name="Input 2" xfId="44" xr:uid="{00000000-0005-0000-0000-00008A000000}"/>
    <cellStyle name="Input 3" xfId="129" xr:uid="{00000000-0005-0000-0000-00008B000000}"/>
    <cellStyle name="Input 3 2" xfId="130" xr:uid="{00000000-0005-0000-0000-00008C000000}"/>
    <cellStyle name="Input 4" xfId="469" xr:uid="{00000000-0005-0000-0000-00008D000000}"/>
    <cellStyle name="Linked Cell 2" xfId="45" xr:uid="{00000000-0005-0000-0000-00008E000000}"/>
    <cellStyle name="Linked Cell 3" xfId="131" xr:uid="{00000000-0005-0000-0000-00008F000000}"/>
    <cellStyle name="Linked Cell 3 2" xfId="132" xr:uid="{00000000-0005-0000-0000-000090000000}"/>
    <cellStyle name="Linked Cell 4" xfId="470" xr:uid="{00000000-0005-0000-0000-000091000000}"/>
    <cellStyle name="Neutral 2" xfId="46" xr:uid="{00000000-0005-0000-0000-000092000000}"/>
    <cellStyle name="Neutral 3" xfId="133" xr:uid="{00000000-0005-0000-0000-000093000000}"/>
    <cellStyle name="Neutral 3 2" xfId="134" xr:uid="{00000000-0005-0000-0000-000094000000}"/>
    <cellStyle name="Neutral 4" xfId="471" xr:uid="{00000000-0005-0000-0000-000095000000}"/>
    <cellStyle name="Normal" xfId="0" builtinId="0"/>
    <cellStyle name="Normal 10" xfId="135" xr:uid="{00000000-0005-0000-0000-000097000000}"/>
    <cellStyle name="Normal 10 2" xfId="136" xr:uid="{00000000-0005-0000-0000-000098000000}"/>
    <cellStyle name="Normal 10 2 2" xfId="137" xr:uid="{00000000-0005-0000-0000-000099000000}"/>
    <cellStyle name="Normal 10 2 2 2" xfId="138" xr:uid="{00000000-0005-0000-0000-00009A000000}"/>
    <cellStyle name="Normal 10 2 3" xfId="139" xr:uid="{00000000-0005-0000-0000-00009B000000}"/>
    <cellStyle name="Normal 10 2 3 2" xfId="140" xr:uid="{00000000-0005-0000-0000-00009C000000}"/>
    <cellStyle name="Normal 10 2 4" xfId="141" xr:uid="{00000000-0005-0000-0000-00009D000000}"/>
    <cellStyle name="Normal 10 2 5" xfId="142" xr:uid="{00000000-0005-0000-0000-00009E000000}"/>
    <cellStyle name="Normal 10 3" xfId="143" xr:uid="{00000000-0005-0000-0000-00009F000000}"/>
    <cellStyle name="Normal 10 3 2" xfId="144" xr:uid="{00000000-0005-0000-0000-0000A0000000}"/>
    <cellStyle name="Normal 10 3 2 2" xfId="145" xr:uid="{00000000-0005-0000-0000-0000A1000000}"/>
    <cellStyle name="Normal 10 3 3" xfId="146" xr:uid="{00000000-0005-0000-0000-0000A2000000}"/>
    <cellStyle name="Normal 10 3 3 2" xfId="147" xr:uid="{00000000-0005-0000-0000-0000A3000000}"/>
    <cellStyle name="Normal 10 3 4" xfId="148" xr:uid="{00000000-0005-0000-0000-0000A4000000}"/>
    <cellStyle name="Normal 10 3 5" xfId="149" xr:uid="{00000000-0005-0000-0000-0000A5000000}"/>
    <cellStyle name="Normal 10 4" xfId="150" xr:uid="{00000000-0005-0000-0000-0000A6000000}"/>
    <cellStyle name="Normal 10 4 2" xfId="151" xr:uid="{00000000-0005-0000-0000-0000A7000000}"/>
    <cellStyle name="Normal 10 5" xfId="152" xr:uid="{00000000-0005-0000-0000-0000A8000000}"/>
    <cellStyle name="Normal 10 5 2" xfId="153" xr:uid="{00000000-0005-0000-0000-0000A9000000}"/>
    <cellStyle name="Normal 10 6" xfId="154" xr:uid="{00000000-0005-0000-0000-0000AA000000}"/>
    <cellStyle name="Normal 10 7" xfId="155" xr:uid="{00000000-0005-0000-0000-0000AB000000}"/>
    <cellStyle name="Normal 11" xfId="156" xr:uid="{00000000-0005-0000-0000-0000AC000000}"/>
    <cellStyle name="Normal 12" xfId="157" xr:uid="{00000000-0005-0000-0000-0000AD000000}"/>
    <cellStyle name="Normal 12 2" xfId="158" xr:uid="{00000000-0005-0000-0000-0000AE000000}"/>
    <cellStyle name="Normal 12 2 2" xfId="159" xr:uid="{00000000-0005-0000-0000-0000AF000000}"/>
    <cellStyle name="Normal 12 3" xfId="59" xr:uid="{00000000-0005-0000-0000-0000B0000000}"/>
    <cellStyle name="Normal 13" xfId="160" xr:uid="{00000000-0005-0000-0000-0000B1000000}"/>
    <cellStyle name="Normal 13 2" xfId="161" xr:uid="{00000000-0005-0000-0000-0000B2000000}"/>
    <cellStyle name="Normal 13 3" xfId="162" xr:uid="{00000000-0005-0000-0000-0000B3000000}"/>
    <cellStyle name="Normal 14" xfId="163" xr:uid="{00000000-0005-0000-0000-0000B4000000}"/>
    <cellStyle name="Normal 15" xfId="164" xr:uid="{00000000-0005-0000-0000-0000B5000000}"/>
    <cellStyle name="Normal 16" xfId="472" xr:uid="{00000000-0005-0000-0000-0000B6000000}"/>
    <cellStyle name="Normal 2" xfId="7" xr:uid="{00000000-0005-0000-0000-0000B7000000}"/>
    <cellStyle name="Normal 2 10" xfId="165" xr:uid="{00000000-0005-0000-0000-0000B8000000}"/>
    <cellStyle name="Normal 2 11" xfId="166" xr:uid="{00000000-0005-0000-0000-0000B9000000}"/>
    <cellStyle name="Normal 2 2" xfId="3" xr:uid="{00000000-0005-0000-0000-0000BA000000}"/>
    <cellStyle name="Normal 2 2 10" xfId="167" xr:uid="{00000000-0005-0000-0000-0000BB000000}"/>
    <cellStyle name="Normal 2 2 2" xfId="168" xr:uid="{00000000-0005-0000-0000-0000BC000000}"/>
    <cellStyle name="Normal 2 2 2 2" xfId="169" xr:uid="{00000000-0005-0000-0000-0000BD000000}"/>
    <cellStyle name="Normal 2 2 2 2 2" xfId="170" xr:uid="{00000000-0005-0000-0000-0000BE000000}"/>
    <cellStyle name="Normal 2 2 2 3" xfId="171" xr:uid="{00000000-0005-0000-0000-0000BF000000}"/>
    <cellStyle name="Normal 2 2 2 3 2" xfId="172" xr:uid="{00000000-0005-0000-0000-0000C0000000}"/>
    <cellStyle name="Normal 2 2 2 4" xfId="173" xr:uid="{00000000-0005-0000-0000-0000C1000000}"/>
    <cellStyle name="Normal 2 2 2 5" xfId="174" xr:uid="{00000000-0005-0000-0000-0000C2000000}"/>
    <cellStyle name="Normal 2 2 3" xfId="175" xr:uid="{00000000-0005-0000-0000-0000C3000000}"/>
    <cellStyle name="Normal 2 2 3 2" xfId="176" xr:uid="{00000000-0005-0000-0000-0000C4000000}"/>
    <cellStyle name="Normal 2 2 3 2 2" xfId="177" xr:uid="{00000000-0005-0000-0000-0000C5000000}"/>
    <cellStyle name="Normal 2 2 3 3" xfId="178" xr:uid="{00000000-0005-0000-0000-0000C6000000}"/>
    <cellStyle name="Normal 2 2 3 3 2" xfId="179" xr:uid="{00000000-0005-0000-0000-0000C7000000}"/>
    <cellStyle name="Normal 2 2 3 4" xfId="180" xr:uid="{00000000-0005-0000-0000-0000C8000000}"/>
    <cellStyle name="Normal 2 2 3 5" xfId="181" xr:uid="{00000000-0005-0000-0000-0000C9000000}"/>
    <cellStyle name="Normal 2 2 4" xfId="182" xr:uid="{00000000-0005-0000-0000-0000CA000000}"/>
    <cellStyle name="Normal 2 2 4 2" xfId="183" xr:uid="{00000000-0005-0000-0000-0000CB000000}"/>
    <cellStyle name="Normal 2 2 4 2 2" xfId="184" xr:uid="{00000000-0005-0000-0000-0000CC000000}"/>
    <cellStyle name="Normal 2 2 4 3" xfId="185" xr:uid="{00000000-0005-0000-0000-0000CD000000}"/>
    <cellStyle name="Normal 2 2 4 3 2" xfId="186" xr:uid="{00000000-0005-0000-0000-0000CE000000}"/>
    <cellStyle name="Normal 2 2 4 4" xfId="187" xr:uid="{00000000-0005-0000-0000-0000CF000000}"/>
    <cellStyle name="Normal 2 2 4 5" xfId="188" xr:uid="{00000000-0005-0000-0000-0000D0000000}"/>
    <cellStyle name="Normal 2 2 5" xfId="189" xr:uid="{00000000-0005-0000-0000-0000D1000000}"/>
    <cellStyle name="Normal 2 2 5 2" xfId="190" xr:uid="{00000000-0005-0000-0000-0000D2000000}"/>
    <cellStyle name="Normal 2 2 5 2 2" xfId="191" xr:uid="{00000000-0005-0000-0000-0000D3000000}"/>
    <cellStyle name="Normal 2 2 5 3" xfId="192" xr:uid="{00000000-0005-0000-0000-0000D4000000}"/>
    <cellStyle name="Normal 2 2 5 3 2" xfId="193" xr:uid="{00000000-0005-0000-0000-0000D5000000}"/>
    <cellStyle name="Normal 2 2 5 4" xfId="194" xr:uid="{00000000-0005-0000-0000-0000D6000000}"/>
    <cellStyle name="Normal 2 2 5 5" xfId="195" xr:uid="{00000000-0005-0000-0000-0000D7000000}"/>
    <cellStyle name="Normal 2 2 6" xfId="196" xr:uid="{00000000-0005-0000-0000-0000D8000000}"/>
    <cellStyle name="Normal 2 2 6 2" xfId="197" xr:uid="{00000000-0005-0000-0000-0000D9000000}"/>
    <cellStyle name="Normal 2 2 6 3" xfId="198" xr:uid="{00000000-0005-0000-0000-0000DA000000}"/>
    <cellStyle name="Normal 2 2 7" xfId="199" xr:uid="{00000000-0005-0000-0000-0000DB000000}"/>
    <cellStyle name="Normal 2 2 7 2" xfId="200" xr:uid="{00000000-0005-0000-0000-0000DC000000}"/>
    <cellStyle name="Normal 2 2 8" xfId="201" xr:uid="{00000000-0005-0000-0000-0000DD000000}"/>
    <cellStyle name="Normal 2 2 8 2" xfId="202" xr:uid="{00000000-0005-0000-0000-0000DE000000}"/>
    <cellStyle name="Normal 2 2 9" xfId="203" xr:uid="{00000000-0005-0000-0000-0000DF000000}"/>
    <cellStyle name="Normal 2 3" xfId="5" xr:uid="{00000000-0005-0000-0000-0000E0000000}"/>
    <cellStyle name="Normal 2 3 2" xfId="204" xr:uid="{00000000-0005-0000-0000-0000E1000000}"/>
    <cellStyle name="Normal 2 3 3" xfId="205" xr:uid="{00000000-0005-0000-0000-0000E2000000}"/>
    <cellStyle name="Normal 2 3 3 2" xfId="206" xr:uid="{00000000-0005-0000-0000-0000E3000000}"/>
    <cellStyle name="Normal 2 3 4" xfId="207" xr:uid="{00000000-0005-0000-0000-0000E4000000}"/>
    <cellStyle name="Normal 2 3 4 2" xfId="208" xr:uid="{00000000-0005-0000-0000-0000E5000000}"/>
    <cellStyle name="Normal 2 3 5" xfId="209" xr:uid="{00000000-0005-0000-0000-0000E6000000}"/>
    <cellStyle name="Normal 2 3 6" xfId="210" xr:uid="{00000000-0005-0000-0000-0000E7000000}"/>
    <cellStyle name="Normal 2 4" xfId="211" xr:uid="{00000000-0005-0000-0000-0000E8000000}"/>
    <cellStyle name="Normal 2 4 2" xfId="212" xr:uid="{00000000-0005-0000-0000-0000E9000000}"/>
    <cellStyle name="Normal 2 4 2 2" xfId="213" xr:uid="{00000000-0005-0000-0000-0000EA000000}"/>
    <cellStyle name="Normal 2 4 3" xfId="214" xr:uid="{00000000-0005-0000-0000-0000EB000000}"/>
    <cellStyle name="Normal 2 4 3 2" xfId="215" xr:uid="{00000000-0005-0000-0000-0000EC000000}"/>
    <cellStyle name="Normal 2 4 4" xfId="216" xr:uid="{00000000-0005-0000-0000-0000ED000000}"/>
    <cellStyle name="Normal 2 4 5" xfId="217" xr:uid="{00000000-0005-0000-0000-0000EE000000}"/>
    <cellStyle name="Normal 2 5" xfId="218" xr:uid="{00000000-0005-0000-0000-0000EF000000}"/>
    <cellStyle name="Normal 2 5 2" xfId="219" xr:uid="{00000000-0005-0000-0000-0000F0000000}"/>
    <cellStyle name="Normal 2 5 2 2" xfId="220" xr:uid="{00000000-0005-0000-0000-0000F1000000}"/>
    <cellStyle name="Normal 2 5 3" xfId="221" xr:uid="{00000000-0005-0000-0000-0000F2000000}"/>
    <cellStyle name="Normal 2 5 3 2" xfId="222" xr:uid="{00000000-0005-0000-0000-0000F3000000}"/>
    <cellStyle name="Normal 2 5 4" xfId="223" xr:uid="{00000000-0005-0000-0000-0000F4000000}"/>
    <cellStyle name="Normal 2 5 5" xfId="224" xr:uid="{00000000-0005-0000-0000-0000F5000000}"/>
    <cellStyle name="Normal 2 6" xfId="225" xr:uid="{00000000-0005-0000-0000-0000F6000000}"/>
    <cellStyle name="Normal 2 6 2" xfId="226" xr:uid="{00000000-0005-0000-0000-0000F7000000}"/>
    <cellStyle name="Normal 2 6 2 2" xfId="227" xr:uid="{00000000-0005-0000-0000-0000F8000000}"/>
    <cellStyle name="Normal 2 6 3" xfId="228" xr:uid="{00000000-0005-0000-0000-0000F9000000}"/>
    <cellStyle name="Normal 2 6 3 2" xfId="229" xr:uid="{00000000-0005-0000-0000-0000FA000000}"/>
    <cellStyle name="Normal 2 6 4" xfId="230" xr:uid="{00000000-0005-0000-0000-0000FB000000}"/>
    <cellStyle name="Normal 2 6 5" xfId="231" xr:uid="{00000000-0005-0000-0000-0000FC000000}"/>
    <cellStyle name="Normal 2 7" xfId="232" xr:uid="{00000000-0005-0000-0000-0000FD000000}"/>
    <cellStyle name="Normal 2 7 2" xfId="233" xr:uid="{00000000-0005-0000-0000-0000FE000000}"/>
    <cellStyle name="Normal 2 7 2 2" xfId="234" xr:uid="{00000000-0005-0000-0000-0000FF000000}"/>
    <cellStyle name="Normal 2 7 3" xfId="235" xr:uid="{00000000-0005-0000-0000-000000010000}"/>
    <cellStyle name="Normal 2 7 3 2" xfId="236" xr:uid="{00000000-0005-0000-0000-000001010000}"/>
    <cellStyle name="Normal 2 7 4" xfId="237" xr:uid="{00000000-0005-0000-0000-000002010000}"/>
    <cellStyle name="Normal 2 7 5" xfId="238" xr:uid="{00000000-0005-0000-0000-000003010000}"/>
    <cellStyle name="Normal 2 8" xfId="239" xr:uid="{00000000-0005-0000-0000-000004010000}"/>
    <cellStyle name="Normal 2 8 2" xfId="240" xr:uid="{00000000-0005-0000-0000-000005010000}"/>
    <cellStyle name="Normal 2 9" xfId="241" xr:uid="{00000000-0005-0000-0000-000006010000}"/>
    <cellStyle name="Normal 2 9 2" xfId="242" xr:uid="{00000000-0005-0000-0000-000007010000}"/>
    <cellStyle name="Normal 3" xfId="4" xr:uid="{00000000-0005-0000-0000-000008010000}"/>
    <cellStyle name="Normal 3 10" xfId="243" xr:uid="{00000000-0005-0000-0000-000009010000}"/>
    <cellStyle name="Normal 3 10 2" xfId="244" xr:uid="{00000000-0005-0000-0000-00000A010000}"/>
    <cellStyle name="Normal 3 11" xfId="245" xr:uid="{00000000-0005-0000-0000-00000B010000}"/>
    <cellStyle name="Normal 3 12" xfId="246" xr:uid="{00000000-0005-0000-0000-00000C010000}"/>
    <cellStyle name="Normal 3 2" xfId="47" xr:uid="{00000000-0005-0000-0000-00000D010000}"/>
    <cellStyle name="Normal 3 2 2" xfId="247" xr:uid="{00000000-0005-0000-0000-00000E010000}"/>
    <cellStyle name="Normal 3 2 2 2" xfId="248" xr:uid="{00000000-0005-0000-0000-00000F010000}"/>
    <cellStyle name="Normal 3 2 2 2 2" xfId="249" xr:uid="{00000000-0005-0000-0000-000010010000}"/>
    <cellStyle name="Normal 3 2 2 3" xfId="250" xr:uid="{00000000-0005-0000-0000-000011010000}"/>
    <cellStyle name="Normal 3 2 2 3 2" xfId="251" xr:uid="{00000000-0005-0000-0000-000012010000}"/>
    <cellStyle name="Normal 3 2 2 4" xfId="252" xr:uid="{00000000-0005-0000-0000-000013010000}"/>
    <cellStyle name="Normal 3 2 2 5" xfId="253" xr:uid="{00000000-0005-0000-0000-000014010000}"/>
    <cellStyle name="Normal 3 2 3" xfId="254" xr:uid="{00000000-0005-0000-0000-000015010000}"/>
    <cellStyle name="Normal 3 2 3 2" xfId="255" xr:uid="{00000000-0005-0000-0000-000016010000}"/>
    <cellStyle name="Normal 3 2 3 2 2" xfId="256" xr:uid="{00000000-0005-0000-0000-000017010000}"/>
    <cellStyle name="Normal 3 2 3 3" xfId="257" xr:uid="{00000000-0005-0000-0000-000018010000}"/>
    <cellStyle name="Normal 3 2 3 3 2" xfId="258" xr:uid="{00000000-0005-0000-0000-000019010000}"/>
    <cellStyle name="Normal 3 2 3 4" xfId="259" xr:uid="{00000000-0005-0000-0000-00001A010000}"/>
    <cellStyle name="Normal 3 2 3 5" xfId="260" xr:uid="{00000000-0005-0000-0000-00001B010000}"/>
    <cellStyle name="Normal 3 2 4" xfId="261" xr:uid="{00000000-0005-0000-0000-00001C010000}"/>
    <cellStyle name="Normal 3 2 4 2" xfId="262" xr:uid="{00000000-0005-0000-0000-00001D010000}"/>
    <cellStyle name="Normal 3 2 4 2 2" xfId="263" xr:uid="{00000000-0005-0000-0000-00001E010000}"/>
    <cellStyle name="Normal 3 2 4 3" xfId="264" xr:uid="{00000000-0005-0000-0000-00001F010000}"/>
    <cellStyle name="Normal 3 2 4 3 2" xfId="265" xr:uid="{00000000-0005-0000-0000-000020010000}"/>
    <cellStyle name="Normal 3 2 4 4" xfId="266" xr:uid="{00000000-0005-0000-0000-000021010000}"/>
    <cellStyle name="Normal 3 2 4 5" xfId="267" xr:uid="{00000000-0005-0000-0000-000022010000}"/>
    <cellStyle name="Normal 3 2 5" xfId="268" xr:uid="{00000000-0005-0000-0000-000023010000}"/>
    <cellStyle name="Normal 3 2 5 2" xfId="269" xr:uid="{00000000-0005-0000-0000-000024010000}"/>
    <cellStyle name="Normal 3 2 5 2 2" xfId="270" xr:uid="{00000000-0005-0000-0000-000025010000}"/>
    <cellStyle name="Normal 3 2 5 3" xfId="271" xr:uid="{00000000-0005-0000-0000-000026010000}"/>
    <cellStyle name="Normal 3 2 5 3 2" xfId="272" xr:uid="{00000000-0005-0000-0000-000027010000}"/>
    <cellStyle name="Normal 3 2 5 4" xfId="273" xr:uid="{00000000-0005-0000-0000-000028010000}"/>
    <cellStyle name="Normal 3 2 5 5" xfId="274" xr:uid="{00000000-0005-0000-0000-000029010000}"/>
    <cellStyle name="Normal 3 2 6" xfId="275" xr:uid="{00000000-0005-0000-0000-00002A010000}"/>
    <cellStyle name="Normal 3 2 6 2" xfId="276" xr:uid="{00000000-0005-0000-0000-00002B010000}"/>
    <cellStyle name="Normal 3 2 6 3" xfId="277" xr:uid="{00000000-0005-0000-0000-00002C010000}"/>
    <cellStyle name="Normal 3 2 6 4" xfId="278" xr:uid="{00000000-0005-0000-0000-00002D010000}"/>
    <cellStyle name="Normal 3 2 7" xfId="279" xr:uid="{00000000-0005-0000-0000-00002E010000}"/>
    <cellStyle name="Normal 3 2 7 2" xfId="280" xr:uid="{00000000-0005-0000-0000-00002F010000}"/>
    <cellStyle name="Normal 3 2 8" xfId="281" xr:uid="{00000000-0005-0000-0000-000030010000}"/>
    <cellStyle name="Normal 3 2 9" xfId="282" xr:uid="{00000000-0005-0000-0000-000031010000}"/>
    <cellStyle name="Normal 3 3" xfId="283" xr:uid="{00000000-0005-0000-0000-000032010000}"/>
    <cellStyle name="Normal 3 3 2" xfId="284" xr:uid="{00000000-0005-0000-0000-000033010000}"/>
    <cellStyle name="Normal 3 3 2 2" xfId="285" xr:uid="{00000000-0005-0000-0000-000034010000}"/>
    <cellStyle name="Normal 3 3 3" xfId="286" xr:uid="{00000000-0005-0000-0000-000035010000}"/>
    <cellStyle name="Normal 3 3 3 2" xfId="287" xr:uid="{00000000-0005-0000-0000-000036010000}"/>
    <cellStyle name="Normal 3 3 4" xfId="288" xr:uid="{00000000-0005-0000-0000-000037010000}"/>
    <cellStyle name="Normal 3 3 5" xfId="289" xr:uid="{00000000-0005-0000-0000-000038010000}"/>
    <cellStyle name="Normal 3 4" xfId="290" xr:uid="{00000000-0005-0000-0000-000039010000}"/>
    <cellStyle name="Normal 3 4 2" xfId="291" xr:uid="{00000000-0005-0000-0000-00003A010000}"/>
    <cellStyle name="Normal 3 4 2 2" xfId="292" xr:uid="{00000000-0005-0000-0000-00003B010000}"/>
    <cellStyle name="Normal 3 4 3" xfId="293" xr:uid="{00000000-0005-0000-0000-00003C010000}"/>
    <cellStyle name="Normal 3 4 3 2" xfId="294" xr:uid="{00000000-0005-0000-0000-00003D010000}"/>
    <cellStyle name="Normal 3 4 4" xfId="295" xr:uid="{00000000-0005-0000-0000-00003E010000}"/>
    <cellStyle name="Normal 3 4 5" xfId="296" xr:uid="{00000000-0005-0000-0000-00003F010000}"/>
    <cellStyle name="Normal 3 5" xfId="297" xr:uid="{00000000-0005-0000-0000-000040010000}"/>
    <cellStyle name="Normal 3 5 2" xfId="298" xr:uid="{00000000-0005-0000-0000-000041010000}"/>
    <cellStyle name="Normal 3 5 2 2" xfId="299" xr:uid="{00000000-0005-0000-0000-000042010000}"/>
    <cellStyle name="Normal 3 5 3" xfId="300" xr:uid="{00000000-0005-0000-0000-000043010000}"/>
    <cellStyle name="Normal 3 5 3 2" xfId="301" xr:uid="{00000000-0005-0000-0000-000044010000}"/>
    <cellStyle name="Normal 3 5 4" xfId="302" xr:uid="{00000000-0005-0000-0000-000045010000}"/>
    <cellStyle name="Normal 3 5 5" xfId="303" xr:uid="{00000000-0005-0000-0000-000046010000}"/>
    <cellStyle name="Normal 3 6" xfId="304" xr:uid="{00000000-0005-0000-0000-000047010000}"/>
    <cellStyle name="Normal 3 6 2" xfId="305" xr:uid="{00000000-0005-0000-0000-000048010000}"/>
    <cellStyle name="Normal 3 6 2 2" xfId="306" xr:uid="{00000000-0005-0000-0000-000049010000}"/>
    <cellStyle name="Normal 3 6 3" xfId="307" xr:uid="{00000000-0005-0000-0000-00004A010000}"/>
    <cellStyle name="Normal 3 6 3 2" xfId="308" xr:uid="{00000000-0005-0000-0000-00004B010000}"/>
    <cellStyle name="Normal 3 6 4" xfId="309" xr:uid="{00000000-0005-0000-0000-00004C010000}"/>
    <cellStyle name="Normal 3 6 5" xfId="310" xr:uid="{00000000-0005-0000-0000-00004D010000}"/>
    <cellStyle name="Normal 3 7" xfId="311" xr:uid="{00000000-0005-0000-0000-00004E010000}"/>
    <cellStyle name="Normal 3 7 2" xfId="312" xr:uid="{00000000-0005-0000-0000-00004F010000}"/>
    <cellStyle name="Normal 3 7 2 2" xfId="313" xr:uid="{00000000-0005-0000-0000-000050010000}"/>
    <cellStyle name="Normal 3 7 3" xfId="314" xr:uid="{00000000-0005-0000-0000-000051010000}"/>
    <cellStyle name="Normal 3 7 3 2" xfId="315" xr:uid="{00000000-0005-0000-0000-000052010000}"/>
    <cellStyle name="Normal 3 7 4" xfId="316" xr:uid="{00000000-0005-0000-0000-000053010000}"/>
    <cellStyle name="Normal 3 7 5" xfId="317" xr:uid="{00000000-0005-0000-0000-000054010000}"/>
    <cellStyle name="Normal 3 8" xfId="318" xr:uid="{00000000-0005-0000-0000-000055010000}"/>
    <cellStyle name="Normal 3 8 2" xfId="319" xr:uid="{00000000-0005-0000-0000-000056010000}"/>
    <cellStyle name="Normal 3 8 3" xfId="320" xr:uid="{00000000-0005-0000-0000-000057010000}"/>
    <cellStyle name="Normal 3 9" xfId="321" xr:uid="{00000000-0005-0000-0000-000058010000}"/>
    <cellStyle name="Normal 3 9 2" xfId="322" xr:uid="{00000000-0005-0000-0000-000059010000}"/>
    <cellStyle name="Normal 4" xfId="8" xr:uid="{00000000-0005-0000-0000-00005A010000}"/>
    <cellStyle name="Normal 4 2" xfId="323" xr:uid="{00000000-0005-0000-0000-00005B010000}"/>
    <cellStyle name="Normal 5" xfId="10" xr:uid="{00000000-0005-0000-0000-00005C010000}"/>
    <cellStyle name="Normal 6" xfId="53" xr:uid="{00000000-0005-0000-0000-00005D010000}"/>
    <cellStyle name="Normal 6 2" xfId="324" xr:uid="{00000000-0005-0000-0000-00005E010000}"/>
    <cellStyle name="Normal 6 2 2" xfId="325" xr:uid="{00000000-0005-0000-0000-00005F010000}"/>
    <cellStyle name="Normal 6 3" xfId="326" xr:uid="{00000000-0005-0000-0000-000060010000}"/>
    <cellStyle name="Normal 6 3 2" xfId="327" xr:uid="{00000000-0005-0000-0000-000061010000}"/>
    <cellStyle name="Normal 7" xfId="55" xr:uid="{00000000-0005-0000-0000-000062010000}"/>
    <cellStyle name="Normal 7 2" xfId="56" xr:uid="{00000000-0005-0000-0000-000063010000}"/>
    <cellStyle name="Normal 7 2 2" xfId="328" xr:uid="{00000000-0005-0000-0000-000064010000}"/>
    <cellStyle name="Normal 7 2 2 2" xfId="329" xr:uid="{00000000-0005-0000-0000-000065010000}"/>
    <cellStyle name="Normal 7 2 2 3" xfId="330" xr:uid="{00000000-0005-0000-0000-000066010000}"/>
    <cellStyle name="Normal 7 2 2 4" xfId="331" xr:uid="{00000000-0005-0000-0000-000067010000}"/>
    <cellStyle name="Normal 7 2 3" xfId="332" xr:uid="{00000000-0005-0000-0000-000068010000}"/>
    <cellStyle name="Normal 7 2 3 2" xfId="333" xr:uid="{00000000-0005-0000-0000-000069010000}"/>
    <cellStyle name="Normal 7 2 4" xfId="334" xr:uid="{00000000-0005-0000-0000-00006A010000}"/>
    <cellStyle name="Normal 7 2 5" xfId="335" xr:uid="{00000000-0005-0000-0000-00006B010000}"/>
    <cellStyle name="Normal 7 3" xfId="336" xr:uid="{00000000-0005-0000-0000-00006C010000}"/>
    <cellStyle name="Normal 7 3 2" xfId="337" xr:uid="{00000000-0005-0000-0000-00006D010000}"/>
    <cellStyle name="Normal 7 3 2 2" xfId="338" xr:uid="{00000000-0005-0000-0000-00006E010000}"/>
    <cellStyle name="Normal 7 3 3" xfId="339" xr:uid="{00000000-0005-0000-0000-00006F010000}"/>
    <cellStyle name="Normal 7 3 3 2" xfId="340" xr:uid="{00000000-0005-0000-0000-000070010000}"/>
    <cellStyle name="Normal 7 3 4" xfId="341" xr:uid="{00000000-0005-0000-0000-000071010000}"/>
    <cellStyle name="Normal 7 3 5" xfId="342" xr:uid="{00000000-0005-0000-0000-000072010000}"/>
    <cellStyle name="Normal 7 4" xfId="343" xr:uid="{00000000-0005-0000-0000-000073010000}"/>
    <cellStyle name="Normal 7 4 2" xfId="344" xr:uid="{00000000-0005-0000-0000-000074010000}"/>
    <cellStyle name="Normal 7 4 2 2" xfId="345" xr:uid="{00000000-0005-0000-0000-000075010000}"/>
    <cellStyle name="Normal 7 4 3" xfId="346" xr:uid="{00000000-0005-0000-0000-000076010000}"/>
    <cellStyle name="Normal 7 4 3 2" xfId="347" xr:uid="{00000000-0005-0000-0000-000077010000}"/>
    <cellStyle name="Normal 7 4 4" xfId="348" xr:uid="{00000000-0005-0000-0000-000078010000}"/>
    <cellStyle name="Normal 7 4 5" xfId="349" xr:uid="{00000000-0005-0000-0000-000079010000}"/>
    <cellStyle name="Normal 7 5" xfId="350" xr:uid="{00000000-0005-0000-0000-00007A010000}"/>
    <cellStyle name="Normal 7 5 2" xfId="351" xr:uid="{00000000-0005-0000-0000-00007B010000}"/>
    <cellStyle name="Normal 7 5 2 2" xfId="352" xr:uid="{00000000-0005-0000-0000-00007C010000}"/>
    <cellStyle name="Normal 7 5 3" xfId="353" xr:uid="{00000000-0005-0000-0000-00007D010000}"/>
    <cellStyle name="Normal 7 5 3 2" xfId="354" xr:uid="{00000000-0005-0000-0000-00007E010000}"/>
    <cellStyle name="Normal 7 5 4" xfId="355" xr:uid="{00000000-0005-0000-0000-00007F010000}"/>
    <cellStyle name="Normal 7 5 5" xfId="356" xr:uid="{00000000-0005-0000-0000-000080010000}"/>
    <cellStyle name="Normal 7 6" xfId="357" xr:uid="{00000000-0005-0000-0000-000081010000}"/>
    <cellStyle name="Normal 7 6 2" xfId="358" xr:uid="{00000000-0005-0000-0000-000082010000}"/>
    <cellStyle name="Normal 7 6 3" xfId="359" xr:uid="{00000000-0005-0000-0000-000083010000}"/>
    <cellStyle name="Normal 7 6 4" xfId="360" xr:uid="{00000000-0005-0000-0000-000084010000}"/>
    <cellStyle name="Normal 7 7" xfId="361" xr:uid="{00000000-0005-0000-0000-000085010000}"/>
    <cellStyle name="Normal 7 7 2" xfId="362" xr:uid="{00000000-0005-0000-0000-000086010000}"/>
    <cellStyle name="Normal 7 8" xfId="363" xr:uid="{00000000-0005-0000-0000-000087010000}"/>
    <cellStyle name="Normal 7 9" xfId="364" xr:uid="{00000000-0005-0000-0000-000088010000}"/>
    <cellStyle name="Normal 8" xfId="58" xr:uid="{00000000-0005-0000-0000-000089010000}"/>
    <cellStyle name="Normal 8 2" xfId="365" xr:uid="{00000000-0005-0000-0000-00008A010000}"/>
    <cellStyle name="Normal 8 2 2" xfId="366" xr:uid="{00000000-0005-0000-0000-00008B010000}"/>
    <cellStyle name="Normal 8 2 2 2" xfId="367" xr:uid="{00000000-0005-0000-0000-00008C010000}"/>
    <cellStyle name="Normal 8 2 3" xfId="368" xr:uid="{00000000-0005-0000-0000-00008D010000}"/>
    <cellStyle name="Normal 8 2 3 2" xfId="369" xr:uid="{00000000-0005-0000-0000-00008E010000}"/>
    <cellStyle name="Normal 8 2 4" xfId="370" xr:uid="{00000000-0005-0000-0000-00008F010000}"/>
    <cellStyle name="Normal 8 2 5" xfId="371" xr:uid="{00000000-0005-0000-0000-000090010000}"/>
    <cellStyle name="Normal 8 3" xfId="372" xr:uid="{00000000-0005-0000-0000-000091010000}"/>
    <cellStyle name="Normal 8 3 2" xfId="373" xr:uid="{00000000-0005-0000-0000-000092010000}"/>
    <cellStyle name="Normal 8 3 2 2" xfId="374" xr:uid="{00000000-0005-0000-0000-000093010000}"/>
    <cellStyle name="Normal 8 3 3" xfId="375" xr:uid="{00000000-0005-0000-0000-000094010000}"/>
    <cellStyle name="Normal 8 3 3 2" xfId="376" xr:uid="{00000000-0005-0000-0000-000095010000}"/>
    <cellStyle name="Normal 8 3 4" xfId="377" xr:uid="{00000000-0005-0000-0000-000096010000}"/>
    <cellStyle name="Normal 8 3 5" xfId="378" xr:uid="{00000000-0005-0000-0000-000097010000}"/>
    <cellStyle name="Normal 8 4" xfId="379" xr:uid="{00000000-0005-0000-0000-000098010000}"/>
    <cellStyle name="Normal 8 4 2" xfId="380" xr:uid="{00000000-0005-0000-0000-000099010000}"/>
    <cellStyle name="Normal 8 4 2 2" xfId="381" xr:uid="{00000000-0005-0000-0000-00009A010000}"/>
    <cellStyle name="Normal 8 4 3" xfId="382" xr:uid="{00000000-0005-0000-0000-00009B010000}"/>
    <cellStyle name="Normal 8 4 3 2" xfId="383" xr:uid="{00000000-0005-0000-0000-00009C010000}"/>
    <cellStyle name="Normal 8 4 4" xfId="384" xr:uid="{00000000-0005-0000-0000-00009D010000}"/>
    <cellStyle name="Normal 8 4 5" xfId="385" xr:uid="{00000000-0005-0000-0000-00009E010000}"/>
    <cellStyle name="Normal 8 5" xfId="386" xr:uid="{00000000-0005-0000-0000-00009F010000}"/>
    <cellStyle name="Normal 8 5 2" xfId="387" xr:uid="{00000000-0005-0000-0000-0000A0010000}"/>
    <cellStyle name="Normal 8 5 2 2" xfId="388" xr:uid="{00000000-0005-0000-0000-0000A1010000}"/>
    <cellStyle name="Normal 8 5 3" xfId="389" xr:uid="{00000000-0005-0000-0000-0000A2010000}"/>
    <cellStyle name="Normal 8 5 3 2" xfId="390" xr:uid="{00000000-0005-0000-0000-0000A3010000}"/>
    <cellStyle name="Normal 8 5 4" xfId="391" xr:uid="{00000000-0005-0000-0000-0000A4010000}"/>
    <cellStyle name="Normal 8 5 5" xfId="392" xr:uid="{00000000-0005-0000-0000-0000A5010000}"/>
    <cellStyle name="Normal 8 6" xfId="393" xr:uid="{00000000-0005-0000-0000-0000A6010000}"/>
    <cellStyle name="Normal 8 6 2" xfId="394" xr:uid="{00000000-0005-0000-0000-0000A7010000}"/>
    <cellStyle name="Normal 8 6 3" xfId="395" xr:uid="{00000000-0005-0000-0000-0000A8010000}"/>
    <cellStyle name="Normal 8 6 4" xfId="396" xr:uid="{00000000-0005-0000-0000-0000A9010000}"/>
    <cellStyle name="Normal 8 7" xfId="397" xr:uid="{00000000-0005-0000-0000-0000AA010000}"/>
    <cellStyle name="Normal 8 7 2" xfId="398" xr:uid="{00000000-0005-0000-0000-0000AB010000}"/>
    <cellStyle name="Normal 8 8" xfId="399" xr:uid="{00000000-0005-0000-0000-0000AC010000}"/>
    <cellStyle name="Normal 8 9" xfId="400" xr:uid="{00000000-0005-0000-0000-0000AD010000}"/>
    <cellStyle name="Normal 9" xfId="401" xr:uid="{00000000-0005-0000-0000-0000AE010000}"/>
    <cellStyle name="Normal 9 2" xfId="402" xr:uid="{00000000-0005-0000-0000-0000AF010000}"/>
    <cellStyle name="Normal 9 2 2" xfId="403" xr:uid="{00000000-0005-0000-0000-0000B0010000}"/>
    <cellStyle name="Normal 9 2 2 2" xfId="404" xr:uid="{00000000-0005-0000-0000-0000B1010000}"/>
    <cellStyle name="Normal 9 2 3" xfId="405" xr:uid="{00000000-0005-0000-0000-0000B2010000}"/>
    <cellStyle name="Normal 9 2 3 2" xfId="406" xr:uid="{00000000-0005-0000-0000-0000B3010000}"/>
    <cellStyle name="Normal 9 2 4" xfId="407" xr:uid="{00000000-0005-0000-0000-0000B4010000}"/>
    <cellStyle name="Normal 9 2 5" xfId="408" xr:uid="{00000000-0005-0000-0000-0000B5010000}"/>
    <cellStyle name="Normal 9 3" xfId="409" xr:uid="{00000000-0005-0000-0000-0000B6010000}"/>
    <cellStyle name="Normal 9 3 2" xfId="410" xr:uid="{00000000-0005-0000-0000-0000B7010000}"/>
    <cellStyle name="Normal 9 3 2 2" xfId="411" xr:uid="{00000000-0005-0000-0000-0000B8010000}"/>
    <cellStyle name="Normal 9 3 3" xfId="412" xr:uid="{00000000-0005-0000-0000-0000B9010000}"/>
    <cellStyle name="Normal 9 3 3 2" xfId="413" xr:uid="{00000000-0005-0000-0000-0000BA010000}"/>
    <cellStyle name="Normal 9 3 4" xfId="414" xr:uid="{00000000-0005-0000-0000-0000BB010000}"/>
    <cellStyle name="Normal 9 3 5" xfId="415" xr:uid="{00000000-0005-0000-0000-0000BC010000}"/>
    <cellStyle name="Normal 9 4" xfId="416" xr:uid="{00000000-0005-0000-0000-0000BD010000}"/>
    <cellStyle name="Normal 9 4 2" xfId="417" xr:uid="{00000000-0005-0000-0000-0000BE010000}"/>
    <cellStyle name="Normal 9 5" xfId="418" xr:uid="{00000000-0005-0000-0000-0000BF010000}"/>
    <cellStyle name="Normal 9 5 2" xfId="419" xr:uid="{00000000-0005-0000-0000-0000C0010000}"/>
    <cellStyle name="Normal 9 6" xfId="420" xr:uid="{00000000-0005-0000-0000-0000C1010000}"/>
    <cellStyle name="Normal 9 7" xfId="421" xr:uid="{00000000-0005-0000-0000-0000C2010000}"/>
    <cellStyle name="Normal_AllSpn_for_review_18APR" xfId="1" xr:uid="{00000000-0005-0000-0000-0000C3010000}"/>
    <cellStyle name="Normal_Upto2004" xfId="54" xr:uid="{00000000-0005-0000-0000-0000C4010000}"/>
    <cellStyle name="Note 2" xfId="48" xr:uid="{00000000-0005-0000-0000-0000C5010000}"/>
    <cellStyle name="Note 3" xfId="422" xr:uid="{00000000-0005-0000-0000-0000C6010000}"/>
    <cellStyle name="Note 3 2" xfId="423" xr:uid="{00000000-0005-0000-0000-0000C7010000}"/>
    <cellStyle name="Note 4" xfId="473" xr:uid="{00000000-0005-0000-0000-0000C8010000}"/>
    <cellStyle name="Output 2" xfId="49" xr:uid="{00000000-0005-0000-0000-0000C9010000}"/>
    <cellStyle name="Output 3" xfId="424" xr:uid="{00000000-0005-0000-0000-0000CA010000}"/>
    <cellStyle name="Output 3 2" xfId="425" xr:uid="{00000000-0005-0000-0000-0000CB010000}"/>
    <cellStyle name="Output 4" xfId="474" xr:uid="{00000000-0005-0000-0000-0000CC010000}"/>
    <cellStyle name="Percent 2" xfId="9" xr:uid="{00000000-0005-0000-0000-0000CD010000}"/>
    <cellStyle name="Percent 3" xfId="57" xr:uid="{00000000-0005-0000-0000-0000CE010000}"/>
    <cellStyle name="Percent 3 2" xfId="426" xr:uid="{00000000-0005-0000-0000-0000CF010000}"/>
    <cellStyle name="Percent 3 3" xfId="427" xr:uid="{00000000-0005-0000-0000-0000D0010000}"/>
    <cellStyle name="Percent 3 4" xfId="428" xr:uid="{00000000-0005-0000-0000-0000D1010000}"/>
    <cellStyle name="Title 2" xfId="50" xr:uid="{00000000-0005-0000-0000-0000D2010000}"/>
    <cellStyle name="Title 3" xfId="429" xr:uid="{00000000-0005-0000-0000-0000D3010000}"/>
    <cellStyle name="Title 3 2" xfId="430" xr:uid="{00000000-0005-0000-0000-0000D4010000}"/>
    <cellStyle name="Title 4" xfId="475" xr:uid="{00000000-0005-0000-0000-0000D5010000}"/>
    <cellStyle name="Total 2" xfId="51" xr:uid="{00000000-0005-0000-0000-0000D6010000}"/>
    <cellStyle name="Total 3" xfId="431" xr:uid="{00000000-0005-0000-0000-0000D7010000}"/>
    <cellStyle name="Total 3 2" xfId="432" xr:uid="{00000000-0005-0000-0000-0000D8010000}"/>
    <cellStyle name="Total 4" xfId="476" xr:uid="{00000000-0005-0000-0000-0000D9010000}"/>
    <cellStyle name="Warning Text 2" xfId="52" xr:uid="{00000000-0005-0000-0000-0000DA010000}"/>
    <cellStyle name="Warning Text 3" xfId="433" xr:uid="{00000000-0005-0000-0000-0000DB010000}"/>
    <cellStyle name="Warning Text 3 2" xfId="434" xr:uid="{00000000-0005-0000-0000-0000DC010000}"/>
    <cellStyle name="Warning Text 4" xfId="477" xr:uid="{00000000-0005-0000-0000-0000DD010000}"/>
  </cellStyles>
  <dxfs count="5">
    <dxf>
      <font>
        <color rgb="FF9C0006"/>
      </font>
    </dxf>
    <dxf>
      <font>
        <color rgb="FF9C0006"/>
      </font>
    </dxf>
    <dxf>
      <font>
        <color rgb="FF9C0006"/>
      </font>
    </dxf>
    <dxf>
      <font>
        <color rgb="FF9C0006"/>
      </font>
    </dxf>
    <dxf>
      <font>
        <color rgb="FF9C0006"/>
      </font>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Kamloops%20Data%20Drive%20Chinook%20&amp;%20Coho%20StAD/1%20PROGRAMS/CHINOOK/1%20POPULATION%20ESTIMATES/2017/1975-2017%20FRASER%20CHINOOK%20ESCAPEMENT%20MASTER%201Feb18.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Kamloops%20Data%20Drive%20Chinook%20&amp;%20Coho%20StAD/PROGRAMS/CHINOOK/1%20POPULATION%20ESTIMATES/2016/1975-2016%20FRASER%20CHINOOK%20ESCAPEMENT%20MASTER%20update%20in%20progress%2016Dec16_sll.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Kamloops%20Data%20Drive%20Chinook%20&amp;%20Coho%20StAD/PROGRAMS/CHINOOK/2013/Population%20Estimates/2013%20LT%20&amp;%20Mid%20Fraser%20Esc%20Es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 NOTES"/>
      <sheetName val="CN ESC DATA"/>
      <sheetName val="ESC by stream"/>
      <sheetName val="ESC by CU"/>
      <sheetName val="ESC by COSEWIC DU"/>
      <sheetName val="ESC by MUs"/>
      <sheetName val="ESC by MU Sp 5-2"/>
      <sheetName val="ESC by MU Sp 4-2"/>
      <sheetName val="ESC by MU Su 5-2"/>
      <sheetName val="ESC by MU Su 4-1"/>
      <sheetName val="Harrison"/>
      <sheetName val="CTC Indicators (OLD)"/>
      <sheetName val="CTC Indicators (NEW)"/>
      <sheetName val="CTC Fraser Update"/>
      <sheetName val="Run Reconstruction"/>
      <sheetName val="Terminal Run"/>
      <sheetName val="Calibration"/>
      <sheetName val="Decoder"/>
      <sheetName val="vlookup descriptions"/>
      <sheetName val="vlookup objectives"/>
      <sheetName val="Obs IPSFC 13Apr15"/>
      <sheetName val="LIST INF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Adults Present</v>
          </cell>
          <cell r="C2" t="str">
            <v>DFO</v>
          </cell>
          <cell r="D2" t="str">
            <v>Start</v>
          </cell>
          <cell r="E2" t="str">
            <v>Complete (100%)</v>
          </cell>
          <cell r="F2" t="str">
            <v>1  True Abundance with virtually no bypass</v>
          </cell>
          <cell r="I2" t="str">
            <v>M_Petersen</v>
          </cell>
          <cell r="J2" t="str">
            <v>F_Petersen</v>
          </cell>
        </row>
        <row r="3">
          <cell r="A3" t="str">
            <v>Aerial PCExp</v>
          </cell>
          <cell r="C3" t="str">
            <v>DFO-Sk</v>
          </cell>
          <cell r="D3" t="str">
            <v>Peak</v>
          </cell>
          <cell r="E3" t="str">
            <v>Standardized Area</v>
          </cell>
          <cell r="F3" t="str">
            <v>2  Breach(s) reported or fence in late or removed early; adjustment to estimate made.</v>
          </cell>
          <cell r="I3" t="str">
            <v>M+J_Petersen</v>
          </cell>
          <cell r="J3" t="str">
            <v>F_ML Darroch_spatially stratified</v>
          </cell>
          <cell r="K3" t="str">
            <v>M+J_Petersen</v>
          </cell>
        </row>
        <row r="4">
          <cell r="A4" t="str">
            <v>Aerial PCExp + ReddExp</v>
          </cell>
          <cell r="C4" t="str">
            <v>ALIB</v>
          </cell>
          <cell r="D4" t="str">
            <v>End</v>
          </cell>
          <cell r="E4" t="str">
            <v>Indexed</v>
          </cell>
          <cell r="F4" t="str">
            <v>3  Breach(s) reported or fence in later or removed early; no adjustment to estimate made.</v>
          </cell>
          <cell r="I4" t="str">
            <v>M_ML Darroch_spatially stratified</v>
          </cell>
          <cell r="J4" t="str">
            <v>F_ML Darroch_temporally stratified</v>
          </cell>
          <cell r="K4" t="str">
            <v>J_Petersen</v>
          </cell>
        </row>
        <row r="5">
          <cell r="A5" t="str">
            <v>ARIS</v>
          </cell>
          <cell r="C5" t="str">
            <v>Bridge River Band</v>
          </cell>
          <cell r="E5" t="str">
            <v>Incomplete</v>
          </cell>
          <cell r="F5" t="str">
            <v>4  High precision MR estimate (CV≤15%), large sample size, good proportion of recoveries</v>
          </cell>
          <cell r="I5" t="str">
            <v>M_ML Darroch_temporally stratified</v>
          </cell>
          <cell r="J5" t="str">
            <v>F_ML Darroch_temporally &amp; spatially stratified</v>
          </cell>
          <cell r="K5" t="str">
            <v>J_Proportional</v>
          </cell>
        </row>
        <row r="6">
          <cell r="A6" t="str">
            <v>AUC</v>
          </cell>
          <cell r="C6" t="str">
            <v>CSTC</v>
          </cell>
          <cell r="E6" t="str">
            <v>Unknown</v>
          </cell>
          <cell r="F6" t="str">
            <v>5  Low precision MR estimate (CV&gt;15%), small sample size, limited number of recoveries.</v>
          </cell>
          <cell r="I6" t="str">
            <v>M_ML Darroch_temporally &amp; spatially stratified</v>
          </cell>
          <cell r="J6" t="str">
            <v>F+M+J_Petersen</v>
          </cell>
          <cell r="K6" t="str">
            <v>J_ML Darroch_spatially stratified</v>
          </cell>
        </row>
        <row r="7">
          <cell r="A7" t="str">
            <v>AUC equivalent (Hill &amp; Irvine)</v>
          </cell>
          <cell r="C7" t="str">
            <v>Inch Cr Hatchery</v>
          </cell>
          <cell r="F7" t="str">
            <v>6  High effort (≥5 surveys), seasoned crew, standardized methods, captured spawning period, favourable environmental conditions during spawning period</v>
          </cell>
          <cell r="I7" t="str">
            <v>M+J_ML Darroch_spatially stratified</v>
          </cell>
          <cell r="J7" t="str">
            <v>F_Model Averaging</v>
          </cell>
          <cell r="K7" t="str">
            <v>J_ML Darroch_temporally stratified</v>
          </cell>
        </row>
        <row r="8">
          <cell r="A8" t="str">
            <v>AUC ML</v>
          </cell>
          <cell r="C8" t="str">
            <v>Instream Fisheries Research</v>
          </cell>
          <cell r="F8" t="str">
            <v>7  High effort (≥5 surveys), new or untrained crew, variable methods, partial capture of spawning period, unfavourable environmental conditions during spawning period.</v>
          </cell>
          <cell r="I8" t="str">
            <v xml:space="preserve">M+J_ML Darroch_temporally stratified </v>
          </cell>
          <cell r="K8" t="str">
            <v>F+M+J_Petersen</v>
          </cell>
        </row>
        <row r="9">
          <cell r="A9" t="str">
            <v>Calibrated</v>
          </cell>
          <cell r="C9" t="str">
            <v>KIB</v>
          </cell>
          <cell r="F9" t="str">
            <v>8  Moderate effort (2-4 surveys), seasoned crew, standardized method, captured peak spawning period</v>
          </cell>
          <cell r="I9" t="str">
            <v>F+M+J_Petersen</v>
          </cell>
          <cell r="J9" t="str">
            <v>F+M+J_Petersen</v>
          </cell>
          <cell r="K9" t="str">
            <v>J_Model Averaging</v>
          </cell>
        </row>
        <row r="10">
          <cell r="A10" t="str">
            <v>Deadpitch</v>
          </cell>
          <cell r="C10" t="str">
            <v>Lheidli T'enneh</v>
          </cell>
          <cell r="F10" t="str">
            <v>9  Moderate effort (2-4 surveys), new or untrained crew, variable methods, partial capture of spawning period.</v>
          </cell>
          <cell r="I10" t="str">
            <v>M_Model Averaging</v>
          </cell>
        </row>
        <row r="11">
          <cell r="A11" t="str">
            <v>DIDSON</v>
          </cell>
          <cell r="C11" t="str">
            <v>Lil'Wat</v>
          </cell>
          <cell r="F11" t="str">
            <v xml:space="preserve">10  Low effort (1 survey), consistent, standardized methods. </v>
          </cell>
        </row>
        <row r="12">
          <cell r="A12" t="str">
            <v>Fence</v>
          </cell>
          <cell r="C12" t="str">
            <v>LSIB</v>
          </cell>
          <cell r="F12" t="str">
            <v>11  Low effort (1 survey), inconsistent or poorly executed survey methods.</v>
          </cell>
        </row>
        <row r="13">
          <cell r="A13" t="str">
            <v>Fence/Resistivity</v>
          </cell>
          <cell r="C13" t="str">
            <v>NSTC</v>
          </cell>
          <cell r="F13" t="str">
            <v>12  Anecdotal, spot check info only.</v>
          </cell>
        </row>
        <row r="14">
          <cell r="A14" t="str">
            <v>Fence+PCExp</v>
          </cell>
          <cell r="C14" t="str">
            <v>NTA</v>
          </cell>
        </row>
        <row r="15">
          <cell r="A15" t="str">
            <v>Fishway</v>
          </cell>
          <cell r="C15" t="str">
            <v>ONA</v>
          </cell>
        </row>
        <row r="16">
          <cell r="A16" t="str">
            <v>Fishway + DS AUC</v>
          </cell>
          <cell r="C16" t="str">
            <v>Penny Hatchery</v>
          </cell>
        </row>
        <row r="17">
          <cell r="A17" t="str">
            <v>Fishway/Resistivity</v>
          </cell>
          <cell r="C17" t="str">
            <v>SEP</v>
          </cell>
        </row>
        <row r="18">
          <cell r="A18" t="str">
            <v>Fishway/Resistivity + DS AUC</v>
          </cell>
          <cell r="C18" t="str">
            <v>SFC</v>
          </cell>
        </row>
        <row r="19">
          <cell r="A19" t="str">
            <v>Infill</v>
          </cell>
          <cell r="C19" t="str">
            <v>Simpcw</v>
          </cell>
        </row>
        <row r="20">
          <cell r="A20" t="str">
            <v>MR</v>
          </cell>
          <cell r="C20" t="str">
            <v>Spius Hatchery</v>
          </cell>
        </row>
        <row r="21">
          <cell r="A21" t="str">
            <v>None Observed</v>
          </cell>
          <cell r="C21" t="str">
            <v>Splatsin'</v>
          </cell>
        </row>
        <row r="22">
          <cell r="A22" t="str">
            <v>Not Inspected</v>
          </cell>
          <cell r="C22" t="str">
            <v>TNG</v>
          </cell>
        </row>
        <row r="23">
          <cell r="A23" t="str">
            <v>PCExp</v>
          </cell>
        </row>
        <row r="24">
          <cell r="A24" t="str">
            <v>PCExp + ReddExp</v>
          </cell>
        </row>
        <row r="25">
          <cell r="A25" t="str">
            <v>ReddExp</v>
          </cell>
        </row>
        <row r="26">
          <cell r="A26" t="str">
            <v>Resistivity</v>
          </cell>
        </row>
        <row r="27">
          <cell r="A27" t="str">
            <v>Unknown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 NOTES"/>
      <sheetName val="CN ESC DATA"/>
      <sheetName val="ESC by year"/>
      <sheetName val="ESC by stream"/>
      <sheetName val="ESC by CU"/>
      <sheetName val="ESC by MU Sp 5-2"/>
      <sheetName val="ESC by MU Sp 4-2"/>
      <sheetName val="ESC by MU Su 5-2"/>
      <sheetName val="ESC by MU Su 4-1"/>
      <sheetName val="Harrison"/>
      <sheetName val="CTC Indicators (OLD)"/>
      <sheetName val="CTC Indicators (NEW)"/>
      <sheetName val="Run Reconstruction"/>
      <sheetName val="Calibration"/>
      <sheetName val="NuSEDS"/>
      <sheetName val="vlookup descriptions"/>
      <sheetName val="vlookup objectives"/>
      <sheetName val="Obs IPSFC 13Apr15"/>
      <sheetName val="LIST INF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2">
          <cell r="B2" t="str">
            <v>Type-1: Fence or Fishway with virtually no bypass</v>
          </cell>
        </row>
        <row r="3">
          <cell r="B3" t="str">
            <v>Type-1B: Fence with significant breach</v>
          </cell>
        </row>
        <row r="4">
          <cell r="B4" t="str">
            <v>Type-2: Mark-recapture</v>
          </cell>
        </row>
        <row r="5">
          <cell r="B5" t="str">
            <v xml:space="preserve">Type-3: High effort (5 or more surveys)  </v>
          </cell>
        </row>
        <row r="6">
          <cell r="B6" t="str">
            <v>Type-4: Moderate effort (1-4 surveys), known survey method</v>
          </cell>
        </row>
        <row r="7">
          <cell r="B7" t="str">
            <v>Type-5: Low effort (1 survey) inconsistent or poorly executed methods</v>
          </cell>
        </row>
        <row r="8">
          <cell r="B8" t="str">
            <v>Type-6: Presence/Absence</v>
          </cell>
        </row>
        <row r="9">
          <cell r="B9" t="str">
            <v>UNK: Unknown how estimate was generated</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lim Jan21"/>
      <sheetName val="LT &amp; Mid Fraser FINAL EST"/>
      <sheetName val="Pivot"/>
      <sheetName val="LT &amp; Mid Fraser SILs"/>
      <sheetName val="LIST INFO"/>
      <sheetName val="EstType &amp; EstClass"/>
    </sheetNames>
    <sheetDataSet>
      <sheetData sheetId="0"/>
      <sheetData sheetId="1" refreshError="1"/>
      <sheetData sheetId="2" refreshError="1"/>
      <sheetData sheetId="3" refreshError="1"/>
      <sheetData sheetId="4" refreshError="1"/>
      <sheetData sheetId="5">
        <row r="2">
          <cell r="A2" t="str">
            <v>AUC</v>
          </cell>
        </row>
        <row r="3">
          <cell r="A3" t="str">
            <v>Aerial PLExp</v>
          </cell>
        </row>
        <row r="4">
          <cell r="A4" t="str">
            <v>AUC + Aerial PLExp</v>
          </cell>
        </row>
        <row r="5">
          <cell r="A5" t="str">
            <v>DIDSON</v>
          </cell>
        </row>
        <row r="6">
          <cell r="A6" t="str">
            <v>Fence</v>
          </cell>
        </row>
        <row r="7">
          <cell r="A7" t="str">
            <v>MR</v>
          </cell>
        </row>
        <row r="8">
          <cell r="A8" t="str">
            <v>MR + AUC</v>
          </cell>
        </row>
        <row r="9">
          <cell r="A9" t="str">
            <v>MR + DIDSON</v>
          </cell>
        </row>
        <row r="10">
          <cell r="A10" t="str">
            <v>MR + PLExp</v>
          </cell>
        </row>
        <row r="11">
          <cell r="A11" t="str">
            <v>None Observed</v>
          </cell>
        </row>
        <row r="12">
          <cell r="A12" t="str">
            <v>NI</v>
          </cell>
        </row>
        <row r="13">
          <cell r="A13" t="str">
            <v>PLExp</v>
          </cell>
        </row>
        <row r="14">
          <cell r="A14" t="str">
            <v>ReddExp</v>
          </cell>
        </row>
        <row r="15">
          <cell r="A15" t="str">
            <v>Resistivity</v>
          </cell>
        </row>
        <row r="16">
          <cell r="A16" t="str">
            <v>Fence + AUC</v>
          </cell>
        </row>
        <row r="17">
          <cell r="A17" t="str">
            <v>Fence + AUC + DIDSON</v>
          </cell>
        </row>
      </sheetData>
    </sheetDataSet>
  </externalBook>
</externalLink>
</file>

<file path=xl/persons/person.xml><?xml version="1.0" encoding="utf-8"?>
<personList xmlns="http://schemas.microsoft.com/office/spreadsheetml/2018/threadedcomments" xmlns:x="http://schemas.openxmlformats.org/spreadsheetml/2006/main">
  <person displayName="Weir, Lauren" id="{EBE92A5E-9AD4-4736-BBE5-A54CB5BB36F1}" userId="S::Lauren.Weir@dfo-mpo.gc.ca::8f0cc903-6cf5-44fa-b9f4-5e9abc24e336" providerId="AD"/>
  <person displayName="Cleveland, Rory" id="{07B111BC-3011-4A3B-ACC5-65261556B223}" userId="S::Rory.Cleveland@dfo-mpo.gc.ca::3c9046fe-32ef-4d85-bea0-7f5bfe88c13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S4" dT="2022-03-04T00:11:51.45" personId="{EBE92A5E-9AD4-4736-BBE5-A54CB5BB36F1}" id="{77CCC6C6-674D-4370-B45D-37FAEFF84FE6}">
    <text>Like last year</text>
  </threadedComment>
  <threadedComment ref="AT4" dT="2023-02-02T18:50:05.31" personId="{07B111BC-3011-4A3B-ACC5-65261556B223}" id="{1994BD27-D180-47A7-8366-61957CC7B06B}">
    <text>Like Last Year?</text>
  </threadedComment>
  <threadedComment ref="AS5" dT="2022-03-04T00:11:57.73" personId="{EBE92A5E-9AD4-4736-BBE5-A54CB5BB36F1}" id="{7E53CB33-0EFB-4FF4-9BDD-41AF9E93105B}">
    <text>Like last year</text>
  </threadedComment>
  <threadedComment ref="AS5" dT="2023-02-02T20:07:32.25" personId="{07B111BC-3011-4A3B-ACC5-65261556B223}" id="{48AE918E-679B-4C6B-8457-5FC8CC91ED4D}" parentId="{7E53CB33-0EFB-4FF4-9BDD-41AF9E93105B}">
    <text>Previously said 13, I updated to 28 on Feb 2, 2023</text>
  </threadedComment>
  <threadedComment ref="AT5" dT="2023-02-02T18:50:14.92" personId="{07B111BC-3011-4A3B-ACC5-65261556B223}" id="{52D92A94-E607-495F-8A9C-975CEEFAB233}">
    <text>Like Last Year</text>
  </threadedComment>
  <threadedComment ref="AS6" dT="2023-02-09T19:02:31.35" personId="{07B111BC-3011-4A3B-ACC5-65261556B223}" id="{7872AC7C-F66E-42CC-A889-6A894A4C3AD2}">
    <text>Rory inputted from SEP data</text>
  </threadedComment>
  <threadedComment ref="AS14" dT="2023-02-02T19:48:31.93" personId="{07B111BC-3011-4A3B-ACC5-65261556B223}" id="{CD7FB3E9-837C-4CE4-A083-366B947190D8}">
    <text>Previously said 35. I updated to 10 on Feb 2, 2023. As indicated in 1980-2022 StAD Escapament Report.</text>
  </threadedComment>
  <threadedComment ref="AT14" dT="2023-02-02T18:54:09.30" personId="{07B111BC-3011-4A3B-ACC5-65261556B223}" id="{83D75FF5-61A1-4330-B970-D8E5F4F3073E}">
    <text>No data yet in 2022- used last year years "10" in 1980-2022 Stad Escapement Report File.</text>
  </threadedComment>
  <threadedComment ref="AT18" dT="2023-02-09T18:39:53.44" personId="{07B111BC-3011-4A3B-ACC5-65261556B223}" id="{014C9FC0-61F1-4C13-AEC3-579AD9BDEE13}">
    <text>From Kylie Anderson</text>
  </threadedComment>
  <threadedComment ref="AS20" dT="2022-03-04T00:11:35.77" personId="{EBE92A5E-9AD4-4736-BBE5-A54CB5BB36F1}" id="{D582A5B1-8263-42A7-B8E5-436C5D632ECE}">
    <text>Like last year</text>
  </threadedComment>
  <threadedComment ref="AS20" dT="2023-02-02T19:49:53.31" personId="{07B111BC-3011-4A3B-ACC5-65261556B223}" id="{4F407354-E960-4BD6-9F06-3CDA7179E9BF}" parentId="{D582A5B1-8263-42A7-B8E5-436C5D632ECE}">
    <text>Lauren had put 23 like last year, I Updated to 9 Feb 2, 2023 as statd in 1980-2022 Stad Escapement Report</text>
  </threadedComment>
  <threadedComment ref="AT20" dT="2023-02-09T18:35:31.54" personId="{07B111BC-3011-4A3B-ACC5-65261556B223}" id="{36233BD9-C643-464D-9AC5-E2F8F0621223}">
    <text>From Kylie, not Paul</text>
  </threadedComment>
  <threadedComment ref="AS31" dT="2023-02-09T19:05:14.68" personId="{07B111BC-3011-4A3B-ACC5-65261556B223}" id="{0074EC73-8BB0-42D0-BD63-64733E87564E}">
    <text>Rory Inputted from SEP data</text>
  </threadedComment>
  <threadedComment ref="AT31" dT="2023-02-09T18:40:13.15" personId="{07B111BC-3011-4A3B-ACC5-65261556B223}" id="{7977D3E7-3477-4D98-BE7B-C17DAF0776F8}">
    <text>From Kylie Anderson</text>
  </threadedComment>
  <threadedComment ref="AS38" dT="2023-02-09T19:06:29.83" personId="{07B111BC-3011-4A3B-ACC5-65261556B223}" id="{3041F89C-6BF2-4839-95BB-1F9D9FCE82C6}">
    <text>Rory inputted from SEP data</text>
  </threadedComment>
  <threadedComment ref="AT38" dT="2023-02-09T19:09:43.69" personId="{07B111BC-3011-4A3B-ACC5-65261556B223}" id="{FCFCA38B-026E-4B78-BCBD-BFC10D3CACCA}">
    <text>Like last year</text>
  </threadedComment>
  <threadedComment ref="AS40" dT="2023-02-09T19:07:33.23" personId="{07B111BC-3011-4A3B-ACC5-65261556B223}" id="{2C9BFC64-38C5-415A-B8EE-5DF1133FC5A2}">
    <text>Rory Inputted from SEP data</text>
  </threadedComment>
  <threadedComment ref="AR47" dT="2023-02-09T19:08:06.88" personId="{07B111BC-3011-4A3B-ACC5-65261556B223}" id="{EC9E8AAE-4E7C-4F60-8B1B-70DBAD34269B}">
    <text>Rory updated from 21 to 22, from SEP data</text>
  </threadedComment>
  <threadedComment ref="AT47" dT="2023-02-02T19:53:21.91" personId="{07B111BC-3011-4A3B-ACC5-65261556B223}" id="{9C26936B-98A6-4D38-B1C6-7EC1411843E2}">
    <text>Like Last Year - Feb 2, 2023</text>
  </threadedComment>
  <threadedComment ref="AS54" dT="2022-03-04T00:10:50.03" personId="{EBE92A5E-9AD4-4736-BBE5-A54CB5BB36F1}" id="{67813CC4-F1BC-4E41-8999-02A5F48A6EE2}">
    <text>Like last year</text>
  </threadedComment>
  <threadedComment ref="AS54" dT="2023-02-02T19:54:55.57" personId="{07B111BC-3011-4A3B-ACC5-65261556B223}" id="{985E55FB-65D7-4F54-86FF-DB4DCEC908D4}" parentId="{67813CC4-F1BC-4E41-8999-02A5F48A6EE2}">
    <text>Lauren had entered 54 like 2020, I updated to 28 Feb 2, 2023.</text>
  </threadedComment>
  <threadedComment ref="AT54" dT="2023-02-02T19:57:25.08" personId="{07B111BC-3011-4A3B-ACC5-65261556B223}" id="{D65B39E8-8193-44BB-90BD-A8196D75477E}">
    <text>Like Last Year</text>
  </threadedComment>
  <threadedComment ref="AS62" dT="2022-03-04T00:11:14.92" personId="{EBE92A5E-9AD4-4736-BBE5-A54CB5BB36F1}" id="{CF94AA1D-D40E-489D-8B02-E4FA7B0DF1FF}">
    <text>Like last year</text>
  </threadedComment>
  <threadedComment ref="AS62" dT="2023-02-02T20:01:01.43" personId="{07B111BC-3011-4A3B-ACC5-65261556B223}" id="{54B181E7-11C1-43D5-A7B3-6568244B9E64}" parentId="{CF94AA1D-D40E-489D-8B02-E4FA7B0DF1FF}">
    <text>Lauren previously had 9. I Updated to 7, Feb 2, 2023.</text>
  </threadedComment>
  <threadedComment ref="AT62" dT="2023-02-09T18:38:45.05" personId="{07B111BC-3011-4A3B-ACC5-65261556B223}" id="{CD54CE05-208C-4CEA-80AE-3E70C1844294}">
    <text>From Kylie Anderson</text>
  </threadedComment>
  <threadedComment ref="AS68" dT="2022-03-04T00:11:07.84" personId="{EBE92A5E-9AD4-4736-BBE5-A54CB5BB36F1}" id="{58F9E0B5-4899-4A4B-BE6A-6185A629A43D}">
    <text>Like last year</text>
  </threadedComment>
  <threadedComment ref="AS68" dT="2023-02-02T20:03:15.01" personId="{07B111BC-3011-4A3B-ACC5-65261556B223}" id="{1AF7C11E-19AC-48EB-BB72-94BF40744050}" parentId="{58F9E0B5-4899-4A4B-BE6A-6185A629A43D}">
    <text>Lauren previously had 9, I updated to 31 Feb 2, 2023.</text>
  </threadedComment>
  <threadedComment ref="AT68" dT="2023-02-09T18:39:13.92" personId="{07B111BC-3011-4A3B-ACC5-65261556B223}" id="{2A7DE2F1-FCEB-406A-A367-5A752B3FB9CF}">
    <text>From Kylie Anderson</text>
  </threadedComment>
  <threadedComment ref="AS76" dT="2023-02-09T19:11:42.18" personId="{07B111BC-3011-4A3B-ACC5-65261556B223}" id="{B1EB1C06-5A11-487A-824C-281BD6C686FC}">
    <text>Rory updated, from SEP data</text>
  </threadedComment>
  <threadedComment ref="AT83" dT="2023-02-09T18:41:31.88" personId="{07B111BC-3011-4A3B-ACC5-65261556B223}" id="{7C372E8A-2165-439E-9393-56C908DD6B6B}">
    <text>From Kylie Anderson</text>
  </threadedComment>
  <threadedComment ref="AT83" dT="2023-02-09T18:44:02.04" personId="{07B111BC-3011-4A3B-ACC5-65261556B223}" id="{6332698A-CAB8-4758-8FD8-D6F119775ADA}" parentId="{7C372E8A-2165-439E-9393-56C908DD6B6B}">
    <text>Includes Torpy</text>
  </threadedComment>
  <threadedComment ref="AS84" dT="2023-02-09T19:12:36.23" personId="{07B111BC-3011-4A3B-ACC5-65261556B223}" id="{7B692CB8-5CC3-40D6-A76B-82A96A9F9547}">
    <text>Rory updated, from SEP data</text>
  </threadedComment>
  <threadedComment ref="AT84" dT="2023-02-09T18:36:43.06" personId="{07B111BC-3011-4A3B-ACC5-65261556B223}" id="{8BCDF61E-EF58-4622-A1AD-6D1FD8000871}">
    <text>Kylie gave us this</text>
  </threadedComment>
</ThreadedComments>
</file>

<file path=xl/threadedComments/threadedComment2.xml><?xml version="1.0" encoding="utf-8"?>
<ThreadedComments xmlns="http://schemas.microsoft.com/office/spreadsheetml/2018/threadedcomments" xmlns:x="http://schemas.openxmlformats.org/spreadsheetml/2006/main">
  <threadedComment ref="F1" dT="2022-02-17T16:21:53.69" personId="{EBE92A5E-9AD4-4736-BBE5-A54CB5BB36F1}" id="{2943E02F-AA56-42F8-AB05-9311FFC4C518}">
    <text>Mortality for Springs was estimated at 80% and 50% for Summers.</text>
  </threadedComment>
  <threadedComment ref="G1" dT="2022-02-17T16:21:13.24" personId="{EBE92A5E-9AD4-4736-BBE5-A54CB5BB36F1}" id="{46E44432-BD65-4476-B368-E43348A16449}">
    <text>Big bar mortality was about 22% for spring Chinook stocks, 0% mortality for summers. No mortality in 2021</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 Id="rId4" Type="http://schemas.microsoft.com/office/2017/10/relationships/threadedComment" Target="../threadedComments/threadedComment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 Id="rId4" Type="http://schemas.microsoft.com/office/2017/10/relationships/threadedComment" Target="../threadedComments/threadedComment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B1:F28"/>
  <sheetViews>
    <sheetView workbookViewId="0">
      <selection activeCell="B22" sqref="B22"/>
    </sheetView>
  </sheetViews>
  <sheetFormatPr defaultRowHeight="15" x14ac:dyDescent="0.25"/>
  <cols>
    <col min="1" max="1" width="7.42578125" customWidth="1"/>
    <col min="2" max="2" width="16.85546875" customWidth="1"/>
    <col min="3" max="3" width="15.85546875" customWidth="1"/>
    <col min="4" max="4" width="104.42578125" bestFit="1" customWidth="1"/>
  </cols>
  <sheetData>
    <row r="1" spans="2:6" ht="15.75" thickBot="1" x14ac:dyDescent="0.3"/>
    <row r="2" spans="2:6" ht="21" x14ac:dyDescent="0.35">
      <c r="B2" s="88" t="s">
        <v>271</v>
      </c>
      <c r="C2" s="89"/>
      <c r="D2" s="89"/>
      <c r="E2" s="89"/>
      <c r="F2" s="90"/>
    </row>
    <row r="3" spans="2:6" ht="21" x14ac:dyDescent="0.35">
      <c r="B3" s="107"/>
      <c r="C3" s="92"/>
      <c r="D3" s="92"/>
      <c r="E3" s="92"/>
      <c r="F3" s="93"/>
    </row>
    <row r="4" spans="2:6" x14ac:dyDescent="0.25">
      <c r="B4" s="91">
        <v>1</v>
      </c>
      <c r="C4" s="92" t="s">
        <v>959</v>
      </c>
      <c r="D4" s="92"/>
      <c r="E4" s="92"/>
      <c r="F4" s="93"/>
    </row>
    <row r="5" spans="2:6" x14ac:dyDescent="0.25">
      <c r="B5" s="91">
        <v>2</v>
      </c>
      <c r="C5" s="92" t="s">
        <v>957</v>
      </c>
      <c r="D5" s="92"/>
      <c r="E5" s="92"/>
      <c r="F5" s="93"/>
    </row>
    <row r="6" spans="2:6" x14ac:dyDescent="0.25">
      <c r="B6" s="91"/>
      <c r="C6" s="94" t="s">
        <v>1018</v>
      </c>
      <c r="D6" s="92"/>
      <c r="E6" s="92"/>
      <c r="F6" s="93"/>
    </row>
    <row r="7" spans="2:6" x14ac:dyDescent="0.25">
      <c r="B7" s="91"/>
      <c r="C7" s="95" t="s">
        <v>1068</v>
      </c>
      <c r="D7" s="92"/>
      <c r="E7" s="92"/>
      <c r="F7" s="93"/>
    </row>
    <row r="8" spans="2:6" x14ac:dyDescent="0.25">
      <c r="B8" s="91">
        <v>3</v>
      </c>
      <c r="C8" s="92" t="s">
        <v>956</v>
      </c>
      <c r="D8" s="92"/>
      <c r="E8" s="92"/>
      <c r="F8" s="93"/>
    </row>
    <row r="9" spans="2:6" x14ac:dyDescent="0.25">
      <c r="B9" s="91">
        <v>4</v>
      </c>
      <c r="C9" s="92" t="s">
        <v>958</v>
      </c>
      <c r="D9" s="92"/>
      <c r="E9" s="92"/>
      <c r="F9" s="93"/>
    </row>
    <row r="10" spans="2:6" x14ac:dyDescent="0.25">
      <c r="B10" s="91">
        <v>5</v>
      </c>
      <c r="C10" s="92" t="s">
        <v>1019</v>
      </c>
      <c r="D10" s="92"/>
      <c r="E10" s="92"/>
      <c r="F10" s="93"/>
    </row>
    <row r="11" spans="2:6" x14ac:dyDescent="0.25">
      <c r="B11" s="91">
        <v>6</v>
      </c>
      <c r="C11" s="92" t="s">
        <v>1020</v>
      </c>
      <c r="D11" s="92"/>
      <c r="E11" s="92"/>
      <c r="F11" s="93"/>
    </row>
    <row r="12" spans="2:6" x14ac:dyDescent="0.25">
      <c r="B12" s="91"/>
      <c r="C12" s="96" t="s">
        <v>1022</v>
      </c>
      <c r="D12" s="92"/>
      <c r="E12" s="92"/>
      <c r="F12" s="93"/>
    </row>
    <row r="13" spans="2:6" x14ac:dyDescent="0.25">
      <c r="B13" s="91"/>
      <c r="C13" s="97" t="s">
        <v>1021</v>
      </c>
      <c r="D13" s="92"/>
      <c r="E13" s="92"/>
      <c r="F13" s="93"/>
    </row>
    <row r="14" spans="2:6" x14ac:dyDescent="0.25">
      <c r="B14" s="91">
        <v>7</v>
      </c>
      <c r="C14" s="92" t="s">
        <v>1028</v>
      </c>
      <c r="D14" s="92"/>
      <c r="E14" s="92"/>
      <c r="F14" s="93"/>
    </row>
    <row r="15" spans="2:6" x14ac:dyDescent="0.25">
      <c r="B15" s="91">
        <v>8</v>
      </c>
      <c r="C15" s="92" t="s">
        <v>960</v>
      </c>
      <c r="D15" s="92"/>
      <c r="E15" s="92"/>
      <c r="F15" s="93"/>
    </row>
    <row r="16" spans="2:6" ht="15.75" thickBot="1" x14ac:dyDescent="0.3">
      <c r="B16" s="98"/>
      <c r="C16" s="99"/>
      <c r="D16" s="99"/>
      <c r="E16" s="99"/>
      <c r="F16" s="100"/>
    </row>
    <row r="17" spans="2:6" ht="15.75" thickBot="1" x14ac:dyDescent="0.3"/>
    <row r="18" spans="2:6" ht="21" x14ac:dyDescent="0.35">
      <c r="B18" s="101" t="s">
        <v>1023</v>
      </c>
      <c r="C18" s="89"/>
      <c r="D18" s="89"/>
      <c r="E18" s="89"/>
      <c r="F18" s="90"/>
    </row>
    <row r="19" spans="2:6" x14ac:dyDescent="0.25">
      <c r="B19" s="91"/>
      <c r="C19" s="92"/>
      <c r="D19" s="92"/>
      <c r="E19" s="92"/>
      <c r="F19" s="93"/>
    </row>
    <row r="20" spans="2:6" x14ac:dyDescent="0.25">
      <c r="B20" s="102" t="s">
        <v>255</v>
      </c>
      <c r="C20" s="103" t="s">
        <v>257</v>
      </c>
      <c r="D20" s="103" t="s">
        <v>266</v>
      </c>
      <c r="E20" s="103" t="s">
        <v>1027</v>
      </c>
      <c r="F20" s="93"/>
    </row>
    <row r="21" spans="2:6" x14ac:dyDescent="0.25">
      <c r="B21" s="104" t="s">
        <v>268</v>
      </c>
      <c r="C21" s="105" t="s">
        <v>269</v>
      </c>
      <c r="D21" s="105" t="s">
        <v>270</v>
      </c>
      <c r="E21" s="105" t="s">
        <v>1024</v>
      </c>
      <c r="F21" s="93"/>
    </row>
    <row r="22" spans="2:6" x14ac:dyDescent="0.25">
      <c r="B22" s="91" t="s">
        <v>442</v>
      </c>
      <c r="C22" s="92" t="s">
        <v>443</v>
      </c>
      <c r="D22" s="92" t="s">
        <v>444</v>
      </c>
      <c r="E22" s="92" t="s">
        <v>1025</v>
      </c>
      <c r="F22" s="93"/>
    </row>
    <row r="23" spans="2:6" x14ac:dyDescent="0.25">
      <c r="B23" s="91" t="s">
        <v>256</v>
      </c>
      <c r="C23" s="92" t="s">
        <v>258</v>
      </c>
      <c r="D23" s="92" t="s">
        <v>267</v>
      </c>
      <c r="E23" s="92" t="s">
        <v>1025</v>
      </c>
      <c r="F23" s="93"/>
    </row>
    <row r="24" spans="2:6" x14ac:dyDescent="0.25">
      <c r="B24" s="91" t="s">
        <v>259</v>
      </c>
      <c r="C24" s="92" t="s">
        <v>263</v>
      </c>
      <c r="D24" s="92" t="s">
        <v>262</v>
      </c>
      <c r="E24" s="92" t="s">
        <v>1026</v>
      </c>
      <c r="F24" s="93"/>
    </row>
    <row r="25" spans="2:6" x14ac:dyDescent="0.25">
      <c r="B25" s="91" t="s">
        <v>260</v>
      </c>
      <c r="C25" s="92" t="s">
        <v>440</v>
      </c>
      <c r="D25" s="92" t="s">
        <v>261</v>
      </c>
      <c r="E25" s="92" t="s">
        <v>1025</v>
      </c>
      <c r="F25" s="93"/>
    </row>
    <row r="26" spans="2:6" x14ac:dyDescent="0.25">
      <c r="B26" s="91" t="s">
        <v>265</v>
      </c>
      <c r="C26" s="92" t="s">
        <v>440</v>
      </c>
      <c r="D26" s="92" t="s">
        <v>463</v>
      </c>
      <c r="E26" s="92" t="s">
        <v>1025</v>
      </c>
      <c r="F26" s="93"/>
    </row>
    <row r="27" spans="2:6" x14ac:dyDescent="0.25">
      <c r="B27" s="91" t="s">
        <v>436</v>
      </c>
      <c r="C27" s="92" t="s">
        <v>264</v>
      </c>
      <c r="D27" s="92" t="s">
        <v>437</v>
      </c>
      <c r="E27" s="105" t="s">
        <v>1024</v>
      </c>
      <c r="F27" s="93"/>
    </row>
    <row r="28" spans="2:6" ht="15.75" thickBot="1" x14ac:dyDescent="0.3">
      <c r="B28" s="98" t="s">
        <v>438</v>
      </c>
      <c r="C28" s="99" t="s">
        <v>264</v>
      </c>
      <c r="D28" s="99" t="s">
        <v>439</v>
      </c>
      <c r="E28" s="106" t="s">
        <v>1024</v>
      </c>
      <c r="F28" s="100"/>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dimension ref="A1:R90"/>
  <sheetViews>
    <sheetView topLeftCell="A65" workbookViewId="0">
      <selection activeCell="J95" sqref="J95"/>
    </sheetView>
  </sheetViews>
  <sheetFormatPr defaultRowHeight="15" x14ac:dyDescent="0.25"/>
  <cols>
    <col min="2" max="2" width="11" customWidth="1"/>
  </cols>
  <sheetData>
    <row r="1" spans="1:15" hidden="1" x14ac:dyDescent="0.25">
      <c r="A1" s="3" t="s">
        <v>107</v>
      </c>
      <c r="B1" s="3">
        <v>42034</v>
      </c>
      <c r="C1" s="4"/>
      <c r="D1" s="8" t="s">
        <v>108</v>
      </c>
      <c r="E1" s="4" t="s">
        <v>109</v>
      </c>
      <c r="F1" s="4"/>
      <c r="G1" s="4"/>
      <c r="H1" s="4"/>
      <c r="I1" s="4"/>
      <c r="J1" s="4"/>
      <c r="K1" s="4"/>
      <c r="L1" s="4"/>
      <c r="M1" s="4"/>
      <c r="N1" s="4"/>
      <c r="O1" s="4"/>
    </row>
    <row r="2" spans="1:15" hidden="1" x14ac:dyDescent="0.25">
      <c r="A2" s="6" t="s">
        <v>105</v>
      </c>
      <c r="B2" s="4"/>
      <c r="C2" s="4"/>
      <c r="D2" s="4"/>
      <c r="E2" s="4"/>
      <c r="F2" s="4"/>
      <c r="G2" s="4"/>
      <c r="H2" s="4"/>
      <c r="I2" s="4"/>
      <c r="J2" s="4"/>
      <c r="K2" s="4"/>
      <c r="L2" s="4"/>
      <c r="M2" s="4"/>
      <c r="N2" s="4"/>
      <c r="O2" s="4"/>
    </row>
    <row r="3" spans="1:15" hidden="1" x14ac:dyDescent="0.25">
      <c r="A3" s="5" t="s">
        <v>96</v>
      </c>
      <c r="B3" s="4"/>
      <c r="C3" s="4"/>
      <c r="D3" s="4"/>
      <c r="E3" s="4"/>
      <c r="F3" s="4"/>
      <c r="G3" s="4"/>
      <c r="H3" s="4"/>
      <c r="I3" s="4"/>
      <c r="J3" s="4"/>
      <c r="K3" s="4"/>
      <c r="L3" s="4"/>
      <c r="M3" s="4"/>
      <c r="N3" s="4"/>
      <c r="O3" s="4"/>
    </row>
    <row r="4" spans="1:15" hidden="1" x14ac:dyDescent="0.25">
      <c r="A4" s="5" t="s">
        <v>97</v>
      </c>
      <c r="B4" s="4"/>
      <c r="C4" s="4"/>
      <c r="D4" s="4"/>
      <c r="E4" s="4"/>
      <c r="F4" s="4"/>
      <c r="G4" s="4"/>
      <c r="H4" s="4"/>
      <c r="I4" s="4"/>
      <c r="J4" s="4"/>
      <c r="K4" s="4"/>
      <c r="L4" s="4"/>
      <c r="M4" s="4"/>
      <c r="N4" s="4"/>
      <c r="O4" s="4"/>
    </row>
    <row r="5" spans="1:15" hidden="1" x14ac:dyDescent="0.25">
      <c r="A5" s="5" t="s">
        <v>98</v>
      </c>
      <c r="B5" s="4"/>
      <c r="C5" s="4"/>
      <c r="D5" s="4"/>
      <c r="E5" s="4"/>
      <c r="F5" s="4"/>
      <c r="G5" s="4"/>
      <c r="H5" s="4"/>
      <c r="I5" s="4"/>
      <c r="J5" s="4"/>
      <c r="K5" s="4"/>
      <c r="L5" s="4"/>
      <c r="M5" s="4"/>
      <c r="N5" s="4"/>
      <c r="O5" s="4"/>
    </row>
    <row r="6" spans="1:15" hidden="1" x14ac:dyDescent="0.25">
      <c r="A6" s="5" t="s">
        <v>99</v>
      </c>
      <c r="B6" s="4"/>
      <c r="C6" s="4"/>
      <c r="D6" s="4"/>
      <c r="E6" s="4"/>
      <c r="F6" s="4"/>
      <c r="G6" s="4"/>
      <c r="H6" s="4"/>
      <c r="I6" s="4"/>
      <c r="J6" s="4"/>
      <c r="K6" s="4"/>
      <c r="L6" s="4"/>
      <c r="M6" s="4"/>
      <c r="N6" s="4"/>
      <c r="O6" s="4"/>
    </row>
    <row r="7" spans="1:15" hidden="1" x14ac:dyDescent="0.25">
      <c r="A7" s="5" t="s">
        <v>100</v>
      </c>
      <c r="B7" s="4"/>
      <c r="C7" s="4"/>
      <c r="D7" s="4"/>
      <c r="E7" s="4"/>
      <c r="F7" s="4"/>
      <c r="G7" s="4"/>
      <c r="H7" s="4"/>
      <c r="I7" s="4"/>
      <c r="J7" s="4"/>
      <c r="K7" s="4"/>
      <c r="L7" s="4"/>
      <c r="M7" s="4"/>
      <c r="N7" s="4"/>
      <c r="O7" s="4"/>
    </row>
    <row r="8" spans="1:15" hidden="1" x14ac:dyDescent="0.25">
      <c r="A8" s="5" t="s">
        <v>101</v>
      </c>
      <c r="B8" s="4"/>
      <c r="C8" s="4"/>
      <c r="D8" s="4"/>
      <c r="E8" s="4"/>
      <c r="F8" s="4"/>
      <c r="G8" s="4"/>
      <c r="H8" s="4"/>
      <c r="I8" s="4"/>
      <c r="J8" s="4"/>
      <c r="K8" s="4"/>
      <c r="L8" s="4"/>
      <c r="M8" s="4"/>
      <c r="N8" s="4"/>
      <c r="O8" s="4"/>
    </row>
    <row r="9" spans="1:15" hidden="1" x14ac:dyDescent="0.25">
      <c r="A9" s="5" t="s">
        <v>102</v>
      </c>
      <c r="B9" s="4"/>
      <c r="C9" s="4"/>
      <c r="D9" s="4"/>
      <c r="E9" s="4"/>
      <c r="F9" s="4"/>
      <c r="G9" s="4"/>
      <c r="H9" s="4"/>
      <c r="I9" s="4"/>
      <c r="J9" s="4"/>
      <c r="K9" s="4"/>
      <c r="L9" s="4"/>
      <c r="M9" s="4"/>
      <c r="N9" s="4"/>
      <c r="O9" s="4"/>
    </row>
    <row r="10" spans="1:15" hidden="1" x14ac:dyDescent="0.25">
      <c r="A10" s="5" t="s">
        <v>103</v>
      </c>
      <c r="B10" s="4"/>
      <c r="C10" s="4"/>
      <c r="D10" s="4"/>
      <c r="E10" s="4"/>
      <c r="F10" s="4"/>
      <c r="G10" s="4"/>
      <c r="H10" s="4"/>
      <c r="I10" s="4"/>
      <c r="J10" s="4"/>
      <c r="K10" s="4"/>
      <c r="L10" s="4"/>
      <c r="M10" s="4"/>
      <c r="N10" s="4"/>
      <c r="O10" s="4"/>
    </row>
    <row r="11" spans="1:15" hidden="1" x14ac:dyDescent="0.25">
      <c r="A11" s="5"/>
      <c r="B11" s="4"/>
      <c r="C11" s="4"/>
      <c r="D11" s="4"/>
      <c r="E11" s="4"/>
      <c r="F11" s="4"/>
      <c r="G11" s="4"/>
      <c r="H11" s="4"/>
      <c r="I11" s="4"/>
      <c r="J11" s="4"/>
      <c r="K11" s="4"/>
      <c r="L11" s="4"/>
      <c r="M11" s="4"/>
      <c r="N11" s="4"/>
      <c r="O11" s="4"/>
    </row>
    <row r="12" spans="1:15" hidden="1" x14ac:dyDescent="0.25">
      <c r="A12" s="7" t="s">
        <v>106</v>
      </c>
      <c r="B12" s="4"/>
      <c r="C12" s="4"/>
      <c r="D12" s="4"/>
      <c r="E12" s="4"/>
      <c r="F12" s="4"/>
      <c r="G12" s="4"/>
      <c r="H12" s="4"/>
      <c r="I12" s="4"/>
      <c r="J12" s="4"/>
      <c r="K12" s="4"/>
      <c r="L12" s="4"/>
      <c r="M12" s="4"/>
      <c r="N12" s="4"/>
      <c r="O12" s="4"/>
    </row>
    <row r="13" spans="1:15" hidden="1" x14ac:dyDescent="0.25">
      <c r="A13" s="5" t="s">
        <v>112</v>
      </c>
      <c r="B13" s="4"/>
      <c r="C13" s="4"/>
      <c r="D13" s="4"/>
      <c r="E13" s="4"/>
      <c r="F13" s="4"/>
      <c r="G13" s="4"/>
      <c r="H13" s="4"/>
      <c r="I13" s="4"/>
      <c r="J13" s="4"/>
      <c r="K13" s="4"/>
      <c r="L13" s="4"/>
      <c r="M13" s="4"/>
      <c r="N13" s="4"/>
      <c r="O13" s="4"/>
    </row>
    <row r="14" spans="1:15" hidden="1" x14ac:dyDescent="0.25">
      <c r="A14" s="5" t="s">
        <v>104</v>
      </c>
      <c r="B14" s="4"/>
      <c r="C14" s="4"/>
      <c r="D14" s="4"/>
      <c r="E14" s="4"/>
      <c r="F14" s="4"/>
      <c r="G14" s="4"/>
      <c r="H14" s="4"/>
      <c r="I14" s="4"/>
      <c r="J14" s="4"/>
      <c r="K14" s="4"/>
      <c r="L14" s="4"/>
      <c r="M14" s="4"/>
      <c r="N14" s="4"/>
      <c r="O14" s="4"/>
    </row>
    <row r="15" spans="1:15" hidden="1" x14ac:dyDescent="0.25">
      <c r="A15" s="5" t="s">
        <v>110</v>
      </c>
      <c r="B15" s="4"/>
      <c r="C15" s="4"/>
      <c r="D15" s="4"/>
      <c r="E15" s="4"/>
      <c r="F15" s="4"/>
      <c r="G15" s="4"/>
      <c r="H15" s="4"/>
      <c r="I15" s="4"/>
      <c r="J15" s="4"/>
      <c r="K15" s="4"/>
      <c r="L15" s="4"/>
      <c r="M15" s="4"/>
      <c r="N15" s="4"/>
      <c r="O15" s="4"/>
    </row>
    <row r="16" spans="1:15" hidden="1" x14ac:dyDescent="0.25">
      <c r="A16" s="5" t="s">
        <v>111</v>
      </c>
      <c r="B16" s="4"/>
      <c r="C16" s="4"/>
      <c r="D16" s="4"/>
      <c r="E16" s="4"/>
      <c r="F16" s="4"/>
      <c r="G16" s="4"/>
      <c r="H16" s="4"/>
      <c r="I16" s="4"/>
      <c r="J16" s="4"/>
      <c r="K16" s="4"/>
      <c r="L16" s="4"/>
      <c r="M16" s="4"/>
      <c r="N16" s="4"/>
      <c r="O16" s="4"/>
    </row>
    <row r="17" spans="1:15" s="11" customFormat="1" hidden="1" x14ac:dyDescent="0.25">
      <c r="A17" s="9" t="s">
        <v>113</v>
      </c>
      <c r="B17" s="10"/>
      <c r="C17" s="10"/>
      <c r="D17" s="10"/>
      <c r="E17" s="10"/>
      <c r="F17" s="10"/>
      <c r="G17" s="10"/>
      <c r="H17" s="10"/>
      <c r="I17" s="10"/>
      <c r="J17" s="10"/>
      <c r="K17" s="10"/>
      <c r="L17" s="10"/>
      <c r="M17" s="10"/>
      <c r="N17" s="10"/>
      <c r="O17" s="10"/>
    </row>
    <row r="18" spans="1:15" hidden="1" x14ac:dyDescent="0.25"/>
    <row r="19" spans="1:15" hidden="1" x14ac:dyDescent="0.25">
      <c r="A19" s="3" t="s">
        <v>107</v>
      </c>
      <c r="B19" s="3">
        <v>42041</v>
      </c>
      <c r="C19" s="4"/>
      <c r="D19" s="8" t="s">
        <v>108</v>
      </c>
      <c r="E19" s="4" t="s">
        <v>205</v>
      </c>
      <c r="F19" s="4"/>
      <c r="G19" s="4"/>
      <c r="H19" s="4"/>
      <c r="I19" s="4"/>
      <c r="J19" s="4"/>
      <c r="K19" s="4"/>
      <c r="L19" s="4"/>
      <c r="M19" s="4"/>
      <c r="N19" s="4"/>
      <c r="O19" s="4"/>
    </row>
    <row r="20" spans="1:15" s="13" customFormat="1" hidden="1" x14ac:dyDescent="0.25">
      <c r="A20" s="19" t="s">
        <v>206</v>
      </c>
      <c r="B20" s="20"/>
      <c r="C20" s="20"/>
      <c r="D20" s="20"/>
      <c r="E20" s="20"/>
      <c r="F20" s="20"/>
      <c r="G20" s="20"/>
      <c r="H20" s="20"/>
      <c r="I20" s="20"/>
      <c r="J20" s="20"/>
      <c r="K20" s="20"/>
      <c r="L20" s="20"/>
      <c r="M20" s="20"/>
      <c r="N20" s="20"/>
      <c r="O20" s="20"/>
    </row>
    <row r="21" spans="1:15" hidden="1" x14ac:dyDescent="0.25"/>
    <row r="22" spans="1:15" hidden="1" x14ac:dyDescent="0.25">
      <c r="A22" s="3" t="s">
        <v>107</v>
      </c>
      <c r="B22" s="3">
        <v>42062</v>
      </c>
      <c r="C22" s="4"/>
      <c r="D22" s="8" t="s">
        <v>108</v>
      </c>
      <c r="E22" s="4" t="s">
        <v>205</v>
      </c>
      <c r="F22" s="4"/>
      <c r="G22" s="4"/>
      <c r="H22" s="4"/>
      <c r="I22" s="4"/>
      <c r="J22" s="4"/>
      <c r="K22" s="4"/>
      <c r="L22" s="4"/>
      <c r="M22" s="4"/>
      <c r="N22" s="4"/>
      <c r="O22" s="4"/>
    </row>
    <row r="23" spans="1:15" hidden="1" x14ac:dyDescent="0.25">
      <c r="A23" s="19" t="s">
        <v>207</v>
      </c>
      <c r="B23" s="20"/>
      <c r="C23" s="20"/>
      <c r="D23" s="20"/>
      <c r="E23" s="20"/>
      <c r="F23" s="20"/>
      <c r="G23" s="20"/>
      <c r="H23" s="20"/>
      <c r="I23" s="20"/>
      <c r="J23" s="20"/>
      <c r="K23" s="20"/>
      <c r="L23" s="20"/>
      <c r="M23" s="20"/>
      <c r="N23" s="20"/>
      <c r="O23" s="20"/>
    </row>
    <row r="24" spans="1:15" hidden="1" x14ac:dyDescent="0.25">
      <c r="A24" s="19" t="s">
        <v>207</v>
      </c>
      <c r="B24" s="4" t="s">
        <v>208</v>
      </c>
      <c r="C24" s="4"/>
      <c r="D24" s="4"/>
      <c r="E24" s="4"/>
      <c r="F24" s="4"/>
      <c r="G24" s="4"/>
      <c r="H24" s="4"/>
      <c r="I24" s="4"/>
      <c r="J24" s="4"/>
      <c r="K24" s="4"/>
      <c r="L24" s="4"/>
      <c r="M24" s="4"/>
      <c r="N24" s="4"/>
      <c r="O24" s="4"/>
    </row>
    <row r="25" spans="1:15" hidden="1" x14ac:dyDescent="0.25">
      <c r="A25" s="19" t="s">
        <v>207</v>
      </c>
      <c r="B25" s="4" t="s">
        <v>209</v>
      </c>
      <c r="C25" s="4"/>
      <c r="D25" s="4"/>
      <c r="E25" s="4"/>
      <c r="F25" s="4"/>
      <c r="G25" s="4"/>
      <c r="H25" s="4"/>
      <c r="I25" s="4"/>
      <c r="J25" s="4"/>
      <c r="K25" s="4"/>
      <c r="L25" s="4"/>
      <c r="M25" s="4"/>
      <c r="N25" s="4"/>
      <c r="O25" s="4"/>
    </row>
    <row r="26" spans="1:15" hidden="1" x14ac:dyDescent="0.25">
      <c r="A26" s="19" t="s">
        <v>207</v>
      </c>
      <c r="B26" s="4" t="s">
        <v>210</v>
      </c>
      <c r="C26" s="4"/>
      <c r="D26" s="4"/>
      <c r="E26" s="4"/>
      <c r="F26" s="4"/>
      <c r="G26" s="4"/>
      <c r="H26" s="4"/>
      <c r="I26" s="4"/>
      <c r="J26" s="4"/>
      <c r="K26" s="4"/>
      <c r="L26" s="4"/>
      <c r="M26" s="4"/>
      <c r="N26" s="4"/>
      <c r="O26" s="4"/>
    </row>
    <row r="27" spans="1:15" hidden="1" x14ac:dyDescent="0.25">
      <c r="A27" s="19" t="s">
        <v>207</v>
      </c>
      <c r="B27" s="4" t="s">
        <v>211</v>
      </c>
      <c r="C27" s="4"/>
      <c r="D27" s="4"/>
      <c r="E27" s="4"/>
      <c r="F27" s="4"/>
      <c r="G27" s="4"/>
      <c r="H27" s="4"/>
      <c r="I27" s="4"/>
      <c r="J27" s="4"/>
      <c r="K27" s="4"/>
      <c r="L27" s="4"/>
      <c r="M27" s="4"/>
      <c r="N27" s="4"/>
      <c r="O27" s="4"/>
    </row>
    <row r="28" spans="1:15" hidden="1" x14ac:dyDescent="0.25">
      <c r="A28" s="19" t="s">
        <v>207</v>
      </c>
      <c r="B28" s="4" t="s">
        <v>212</v>
      </c>
      <c r="C28" s="4"/>
      <c r="D28" s="4"/>
      <c r="E28" s="4"/>
      <c r="F28" s="4"/>
      <c r="G28" s="4"/>
      <c r="H28" s="4"/>
      <c r="I28" s="4"/>
      <c r="J28" s="4"/>
      <c r="K28" s="4"/>
      <c r="L28" s="4"/>
      <c r="M28" s="4"/>
      <c r="N28" s="4"/>
      <c r="O28" s="4"/>
    </row>
    <row r="29" spans="1:15" hidden="1" x14ac:dyDescent="0.25">
      <c r="A29" s="19" t="s">
        <v>207</v>
      </c>
      <c r="B29" s="4" t="s">
        <v>213</v>
      </c>
      <c r="C29" s="4"/>
      <c r="D29" s="4"/>
      <c r="E29" s="4"/>
      <c r="F29" s="4"/>
      <c r="G29" s="4"/>
      <c r="H29" s="4"/>
      <c r="I29" s="4"/>
      <c r="J29" s="4"/>
      <c r="K29" s="4"/>
      <c r="L29" s="4"/>
      <c r="M29" s="4"/>
      <c r="N29" s="4"/>
      <c r="O29" s="4"/>
    </row>
    <row r="30" spans="1:15" hidden="1" x14ac:dyDescent="0.25">
      <c r="A30" s="19" t="s">
        <v>207</v>
      </c>
      <c r="B30" s="4" t="s">
        <v>214</v>
      </c>
      <c r="C30" s="4"/>
      <c r="D30" s="4"/>
      <c r="E30" s="4"/>
      <c r="F30" s="4"/>
      <c r="G30" s="4"/>
      <c r="H30" s="4"/>
      <c r="I30" s="4"/>
      <c r="J30" s="4"/>
      <c r="K30" s="4"/>
      <c r="L30" s="4"/>
      <c r="M30" s="4"/>
      <c r="N30" s="4"/>
      <c r="O30" s="4"/>
    </row>
    <row r="31" spans="1:15" hidden="1" x14ac:dyDescent="0.25">
      <c r="A31" s="19"/>
      <c r="B31" s="4"/>
      <c r="C31" s="4"/>
      <c r="D31" s="4"/>
      <c r="E31" s="4"/>
      <c r="F31" s="4"/>
      <c r="G31" s="4"/>
      <c r="H31" s="4"/>
      <c r="I31" s="4"/>
      <c r="J31" s="4"/>
      <c r="K31" s="4"/>
      <c r="L31" s="4"/>
      <c r="M31" s="4"/>
      <c r="N31" s="4"/>
      <c r="O31" s="4"/>
    </row>
    <row r="32" spans="1:15" hidden="1" x14ac:dyDescent="0.25">
      <c r="A32" s="3" t="s">
        <v>107</v>
      </c>
      <c r="B32" s="3">
        <v>42156</v>
      </c>
      <c r="C32" s="4"/>
      <c r="D32" s="8" t="s">
        <v>108</v>
      </c>
      <c r="E32" s="4" t="s">
        <v>252</v>
      </c>
      <c r="F32" s="4"/>
      <c r="G32" s="4"/>
      <c r="H32" s="4"/>
      <c r="I32" s="4"/>
      <c r="J32" s="4"/>
      <c r="K32" s="4"/>
      <c r="L32" s="4"/>
      <c r="M32" s="4"/>
      <c r="N32" s="4"/>
      <c r="O32" s="4"/>
    </row>
    <row r="33" spans="1:18" hidden="1" x14ac:dyDescent="0.25">
      <c r="A33" s="19" t="s">
        <v>207</v>
      </c>
      <c r="B33" s="4" t="s">
        <v>251</v>
      </c>
    </row>
    <row r="34" spans="1:18" hidden="1" x14ac:dyDescent="0.25">
      <c r="A34" s="3" t="s">
        <v>107</v>
      </c>
      <c r="B34" s="3">
        <v>42734</v>
      </c>
      <c r="C34" s="4"/>
      <c r="D34" s="8" t="s">
        <v>108</v>
      </c>
      <c r="E34" s="4" t="s">
        <v>252</v>
      </c>
      <c r="F34" s="4"/>
    </row>
    <row r="35" spans="1:18" hidden="1" x14ac:dyDescent="0.25">
      <c r="A35" s="19" t="s">
        <v>207</v>
      </c>
      <c r="B35" s="4" t="s">
        <v>448</v>
      </c>
    </row>
    <row r="36" spans="1:18" hidden="1" x14ac:dyDescent="0.25">
      <c r="A36" s="3" t="s">
        <v>107</v>
      </c>
      <c r="B36" s="3">
        <v>42791</v>
      </c>
      <c r="C36" s="4"/>
      <c r="D36" s="8" t="s">
        <v>108</v>
      </c>
      <c r="E36" s="4" t="s">
        <v>252</v>
      </c>
      <c r="F36" s="4"/>
    </row>
    <row r="37" spans="1:18" hidden="1" x14ac:dyDescent="0.25">
      <c r="A37" s="19" t="s">
        <v>207</v>
      </c>
      <c r="B37" s="4" t="s">
        <v>454</v>
      </c>
      <c r="C37" s="4"/>
      <c r="D37" s="8"/>
      <c r="E37" s="4"/>
      <c r="F37" s="4"/>
    </row>
    <row r="38" spans="1:18" hidden="1" x14ac:dyDescent="0.25">
      <c r="A38" s="19" t="s">
        <v>207</v>
      </c>
      <c r="B38" s="4" t="s">
        <v>453</v>
      </c>
      <c r="C38" s="4"/>
      <c r="D38" s="8"/>
      <c r="E38" s="4"/>
      <c r="F38" s="4"/>
    </row>
    <row r="39" spans="1:18" hidden="1" x14ac:dyDescent="0.25">
      <c r="A39" s="19" t="s">
        <v>207</v>
      </c>
      <c r="B39" s="4" t="s">
        <v>452</v>
      </c>
      <c r="C39" s="4"/>
      <c r="D39" s="8"/>
      <c r="E39" s="4"/>
      <c r="F39" s="4"/>
    </row>
    <row r="40" spans="1:18" hidden="1" x14ac:dyDescent="0.25">
      <c r="A40" s="19" t="s">
        <v>207</v>
      </c>
      <c r="B40" s="62" t="s">
        <v>449</v>
      </c>
      <c r="C40" s="4"/>
      <c r="D40" s="8"/>
      <c r="E40" s="4"/>
      <c r="F40" s="4"/>
    </row>
    <row r="41" spans="1:18" hidden="1" x14ac:dyDescent="0.25">
      <c r="A41" s="19" t="s">
        <v>207</v>
      </c>
      <c r="B41" s="62" t="s">
        <v>450</v>
      </c>
      <c r="C41" s="4"/>
      <c r="D41" s="8"/>
      <c r="E41" s="4"/>
      <c r="F41" s="4"/>
    </row>
    <row r="42" spans="1:18" hidden="1" x14ac:dyDescent="0.25">
      <c r="A42" s="19" t="s">
        <v>207</v>
      </c>
      <c r="B42" s="62" t="s">
        <v>451</v>
      </c>
      <c r="C42" s="4"/>
      <c r="D42" s="8"/>
      <c r="E42" s="4"/>
      <c r="F42" s="4"/>
    </row>
    <row r="43" spans="1:18" hidden="1" x14ac:dyDescent="0.25">
      <c r="A43" s="3" t="s">
        <v>107</v>
      </c>
      <c r="B43" s="3">
        <v>42793</v>
      </c>
      <c r="C43" s="4"/>
      <c r="D43" s="8" t="s">
        <v>108</v>
      </c>
      <c r="E43" s="4" t="s">
        <v>252</v>
      </c>
      <c r="F43" s="4"/>
    </row>
    <row r="44" spans="1:18" hidden="1" x14ac:dyDescent="0.25">
      <c r="A44" s="19" t="s">
        <v>207</v>
      </c>
      <c r="B44" s="4" t="s">
        <v>455</v>
      </c>
      <c r="C44" s="4"/>
      <c r="D44" s="8"/>
      <c r="E44" s="4"/>
      <c r="F44" s="4"/>
    </row>
    <row r="45" spans="1:18" hidden="1" x14ac:dyDescent="0.25"/>
    <row r="46" spans="1:18" hidden="1" x14ac:dyDescent="0.25">
      <c r="A46" s="64" t="s">
        <v>107</v>
      </c>
      <c r="B46" s="65">
        <v>42768</v>
      </c>
      <c r="C46" s="66"/>
      <c r="D46" s="67" t="s">
        <v>108</v>
      </c>
      <c r="E46" s="66" t="s">
        <v>456</v>
      </c>
      <c r="F46" s="66"/>
      <c r="G46" s="66"/>
      <c r="H46" s="66"/>
      <c r="I46" s="66"/>
      <c r="J46" s="66"/>
      <c r="K46" s="66"/>
      <c r="L46" s="66"/>
      <c r="M46" s="66"/>
      <c r="N46" s="66"/>
      <c r="O46" s="68"/>
      <c r="P46" s="59"/>
      <c r="Q46" s="59"/>
      <c r="R46" s="59"/>
    </row>
    <row r="47" spans="1:18" hidden="1" x14ac:dyDescent="0.25">
      <c r="A47" s="69" t="s">
        <v>457</v>
      </c>
      <c r="B47" s="70"/>
      <c r="C47" s="70"/>
      <c r="D47" s="70"/>
      <c r="E47" s="70"/>
      <c r="F47" s="70"/>
      <c r="G47" s="70"/>
      <c r="H47" s="70"/>
      <c r="I47" s="70"/>
      <c r="J47" s="70"/>
      <c r="K47" s="70"/>
      <c r="L47" s="70"/>
      <c r="M47" s="70"/>
      <c r="N47" s="70"/>
      <c r="O47" s="68"/>
      <c r="P47" s="59"/>
      <c r="Q47" s="59"/>
      <c r="R47" s="59"/>
    </row>
    <row r="48" spans="1:18" hidden="1" x14ac:dyDescent="0.25">
      <c r="A48" s="69" t="s">
        <v>458</v>
      </c>
      <c r="B48" s="70"/>
      <c r="C48" s="70"/>
      <c r="D48" s="70"/>
      <c r="E48" s="70"/>
      <c r="F48" s="70"/>
      <c r="G48" s="70"/>
      <c r="H48" s="70"/>
      <c r="I48" s="70"/>
      <c r="J48" s="70"/>
      <c r="K48" s="70"/>
      <c r="L48" s="70"/>
      <c r="M48" s="70"/>
      <c r="N48" s="70"/>
      <c r="O48" s="68"/>
      <c r="P48" s="59"/>
      <c r="Q48" s="59"/>
      <c r="R48" s="59"/>
    </row>
    <row r="49" spans="1:18" hidden="1" x14ac:dyDescent="0.25">
      <c r="A49" s="69" t="s">
        <v>459</v>
      </c>
      <c r="B49" s="70"/>
      <c r="C49" s="70"/>
      <c r="D49" s="70"/>
      <c r="E49" s="70"/>
      <c r="F49" s="70"/>
      <c r="G49" s="70"/>
      <c r="H49" s="70"/>
      <c r="I49" s="70"/>
      <c r="J49" s="70"/>
      <c r="K49" s="70"/>
      <c r="L49" s="70"/>
      <c r="M49" s="70"/>
      <c r="N49" s="70"/>
      <c r="O49" s="68"/>
      <c r="P49" s="59"/>
      <c r="Q49" s="59"/>
      <c r="R49" s="59"/>
    </row>
    <row r="50" spans="1:18" hidden="1" x14ac:dyDescent="0.25">
      <c r="A50" s="69" t="s">
        <v>460</v>
      </c>
      <c r="B50" s="70"/>
      <c r="C50" s="70"/>
      <c r="D50" s="70"/>
      <c r="E50" s="70"/>
      <c r="F50" s="70"/>
      <c r="G50" s="70"/>
      <c r="H50" s="70"/>
      <c r="I50" s="70"/>
      <c r="J50" s="70"/>
      <c r="K50" s="70"/>
      <c r="L50" s="70"/>
      <c r="M50" s="70"/>
      <c r="N50" s="70"/>
      <c r="O50" s="68"/>
      <c r="P50" s="59"/>
      <c r="Q50" s="59"/>
      <c r="R50" s="59"/>
    </row>
    <row r="51" spans="1:18" hidden="1" x14ac:dyDescent="0.25">
      <c r="A51" s="69" t="s">
        <v>461</v>
      </c>
      <c r="B51" s="70"/>
      <c r="C51" s="70"/>
      <c r="D51" s="70"/>
      <c r="E51" s="70"/>
      <c r="F51" s="70"/>
      <c r="G51" s="70"/>
      <c r="H51" s="70"/>
      <c r="I51" s="70"/>
      <c r="J51" s="70"/>
      <c r="K51" s="70"/>
      <c r="L51" s="70"/>
      <c r="M51" s="70"/>
      <c r="N51" s="70"/>
      <c r="O51" s="68"/>
      <c r="P51" s="59"/>
      <c r="Q51" s="59"/>
      <c r="R51" s="59"/>
    </row>
    <row r="52" spans="1:18" hidden="1" x14ac:dyDescent="0.25">
      <c r="A52" s="69" t="s">
        <v>462</v>
      </c>
      <c r="B52" s="71"/>
      <c r="C52" s="68"/>
      <c r="D52" s="72"/>
      <c r="E52" s="68"/>
      <c r="F52" s="68"/>
      <c r="G52" s="68"/>
      <c r="H52" s="68"/>
      <c r="I52" s="68"/>
      <c r="J52" s="68"/>
      <c r="K52" s="68"/>
      <c r="L52" s="68"/>
      <c r="M52" s="68"/>
      <c r="N52" s="68"/>
      <c r="O52" s="68"/>
      <c r="P52" s="59"/>
      <c r="Q52" s="59"/>
      <c r="R52" s="59"/>
    </row>
    <row r="53" spans="1:18" hidden="1" x14ac:dyDescent="0.25"/>
    <row r="54" spans="1:18" hidden="1" x14ac:dyDescent="0.25">
      <c r="A54" s="64" t="s">
        <v>107</v>
      </c>
      <c r="B54" s="65">
        <v>43139</v>
      </c>
      <c r="C54" s="66"/>
      <c r="D54" s="67" t="s">
        <v>108</v>
      </c>
      <c r="E54" s="66" t="s">
        <v>887</v>
      </c>
      <c r="F54" s="66"/>
      <c r="G54" s="66"/>
      <c r="H54" s="66"/>
      <c r="I54" s="66"/>
      <c r="J54" s="66"/>
      <c r="K54" s="66"/>
      <c r="L54" s="66"/>
      <c r="M54" s="66"/>
      <c r="N54" s="66"/>
      <c r="O54" s="68"/>
    </row>
    <row r="55" spans="1:18" hidden="1" x14ac:dyDescent="0.25">
      <c r="A55" s="69" t="s">
        <v>886</v>
      </c>
      <c r="B55" s="70"/>
      <c r="C55" s="70"/>
      <c r="D55" s="70"/>
      <c r="E55" s="70"/>
      <c r="F55" s="70"/>
      <c r="G55" s="70"/>
      <c r="H55" s="70"/>
      <c r="I55" s="70"/>
      <c r="J55" s="70"/>
      <c r="K55" s="70"/>
      <c r="L55" s="70"/>
      <c r="M55" s="70"/>
      <c r="N55" s="70"/>
      <c r="O55" s="68"/>
    </row>
    <row r="56" spans="1:18" hidden="1" x14ac:dyDescent="0.25">
      <c r="A56" s="69" t="s">
        <v>888</v>
      </c>
      <c r="B56" s="70"/>
      <c r="C56" s="70"/>
      <c r="D56" s="70"/>
      <c r="E56" s="70"/>
      <c r="F56" s="70"/>
      <c r="G56" s="70"/>
      <c r="H56" s="70"/>
      <c r="I56" s="70"/>
      <c r="J56" s="70"/>
      <c r="K56" s="70"/>
      <c r="L56" s="70"/>
      <c r="M56" s="70"/>
      <c r="N56" s="70"/>
      <c r="O56" s="68"/>
    </row>
    <row r="57" spans="1:18" hidden="1" x14ac:dyDescent="0.25">
      <c r="A57" s="64" t="s">
        <v>107</v>
      </c>
      <c r="B57" s="65">
        <v>43152</v>
      </c>
      <c r="C57" s="66"/>
      <c r="D57" s="67" t="s">
        <v>108</v>
      </c>
      <c r="E57" s="66" t="s">
        <v>109</v>
      </c>
      <c r="F57" s="70"/>
      <c r="G57" s="70"/>
      <c r="H57" s="70"/>
      <c r="I57" s="70"/>
      <c r="J57" s="70"/>
      <c r="K57" s="70"/>
      <c r="L57" s="70"/>
      <c r="M57" s="70"/>
      <c r="N57" s="70"/>
      <c r="O57" s="68"/>
    </row>
    <row r="58" spans="1:18" hidden="1" x14ac:dyDescent="0.25">
      <c r="A58" s="69" t="s">
        <v>888</v>
      </c>
      <c r="B58" s="70" t="s">
        <v>890</v>
      </c>
      <c r="C58" s="70"/>
      <c r="D58" s="70"/>
      <c r="E58" s="70"/>
      <c r="F58" s="70"/>
      <c r="G58" s="70"/>
      <c r="H58" s="70"/>
      <c r="I58" s="70"/>
      <c r="J58" s="70"/>
      <c r="K58" s="70"/>
      <c r="L58" s="70"/>
      <c r="M58" s="70"/>
      <c r="N58" s="70"/>
      <c r="O58" s="68"/>
    </row>
    <row r="59" spans="1:18" hidden="1" x14ac:dyDescent="0.25">
      <c r="A59" s="64" t="s">
        <v>107</v>
      </c>
      <c r="B59" s="65">
        <v>43157</v>
      </c>
      <c r="C59" s="66"/>
      <c r="D59" s="67" t="s">
        <v>108</v>
      </c>
      <c r="E59" s="66" t="s">
        <v>109</v>
      </c>
      <c r="F59" s="70"/>
      <c r="G59" s="70"/>
      <c r="H59" s="70"/>
      <c r="I59" s="70"/>
      <c r="J59" s="70"/>
      <c r="K59" s="70"/>
      <c r="L59" s="70"/>
      <c r="M59" s="70"/>
      <c r="N59" s="70"/>
      <c r="O59" s="68"/>
    </row>
    <row r="60" spans="1:18" hidden="1" x14ac:dyDescent="0.25">
      <c r="A60" s="69" t="s">
        <v>888</v>
      </c>
      <c r="B60" s="70" t="s">
        <v>896</v>
      </c>
      <c r="C60" s="70"/>
      <c r="D60" s="70"/>
      <c r="E60" s="70"/>
      <c r="F60" s="70"/>
      <c r="G60" s="70"/>
      <c r="H60" s="70"/>
      <c r="I60" s="70"/>
      <c r="J60" s="70"/>
      <c r="K60" s="70"/>
      <c r="L60" s="70"/>
      <c r="M60" s="70"/>
      <c r="N60" s="70"/>
      <c r="O60" s="68"/>
    </row>
    <row r="61" spans="1:18" s="73" customFormat="1" ht="14.25" hidden="1" x14ac:dyDescent="0.2">
      <c r="A61" s="79" t="s">
        <v>889</v>
      </c>
      <c r="B61" s="80"/>
      <c r="C61" s="80"/>
      <c r="D61" s="80"/>
      <c r="E61" s="80"/>
      <c r="F61" s="80"/>
      <c r="G61" s="80"/>
      <c r="H61" s="80"/>
      <c r="I61" s="80"/>
      <c r="J61" s="80"/>
      <c r="K61" s="80"/>
      <c r="L61" s="80"/>
      <c r="M61" s="80"/>
      <c r="N61" s="80"/>
      <c r="O61" s="81"/>
    </row>
    <row r="62" spans="1:18" hidden="1" x14ac:dyDescent="0.25">
      <c r="A62" s="82" t="s">
        <v>895</v>
      </c>
    </row>
    <row r="63" spans="1:18" hidden="1" x14ac:dyDescent="0.25">
      <c r="A63" s="82" t="s">
        <v>114</v>
      </c>
    </row>
    <row r="64" spans="1:18" hidden="1" x14ac:dyDescent="0.25">
      <c r="A64" s="82" t="s">
        <v>115</v>
      </c>
    </row>
    <row r="66" spans="1:17" x14ac:dyDescent="0.25">
      <c r="A66" s="64" t="s">
        <v>107</v>
      </c>
      <c r="B66" s="65">
        <v>43504</v>
      </c>
      <c r="C66" s="66"/>
      <c r="D66" s="67" t="s">
        <v>108</v>
      </c>
      <c r="E66" s="66" t="s">
        <v>962</v>
      </c>
      <c r="F66" s="66"/>
      <c r="G66" s="66" t="s">
        <v>963</v>
      </c>
      <c r="H66" s="66"/>
      <c r="I66" s="66" t="s">
        <v>964</v>
      </c>
      <c r="J66" s="66"/>
      <c r="K66" s="66"/>
      <c r="L66" s="66"/>
      <c r="M66" s="66"/>
      <c r="N66" s="66"/>
      <c r="O66" s="68"/>
      <c r="P66" s="59"/>
    </row>
    <row r="67" spans="1:17" x14ac:dyDescent="0.25">
      <c r="A67" s="69" t="s">
        <v>886</v>
      </c>
      <c r="B67" s="70"/>
      <c r="C67" s="70"/>
      <c r="D67" s="70"/>
      <c r="E67" s="70"/>
      <c r="F67" s="70"/>
      <c r="G67" s="70"/>
      <c r="H67" s="70"/>
      <c r="I67" s="70"/>
      <c r="J67" s="70"/>
      <c r="K67" s="70"/>
      <c r="L67" s="70"/>
      <c r="M67" s="70"/>
      <c r="N67" s="70"/>
      <c r="O67" s="68"/>
      <c r="P67" s="59"/>
    </row>
    <row r="68" spans="1:17" x14ac:dyDescent="0.25">
      <c r="A68" s="69" t="s">
        <v>961</v>
      </c>
      <c r="B68" s="70"/>
      <c r="C68" s="70"/>
      <c r="D68" s="70"/>
      <c r="E68" s="70"/>
      <c r="F68" s="70"/>
      <c r="G68" s="70"/>
      <c r="H68" s="70"/>
      <c r="I68" s="70"/>
      <c r="J68" s="70"/>
      <c r="K68" s="70"/>
      <c r="L68" s="70"/>
      <c r="M68" s="70"/>
      <c r="N68" s="70"/>
      <c r="O68" s="68"/>
      <c r="P68" s="59"/>
    </row>
    <row r="69" spans="1:17" x14ac:dyDescent="0.25">
      <c r="A69" s="69" t="s">
        <v>888</v>
      </c>
      <c r="B69" s="70" t="s">
        <v>890</v>
      </c>
      <c r="C69" s="70"/>
      <c r="D69" s="70"/>
      <c r="E69" s="70"/>
      <c r="F69" s="70"/>
      <c r="G69" s="70"/>
      <c r="H69" s="70"/>
      <c r="I69" s="70"/>
      <c r="J69" s="70"/>
      <c r="K69" s="70"/>
      <c r="L69" s="70"/>
      <c r="M69" s="70"/>
      <c r="N69" s="70"/>
      <c r="O69" s="68"/>
      <c r="P69" s="59"/>
    </row>
    <row r="70" spans="1:17" x14ac:dyDescent="0.25">
      <c r="A70" s="69" t="s">
        <v>965</v>
      </c>
      <c r="B70" s="70"/>
      <c r="C70" s="70"/>
      <c r="D70" s="70"/>
      <c r="E70" s="70"/>
      <c r="F70" s="70"/>
      <c r="G70" s="70"/>
      <c r="H70" s="70"/>
      <c r="I70" s="70"/>
      <c r="J70" s="70"/>
      <c r="K70" s="70"/>
      <c r="L70" s="70"/>
      <c r="M70" s="70"/>
      <c r="N70" s="70"/>
      <c r="O70" s="68"/>
      <c r="P70" s="59"/>
    </row>
    <row r="71" spans="1:17" x14ac:dyDescent="0.25">
      <c r="Q71" s="59"/>
    </row>
    <row r="72" spans="1:17" x14ac:dyDescent="0.25">
      <c r="A72" s="64" t="s">
        <v>107</v>
      </c>
      <c r="B72" s="65">
        <v>43865</v>
      </c>
      <c r="C72" s="66"/>
      <c r="D72" s="67" t="s">
        <v>108</v>
      </c>
      <c r="E72" s="66" t="s">
        <v>962</v>
      </c>
      <c r="F72" s="66"/>
      <c r="G72" s="66"/>
      <c r="H72" s="66"/>
      <c r="I72" s="66" t="s">
        <v>964</v>
      </c>
      <c r="J72" s="66"/>
      <c r="K72" s="66"/>
      <c r="L72" s="66"/>
      <c r="M72" s="66"/>
      <c r="N72" s="66"/>
      <c r="O72" s="68"/>
    </row>
    <row r="73" spans="1:17" x14ac:dyDescent="0.25">
      <c r="A73" s="69" t="s">
        <v>1009</v>
      </c>
      <c r="B73" s="70"/>
      <c r="C73" s="70"/>
      <c r="D73" s="70"/>
      <c r="E73" s="70"/>
      <c r="F73" s="70"/>
      <c r="G73" s="70"/>
      <c r="H73" s="70"/>
      <c r="I73" s="70"/>
      <c r="J73" s="70"/>
      <c r="K73" s="70"/>
      <c r="L73" s="70"/>
      <c r="M73" s="70"/>
      <c r="N73" s="70"/>
      <c r="O73" s="68"/>
    </row>
    <row r="74" spans="1:17" x14ac:dyDescent="0.25">
      <c r="A74" s="69" t="s">
        <v>1010</v>
      </c>
      <c r="B74" s="70"/>
      <c r="C74" s="70"/>
      <c r="D74" s="70"/>
      <c r="E74" s="70"/>
      <c r="F74" s="70"/>
      <c r="G74" s="70"/>
      <c r="H74" s="70"/>
      <c r="I74" s="70"/>
      <c r="J74" s="70"/>
      <c r="K74" s="70"/>
      <c r="L74" s="70"/>
      <c r="M74" s="70"/>
      <c r="N74" s="70"/>
      <c r="O74" s="68"/>
    </row>
    <row r="76" spans="1:17" x14ac:dyDescent="0.25">
      <c r="A76" s="111" t="s">
        <v>107</v>
      </c>
      <c r="B76" s="112">
        <v>44270</v>
      </c>
      <c r="C76" s="113"/>
      <c r="D76" s="114" t="s">
        <v>108</v>
      </c>
      <c r="E76" s="113" t="s">
        <v>1029</v>
      </c>
      <c r="F76" s="113"/>
      <c r="G76" s="113"/>
      <c r="H76" s="113"/>
      <c r="I76" s="113" t="s">
        <v>964</v>
      </c>
      <c r="J76" s="113"/>
      <c r="K76" s="113"/>
      <c r="L76" s="113"/>
      <c r="M76" s="113"/>
      <c r="N76" s="113"/>
      <c r="O76" s="109"/>
    </row>
    <row r="77" spans="1:17" x14ac:dyDescent="0.25">
      <c r="A77" s="110" t="s">
        <v>1030</v>
      </c>
      <c r="B77" s="108"/>
      <c r="C77" s="108"/>
      <c r="D77" s="108"/>
      <c r="E77" s="108"/>
      <c r="F77" s="108"/>
      <c r="G77" s="108"/>
      <c r="H77" s="108"/>
      <c r="I77" s="108"/>
      <c r="J77" s="108"/>
      <c r="K77" s="108"/>
      <c r="L77" s="108"/>
      <c r="M77" s="108"/>
      <c r="N77" s="108"/>
      <c r="O77" s="109"/>
    </row>
    <row r="78" spans="1:17" x14ac:dyDescent="0.25">
      <c r="A78" s="110" t="s">
        <v>1031</v>
      </c>
      <c r="B78" s="109"/>
      <c r="C78" s="108"/>
      <c r="D78" s="108"/>
      <c r="E78" s="108"/>
      <c r="F78" s="108"/>
      <c r="G78" s="108"/>
      <c r="H78" s="108"/>
      <c r="I78" s="108"/>
      <c r="J78" s="108"/>
      <c r="K78" s="115"/>
      <c r="L78" s="108"/>
      <c r="M78" s="108"/>
      <c r="N78" s="108"/>
      <c r="O78" s="109"/>
    </row>
    <row r="79" spans="1:17" x14ac:dyDescent="0.25">
      <c r="A79" s="110" t="s">
        <v>1032</v>
      </c>
      <c r="B79" s="108"/>
      <c r="C79" s="109"/>
      <c r="D79" s="109"/>
      <c r="E79" s="109"/>
      <c r="F79" s="109"/>
      <c r="G79" s="109"/>
      <c r="H79" s="109"/>
      <c r="I79" s="109"/>
      <c r="J79" s="109"/>
      <c r="K79" s="109"/>
      <c r="L79" s="109"/>
      <c r="M79" s="109"/>
      <c r="N79" s="109"/>
      <c r="O79" s="109"/>
    </row>
    <row r="80" spans="1:17" x14ac:dyDescent="0.25">
      <c r="A80" s="110" t="s">
        <v>1033</v>
      </c>
      <c r="B80" s="108"/>
      <c r="C80" s="109"/>
      <c r="D80" s="109"/>
      <c r="E80" s="109"/>
      <c r="F80" s="109"/>
      <c r="G80" s="109"/>
      <c r="H80" s="109"/>
      <c r="I80" s="109"/>
      <c r="J80" s="109"/>
      <c r="K80" s="109"/>
      <c r="L80" s="109"/>
      <c r="M80" s="109"/>
      <c r="N80" s="109"/>
      <c r="O80" s="109"/>
    </row>
    <row r="81" spans="1:15" x14ac:dyDescent="0.25">
      <c r="A81" s="110" t="s">
        <v>1034</v>
      </c>
      <c r="B81" s="108"/>
      <c r="C81" s="109"/>
      <c r="D81" s="109"/>
      <c r="E81" s="109"/>
      <c r="F81" s="109"/>
      <c r="G81" s="109"/>
      <c r="H81" s="109"/>
      <c r="I81" s="109"/>
      <c r="J81" s="109"/>
      <c r="K81" s="109"/>
      <c r="L81" s="109"/>
      <c r="M81" s="109"/>
      <c r="N81" s="109"/>
      <c r="O81" s="109"/>
    </row>
    <row r="82" spans="1:15" x14ac:dyDescent="0.25">
      <c r="A82" s="110" t="s">
        <v>1057</v>
      </c>
      <c r="B82" s="108"/>
      <c r="C82" s="109"/>
      <c r="D82" s="109"/>
      <c r="E82" s="109"/>
      <c r="F82" s="109"/>
      <c r="G82" s="109"/>
      <c r="H82" s="109"/>
      <c r="I82" s="109"/>
      <c r="J82" s="109"/>
      <c r="K82" s="109"/>
      <c r="L82" s="109"/>
      <c r="M82" s="109"/>
      <c r="N82" s="109"/>
      <c r="O82" s="109"/>
    </row>
    <row r="83" spans="1:15" x14ac:dyDescent="0.25">
      <c r="A83" s="110" t="s">
        <v>1054</v>
      </c>
      <c r="B83" s="108"/>
      <c r="C83" s="109"/>
      <c r="D83" s="109"/>
      <c r="E83" s="109"/>
      <c r="F83" s="109"/>
      <c r="G83" s="109"/>
      <c r="H83" s="109"/>
      <c r="I83" s="109"/>
      <c r="J83" s="109"/>
      <c r="K83" s="109"/>
      <c r="L83" s="109"/>
      <c r="M83" s="109"/>
      <c r="N83" s="109"/>
      <c r="O83" s="109"/>
    </row>
    <row r="84" spans="1:15" x14ac:dyDescent="0.25">
      <c r="A84" s="110" t="s">
        <v>1055</v>
      </c>
      <c r="B84" s="108"/>
      <c r="C84" s="109"/>
      <c r="D84" s="109"/>
      <c r="E84" s="109"/>
      <c r="F84" s="109"/>
      <c r="G84" s="109"/>
      <c r="H84" s="109"/>
      <c r="I84" s="109"/>
      <c r="J84" s="109"/>
      <c r="K84" s="109"/>
      <c r="L84" s="109"/>
      <c r="M84" s="109"/>
      <c r="N84" s="109"/>
      <c r="O84" s="109"/>
    </row>
    <row r="85" spans="1:15" x14ac:dyDescent="0.25">
      <c r="A85" s="110" t="s">
        <v>1056</v>
      </c>
      <c r="B85" s="108"/>
      <c r="C85" s="109"/>
      <c r="D85" s="109"/>
      <c r="E85" s="109"/>
      <c r="F85" s="109"/>
      <c r="G85" s="109"/>
      <c r="H85" s="109"/>
      <c r="I85" s="109"/>
      <c r="J85" s="109"/>
      <c r="K85" s="109"/>
      <c r="L85" s="109"/>
      <c r="M85" s="109"/>
      <c r="N85" s="109"/>
      <c r="O85" s="109"/>
    </row>
    <row r="87" spans="1:15" x14ac:dyDescent="0.25">
      <c r="A87" s="111" t="s">
        <v>107</v>
      </c>
      <c r="B87" s="112">
        <v>44623</v>
      </c>
      <c r="C87" s="113"/>
      <c r="D87" s="114" t="s">
        <v>108</v>
      </c>
      <c r="E87" s="113" t="s">
        <v>1029</v>
      </c>
      <c r="F87" s="113"/>
      <c r="G87" s="113"/>
      <c r="H87" s="113"/>
      <c r="I87" s="113" t="s">
        <v>964</v>
      </c>
      <c r="J87" s="113"/>
      <c r="K87" s="113"/>
      <c r="L87" s="113"/>
      <c r="M87" s="113"/>
      <c r="N87" s="113"/>
      <c r="O87" s="153"/>
    </row>
    <row r="88" spans="1:15" x14ac:dyDescent="0.25">
      <c r="A88" s="110" t="s">
        <v>1030</v>
      </c>
      <c r="B88" s="108"/>
      <c r="C88" s="108"/>
      <c r="D88" s="108"/>
      <c r="E88" s="108"/>
      <c r="F88" s="108"/>
      <c r="G88" s="108"/>
      <c r="H88" s="108"/>
      <c r="I88" s="108"/>
      <c r="J88" s="108"/>
      <c r="K88" s="108"/>
      <c r="L88" s="108"/>
      <c r="M88" s="108"/>
      <c r="N88" s="108"/>
      <c r="O88" s="153"/>
    </row>
    <row r="89" spans="1:15" x14ac:dyDescent="0.25">
      <c r="A89" s="110" t="s">
        <v>1032</v>
      </c>
      <c r="B89" s="153"/>
      <c r="C89" s="108"/>
      <c r="D89" s="108"/>
      <c r="E89" s="108"/>
      <c r="F89" s="108"/>
      <c r="G89" s="108"/>
      <c r="H89" s="108"/>
      <c r="I89" s="108"/>
      <c r="J89" s="108"/>
      <c r="K89" s="115"/>
      <c r="L89" s="108"/>
      <c r="M89" s="108"/>
      <c r="N89" s="108"/>
      <c r="O89" s="153"/>
    </row>
    <row r="90" spans="1:15" x14ac:dyDescent="0.25">
      <c r="A90" s="110" t="s">
        <v>1071</v>
      </c>
      <c r="B90" s="153"/>
      <c r="C90" s="153"/>
      <c r="D90" s="153"/>
      <c r="E90" s="153"/>
      <c r="F90" s="153"/>
      <c r="G90" s="153"/>
      <c r="H90" s="153"/>
      <c r="I90" s="153"/>
      <c r="J90" s="153"/>
      <c r="K90" s="153"/>
      <c r="L90" s="153"/>
      <c r="M90" s="153"/>
      <c r="N90" s="153"/>
      <c r="O90" s="153"/>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dimension ref="A1:B1"/>
  <sheetViews>
    <sheetView workbookViewId="0">
      <selection activeCell="B1" sqref="B1"/>
    </sheetView>
  </sheetViews>
  <sheetFormatPr defaultRowHeight="15" x14ac:dyDescent="0.25"/>
  <cols>
    <col min="1" max="1" width="19.7109375" customWidth="1"/>
    <col min="2" max="2" width="6.85546875" customWidth="1"/>
  </cols>
  <sheetData>
    <row r="1" spans="1:2" x14ac:dyDescent="0.25">
      <c r="A1" t="s">
        <v>441</v>
      </c>
      <c r="B1">
        <v>2022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50"/>
  </sheetPr>
  <dimension ref="A1:AX101"/>
  <sheetViews>
    <sheetView showGridLines="0" tabSelected="1" zoomScale="170" zoomScaleNormal="170" workbookViewId="0">
      <pane xSplit="5" ySplit="1" topLeftCell="F2" activePane="bottomRight" state="frozen"/>
      <selection pane="topRight" activeCell="D1" sqref="D1"/>
      <selection pane="bottomLeft" activeCell="A2" sqref="A2"/>
      <selection pane="bottomRight" activeCell="AT99" sqref="AT99"/>
    </sheetView>
  </sheetViews>
  <sheetFormatPr defaultRowHeight="9" customHeight="1" x14ac:dyDescent="0.2"/>
  <cols>
    <col min="1" max="1" width="12.42578125" style="30" customWidth="1"/>
    <col min="2" max="2" width="3" style="38" customWidth="1"/>
    <col min="3" max="3" width="3.140625" style="38" hidden="1" customWidth="1"/>
    <col min="4" max="4" width="3.5703125" style="42" hidden="1" customWidth="1"/>
    <col min="5" max="5" width="8.85546875" style="29" bestFit="1" customWidth="1"/>
    <col min="6" max="6" width="6.140625" style="29" bestFit="1" customWidth="1"/>
    <col min="7" max="7" width="5.28515625" style="29" bestFit="1" customWidth="1"/>
    <col min="8" max="8" width="6.140625" style="29" bestFit="1" customWidth="1"/>
    <col min="9" max="9" width="6.5703125" style="27" customWidth="1"/>
    <col min="10" max="41" width="5.42578125" style="27" customWidth="1"/>
    <col min="42" max="42" width="8" style="27" customWidth="1"/>
    <col min="43" max="43" width="8.28515625" style="27" customWidth="1"/>
    <col min="44" max="44" width="7.28515625" style="27" customWidth="1"/>
    <col min="45" max="49" width="7.140625" style="27" customWidth="1"/>
    <col min="50" max="50" width="7.28515625" style="29" customWidth="1"/>
    <col min="51" max="51" width="4.85546875" style="29" customWidth="1"/>
    <col min="52" max="52" width="7" style="29" customWidth="1"/>
    <col min="53" max="266" width="9.140625" style="29"/>
    <col min="267" max="267" width="13.28515625" style="29" customWidth="1"/>
    <col min="268" max="268" width="3.5703125" style="29" customWidth="1"/>
    <col min="269" max="269" width="3.85546875" style="29" customWidth="1"/>
    <col min="270" max="270" width="3.7109375" style="29" customWidth="1"/>
    <col min="271" max="271" width="8.85546875" style="29" bestFit="1" customWidth="1"/>
    <col min="272" max="272" width="6.140625" style="29" customWidth="1"/>
    <col min="273" max="273" width="6.85546875" style="29" customWidth="1"/>
    <col min="274" max="274" width="7" style="29" customWidth="1"/>
    <col min="275" max="290" width="6.140625" style="29" bestFit="1" customWidth="1"/>
    <col min="291" max="291" width="7.7109375" style="29" customWidth="1"/>
    <col min="292" max="294" width="6.7109375" style="29" customWidth="1"/>
    <col min="295" max="295" width="6.42578125" style="29" customWidth="1"/>
    <col min="296" max="296" width="6.7109375" style="29" customWidth="1"/>
    <col min="297" max="303" width="7.7109375" style="29" customWidth="1"/>
    <col min="304" max="305" width="7.28515625" style="29" customWidth="1"/>
    <col min="306" max="306" width="6.85546875" style="29" customWidth="1"/>
    <col min="307" max="307" width="1.140625" style="29" customWidth="1"/>
    <col min="308" max="308" width="7" style="29" customWidth="1"/>
    <col min="309" max="522" width="9.140625" style="29"/>
    <col min="523" max="523" width="13.28515625" style="29" customWidth="1"/>
    <col min="524" max="524" width="3.5703125" style="29" customWidth="1"/>
    <col min="525" max="525" width="3.85546875" style="29" customWidth="1"/>
    <col min="526" max="526" width="3.7109375" style="29" customWidth="1"/>
    <col min="527" max="527" width="8.85546875" style="29" bestFit="1" customWidth="1"/>
    <col min="528" max="528" width="6.140625" style="29" customWidth="1"/>
    <col min="529" max="529" width="6.85546875" style="29" customWidth="1"/>
    <col min="530" max="530" width="7" style="29" customWidth="1"/>
    <col min="531" max="546" width="6.140625" style="29" bestFit="1" customWidth="1"/>
    <col min="547" max="547" width="7.7109375" style="29" customWidth="1"/>
    <col min="548" max="550" width="6.7109375" style="29" customWidth="1"/>
    <col min="551" max="551" width="6.42578125" style="29" customWidth="1"/>
    <col min="552" max="552" width="6.7109375" style="29" customWidth="1"/>
    <col min="553" max="559" width="7.7109375" style="29" customWidth="1"/>
    <col min="560" max="561" width="7.28515625" style="29" customWidth="1"/>
    <col min="562" max="562" width="6.85546875" style="29" customWidth="1"/>
    <col min="563" max="563" width="1.140625" style="29" customWidth="1"/>
    <col min="564" max="564" width="7" style="29" customWidth="1"/>
    <col min="565" max="778" width="9.140625" style="29"/>
    <col min="779" max="779" width="13.28515625" style="29" customWidth="1"/>
    <col min="780" max="780" width="3.5703125" style="29" customWidth="1"/>
    <col min="781" max="781" width="3.85546875" style="29" customWidth="1"/>
    <col min="782" max="782" width="3.7109375" style="29" customWidth="1"/>
    <col min="783" max="783" width="8.85546875" style="29" bestFit="1" customWidth="1"/>
    <col min="784" max="784" width="6.140625" style="29" customWidth="1"/>
    <col min="785" max="785" width="6.85546875" style="29" customWidth="1"/>
    <col min="786" max="786" width="7" style="29" customWidth="1"/>
    <col min="787" max="802" width="6.140625" style="29" bestFit="1" customWidth="1"/>
    <col min="803" max="803" width="7.7109375" style="29" customWidth="1"/>
    <col min="804" max="806" width="6.7109375" style="29" customWidth="1"/>
    <col min="807" max="807" width="6.42578125" style="29" customWidth="1"/>
    <col min="808" max="808" width="6.7109375" style="29" customWidth="1"/>
    <col min="809" max="815" width="7.7109375" style="29" customWidth="1"/>
    <col min="816" max="817" width="7.28515625" style="29" customWidth="1"/>
    <col min="818" max="818" width="6.85546875" style="29" customWidth="1"/>
    <col min="819" max="819" width="1.140625" style="29" customWidth="1"/>
    <col min="820" max="820" width="7" style="29" customWidth="1"/>
    <col min="821" max="1034" width="9.140625" style="29"/>
    <col min="1035" max="1035" width="13.28515625" style="29" customWidth="1"/>
    <col min="1036" max="1036" width="3.5703125" style="29" customWidth="1"/>
    <col min="1037" max="1037" width="3.85546875" style="29" customWidth="1"/>
    <col min="1038" max="1038" width="3.7109375" style="29" customWidth="1"/>
    <col min="1039" max="1039" width="8.85546875" style="29" bestFit="1" customWidth="1"/>
    <col min="1040" max="1040" width="6.140625" style="29" customWidth="1"/>
    <col min="1041" max="1041" width="6.85546875" style="29" customWidth="1"/>
    <col min="1042" max="1042" width="7" style="29" customWidth="1"/>
    <col min="1043" max="1058" width="6.140625" style="29" bestFit="1" customWidth="1"/>
    <col min="1059" max="1059" width="7.7109375" style="29" customWidth="1"/>
    <col min="1060" max="1062" width="6.7109375" style="29" customWidth="1"/>
    <col min="1063" max="1063" width="6.42578125" style="29" customWidth="1"/>
    <col min="1064" max="1064" width="6.7109375" style="29" customWidth="1"/>
    <col min="1065" max="1071" width="7.7109375" style="29" customWidth="1"/>
    <col min="1072" max="1073" width="7.28515625" style="29" customWidth="1"/>
    <col min="1074" max="1074" width="6.85546875" style="29" customWidth="1"/>
    <col min="1075" max="1075" width="1.140625" style="29" customWidth="1"/>
    <col min="1076" max="1076" width="7" style="29" customWidth="1"/>
    <col min="1077" max="1290" width="9.140625" style="29"/>
    <col min="1291" max="1291" width="13.28515625" style="29" customWidth="1"/>
    <col min="1292" max="1292" width="3.5703125" style="29" customWidth="1"/>
    <col min="1293" max="1293" width="3.85546875" style="29" customWidth="1"/>
    <col min="1294" max="1294" width="3.7109375" style="29" customWidth="1"/>
    <col min="1295" max="1295" width="8.85546875" style="29" bestFit="1" customWidth="1"/>
    <col min="1296" max="1296" width="6.140625" style="29" customWidth="1"/>
    <col min="1297" max="1297" width="6.85546875" style="29" customWidth="1"/>
    <col min="1298" max="1298" width="7" style="29" customWidth="1"/>
    <col min="1299" max="1314" width="6.140625" style="29" bestFit="1" customWidth="1"/>
    <col min="1315" max="1315" width="7.7109375" style="29" customWidth="1"/>
    <col min="1316" max="1318" width="6.7109375" style="29" customWidth="1"/>
    <col min="1319" max="1319" width="6.42578125" style="29" customWidth="1"/>
    <col min="1320" max="1320" width="6.7109375" style="29" customWidth="1"/>
    <col min="1321" max="1327" width="7.7109375" style="29" customWidth="1"/>
    <col min="1328" max="1329" width="7.28515625" style="29" customWidth="1"/>
    <col min="1330" max="1330" width="6.85546875" style="29" customWidth="1"/>
    <col min="1331" max="1331" width="1.140625" style="29" customWidth="1"/>
    <col min="1332" max="1332" width="7" style="29" customWidth="1"/>
    <col min="1333" max="1546" width="9.140625" style="29"/>
    <col min="1547" max="1547" width="13.28515625" style="29" customWidth="1"/>
    <col min="1548" max="1548" width="3.5703125" style="29" customWidth="1"/>
    <col min="1549" max="1549" width="3.85546875" style="29" customWidth="1"/>
    <col min="1550" max="1550" width="3.7109375" style="29" customWidth="1"/>
    <col min="1551" max="1551" width="8.85546875" style="29" bestFit="1" customWidth="1"/>
    <col min="1552" max="1552" width="6.140625" style="29" customWidth="1"/>
    <col min="1553" max="1553" width="6.85546875" style="29" customWidth="1"/>
    <col min="1554" max="1554" width="7" style="29" customWidth="1"/>
    <col min="1555" max="1570" width="6.140625" style="29" bestFit="1" customWidth="1"/>
    <col min="1571" max="1571" width="7.7109375" style="29" customWidth="1"/>
    <col min="1572" max="1574" width="6.7109375" style="29" customWidth="1"/>
    <col min="1575" max="1575" width="6.42578125" style="29" customWidth="1"/>
    <col min="1576" max="1576" width="6.7109375" style="29" customWidth="1"/>
    <col min="1577" max="1583" width="7.7109375" style="29" customWidth="1"/>
    <col min="1584" max="1585" width="7.28515625" style="29" customWidth="1"/>
    <col min="1586" max="1586" width="6.85546875" style="29" customWidth="1"/>
    <col min="1587" max="1587" width="1.140625" style="29" customWidth="1"/>
    <col min="1588" max="1588" width="7" style="29" customWidth="1"/>
    <col min="1589" max="1802" width="9.140625" style="29"/>
    <col min="1803" max="1803" width="13.28515625" style="29" customWidth="1"/>
    <col min="1804" max="1804" width="3.5703125" style="29" customWidth="1"/>
    <col min="1805" max="1805" width="3.85546875" style="29" customWidth="1"/>
    <col min="1806" max="1806" width="3.7109375" style="29" customWidth="1"/>
    <col min="1807" max="1807" width="8.85546875" style="29" bestFit="1" customWidth="1"/>
    <col min="1808" max="1808" width="6.140625" style="29" customWidth="1"/>
    <col min="1809" max="1809" width="6.85546875" style="29" customWidth="1"/>
    <col min="1810" max="1810" width="7" style="29" customWidth="1"/>
    <col min="1811" max="1826" width="6.140625" style="29" bestFit="1" customWidth="1"/>
    <col min="1827" max="1827" width="7.7109375" style="29" customWidth="1"/>
    <col min="1828" max="1830" width="6.7109375" style="29" customWidth="1"/>
    <col min="1831" max="1831" width="6.42578125" style="29" customWidth="1"/>
    <col min="1832" max="1832" width="6.7109375" style="29" customWidth="1"/>
    <col min="1833" max="1839" width="7.7109375" style="29" customWidth="1"/>
    <col min="1840" max="1841" width="7.28515625" style="29" customWidth="1"/>
    <col min="1842" max="1842" width="6.85546875" style="29" customWidth="1"/>
    <col min="1843" max="1843" width="1.140625" style="29" customWidth="1"/>
    <col min="1844" max="1844" width="7" style="29" customWidth="1"/>
    <col min="1845" max="2058" width="9.140625" style="29"/>
    <col min="2059" max="2059" width="13.28515625" style="29" customWidth="1"/>
    <col min="2060" max="2060" width="3.5703125" style="29" customWidth="1"/>
    <col min="2061" max="2061" width="3.85546875" style="29" customWidth="1"/>
    <col min="2062" max="2062" width="3.7109375" style="29" customWidth="1"/>
    <col min="2063" max="2063" width="8.85546875" style="29" bestFit="1" customWidth="1"/>
    <col min="2064" max="2064" width="6.140625" style="29" customWidth="1"/>
    <col min="2065" max="2065" width="6.85546875" style="29" customWidth="1"/>
    <col min="2066" max="2066" width="7" style="29" customWidth="1"/>
    <col min="2067" max="2082" width="6.140625" style="29" bestFit="1" customWidth="1"/>
    <col min="2083" max="2083" width="7.7109375" style="29" customWidth="1"/>
    <col min="2084" max="2086" width="6.7109375" style="29" customWidth="1"/>
    <col min="2087" max="2087" width="6.42578125" style="29" customWidth="1"/>
    <col min="2088" max="2088" width="6.7109375" style="29" customWidth="1"/>
    <col min="2089" max="2095" width="7.7109375" style="29" customWidth="1"/>
    <col min="2096" max="2097" width="7.28515625" style="29" customWidth="1"/>
    <col min="2098" max="2098" width="6.85546875" style="29" customWidth="1"/>
    <col min="2099" max="2099" width="1.140625" style="29" customWidth="1"/>
    <col min="2100" max="2100" width="7" style="29" customWidth="1"/>
    <col min="2101" max="2314" width="9.140625" style="29"/>
    <col min="2315" max="2315" width="13.28515625" style="29" customWidth="1"/>
    <col min="2316" max="2316" width="3.5703125" style="29" customWidth="1"/>
    <col min="2317" max="2317" width="3.85546875" style="29" customWidth="1"/>
    <col min="2318" max="2318" width="3.7109375" style="29" customWidth="1"/>
    <col min="2319" max="2319" width="8.85546875" style="29" bestFit="1" customWidth="1"/>
    <col min="2320" max="2320" width="6.140625" style="29" customWidth="1"/>
    <col min="2321" max="2321" width="6.85546875" style="29" customWidth="1"/>
    <col min="2322" max="2322" width="7" style="29" customWidth="1"/>
    <col min="2323" max="2338" width="6.140625" style="29" bestFit="1" customWidth="1"/>
    <col min="2339" max="2339" width="7.7109375" style="29" customWidth="1"/>
    <col min="2340" max="2342" width="6.7109375" style="29" customWidth="1"/>
    <col min="2343" max="2343" width="6.42578125" style="29" customWidth="1"/>
    <col min="2344" max="2344" width="6.7109375" style="29" customWidth="1"/>
    <col min="2345" max="2351" width="7.7109375" style="29" customWidth="1"/>
    <col min="2352" max="2353" width="7.28515625" style="29" customWidth="1"/>
    <col min="2354" max="2354" width="6.85546875" style="29" customWidth="1"/>
    <col min="2355" max="2355" width="1.140625" style="29" customWidth="1"/>
    <col min="2356" max="2356" width="7" style="29" customWidth="1"/>
    <col min="2357" max="2570" width="9.140625" style="29"/>
    <col min="2571" max="2571" width="13.28515625" style="29" customWidth="1"/>
    <col min="2572" max="2572" width="3.5703125" style="29" customWidth="1"/>
    <col min="2573" max="2573" width="3.85546875" style="29" customWidth="1"/>
    <col min="2574" max="2574" width="3.7109375" style="29" customWidth="1"/>
    <col min="2575" max="2575" width="8.85546875" style="29" bestFit="1" customWidth="1"/>
    <col min="2576" max="2576" width="6.140625" style="29" customWidth="1"/>
    <col min="2577" max="2577" width="6.85546875" style="29" customWidth="1"/>
    <col min="2578" max="2578" width="7" style="29" customWidth="1"/>
    <col min="2579" max="2594" width="6.140625" style="29" bestFit="1" customWidth="1"/>
    <col min="2595" max="2595" width="7.7109375" style="29" customWidth="1"/>
    <col min="2596" max="2598" width="6.7109375" style="29" customWidth="1"/>
    <col min="2599" max="2599" width="6.42578125" style="29" customWidth="1"/>
    <col min="2600" max="2600" width="6.7109375" style="29" customWidth="1"/>
    <col min="2601" max="2607" width="7.7109375" style="29" customWidth="1"/>
    <col min="2608" max="2609" width="7.28515625" style="29" customWidth="1"/>
    <col min="2610" max="2610" width="6.85546875" style="29" customWidth="1"/>
    <col min="2611" max="2611" width="1.140625" style="29" customWidth="1"/>
    <col min="2612" max="2612" width="7" style="29" customWidth="1"/>
    <col min="2613" max="2826" width="9.140625" style="29"/>
    <col min="2827" max="2827" width="13.28515625" style="29" customWidth="1"/>
    <col min="2828" max="2828" width="3.5703125" style="29" customWidth="1"/>
    <col min="2829" max="2829" width="3.85546875" style="29" customWidth="1"/>
    <col min="2830" max="2830" width="3.7109375" style="29" customWidth="1"/>
    <col min="2831" max="2831" width="8.85546875" style="29" bestFit="1" customWidth="1"/>
    <col min="2832" max="2832" width="6.140625" style="29" customWidth="1"/>
    <col min="2833" max="2833" width="6.85546875" style="29" customWidth="1"/>
    <col min="2834" max="2834" width="7" style="29" customWidth="1"/>
    <col min="2835" max="2850" width="6.140625" style="29" bestFit="1" customWidth="1"/>
    <col min="2851" max="2851" width="7.7109375" style="29" customWidth="1"/>
    <col min="2852" max="2854" width="6.7109375" style="29" customWidth="1"/>
    <col min="2855" max="2855" width="6.42578125" style="29" customWidth="1"/>
    <col min="2856" max="2856" width="6.7109375" style="29" customWidth="1"/>
    <col min="2857" max="2863" width="7.7109375" style="29" customWidth="1"/>
    <col min="2864" max="2865" width="7.28515625" style="29" customWidth="1"/>
    <col min="2866" max="2866" width="6.85546875" style="29" customWidth="1"/>
    <col min="2867" max="2867" width="1.140625" style="29" customWidth="1"/>
    <col min="2868" max="2868" width="7" style="29" customWidth="1"/>
    <col min="2869" max="3082" width="9.140625" style="29"/>
    <col min="3083" max="3083" width="13.28515625" style="29" customWidth="1"/>
    <col min="3084" max="3084" width="3.5703125" style="29" customWidth="1"/>
    <col min="3085" max="3085" width="3.85546875" style="29" customWidth="1"/>
    <col min="3086" max="3086" width="3.7109375" style="29" customWidth="1"/>
    <col min="3087" max="3087" width="8.85546875" style="29" bestFit="1" customWidth="1"/>
    <col min="3088" max="3088" width="6.140625" style="29" customWidth="1"/>
    <col min="3089" max="3089" width="6.85546875" style="29" customWidth="1"/>
    <col min="3090" max="3090" width="7" style="29" customWidth="1"/>
    <col min="3091" max="3106" width="6.140625" style="29" bestFit="1" customWidth="1"/>
    <col min="3107" max="3107" width="7.7109375" style="29" customWidth="1"/>
    <col min="3108" max="3110" width="6.7109375" style="29" customWidth="1"/>
    <col min="3111" max="3111" width="6.42578125" style="29" customWidth="1"/>
    <col min="3112" max="3112" width="6.7109375" style="29" customWidth="1"/>
    <col min="3113" max="3119" width="7.7109375" style="29" customWidth="1"/>
    <col min="3120" max="3121" width="7.28515625" style="29" customWidth="1"/>
    <col min="3122" max="3122" width="6.85546875" style="29" customWidth="1"/>
    <col min="3123" max="3123" width="1.140625" style="29" customWidth="1"/>
    <col min="3124" max="3124" width="7" style="29" customWidth="1"/>
    <col min="3125" max="3338" width="9.140625" style="29"/>
    <col min="3339" max="3339" width="13.28515625" style="29" customWidth="1"/>
    <col min="3340" max="3340" width="3.5703125" style="29" customWidth="1"/>
    <col min="3341" max="3341" width="3.85546875" style="29" customWidth="1"/>
    <col min="3342" max="3342" width="3.7109375" style="29" customWidth="1"/>
    <col min="3343" max="3343" width="8.85546875" style="29" bestFit="1" customWidth="1"/>
    <col min="3344" max="3344" width="6.140625" style="29" customWidth="1"/>
    <col min="3345" max="3345" width="6.85546875" style="29" customWidth="1"/>
    <col min="3346" max="3346" width="7" style="29" customWidth="1"/>
    <col min="3347" max="3362" width="6.140625" style="29" bestFit="1" customWidth="1"/>
    <col min="3363" max="3363" width="7.7109375" style="29" customWidth="1"/>
    <col min="3364" max="3366" width="6.7109375" style="29" customWidth="1"/>
    <col min="3367" max="3367" width="6.42578125" style="29" customWidth="1"/>
    <col min="3368" max="3368" width="6.7109375" style="29" customWidth="1"/>
    <col min="3369" max="3375" width="7.7109375" style="29" customWidth="1"/>
    <col min="3376" max="3377" width="7.28515625" style="29" customWidth="1"/>
    <col min="3378" max="3378" width="6.85546875" style="29" customWidth="1"/>
    <col min="3379" max="3379" width="1.140625" style="29" customWidth="1"/>
    <col min="3380" max="3380" width="7" style="29" customWidth="1"/>
    <col min="3381" max="3594" width="9.140625" style="29"/>
    <col min="3595" max="3595" width="13.28515625" style="29" customWidth="1"/>
    <col min="3596" max="3596" width="3.5703125" style="29" customWidth="1"/>
    <col min="3597" max="3597" width="3.85546875" style="29" customWidth="1"/>
    <col min="3598" max="3598" width="3.7109375" style="29" customWidth="1"/>
    <col min="3599" max="3599" width="8.85546875" style="29" bestFit="1" customWidth="1"/>
    <col min="3600" max="3600" width="6.140625" style="29" customWidth="1"/>
    <col min="3601" max="3601" width="6.85546875" style="29" customWidth="1"/>
    <col min="3602" max="3602" width="7" style="29" customWidth="1"/>
    <col min="3603" max="3618" width="6.140625" style="29" bestFit="1" customWidth="1"/>
    <col min="3619" max="3619" width="7.7109375" style="29" customWidth="1"/>
    <col min="3620" max="3622" width="6.7109375" style="29" customWidth="1"/>
    <col min="3623" max="3623" width="6.42578125" style="29" customWidth="1"/>
    <col min="3624" max="3624" width="6.7109375" style="29" customWidth="1"/>
    <col min="3625" max="3631" width="7.7109375" style="29" customWidth="1"/>
    <col min="3632" max="3633" width="7.28515625" style="29" customWidth="1"/>
    <col min="3634" max="3634" width="6.85546875" style="29" customWidth="1"/>
    <col min="3635" max="3635" width="1.140625" style="29" customWidth="1"/>
    <col min="3636" max="3636" width="7" style="29" customWidth="1"/>
    <col min="3637" max="3850" width="9.140625" style="29"/>
    <col min="3851" max="3851" width="13.28515625" style="29" customWidth="1"/>
    <col min="3852" max="3852" width="3.5703125" style="29" customWidth="1"/>
    <col min="3853" max="3853" width="3.85546875" style="29" customWidth="1"/>
    <col min="3854" max="3854" width="3.7109375" style="29" customWidth="1"/>
    <col min="3855" max="3855" width="8.85546875" style="29" bestFit="1" customWidth="1"/>
    <col min="3856" max="3856" width="6.140625" style="29" customWidth="1"/>
    <col min="3857" max="3857" width="6.85546875" style="29" customWidth="1"/>
    <col min="3858" max="3858" width="7" style="29" customWidth="1"/>
    <col min="3859" max="3874" width="6.140625" style="29" bestFit="1" customWidth="1"/>
    <col min="3875" max="3875" width="7.7109375" style="29" customWidth="1"/>
    <col min="3876" max="3878" width="6.7109375" style="29" customWidth="1"/>
    <col min="3879" max="3879" width="6.42578125" style="29" customWidth="1"/>
    <col min="3880" max="3880" width="6.7109375" style="29" customWidth="1"/>
    <col min="3881" max="3887" width="7.7109375" style="29" customWidth="1"/>
    <col min="3888" max="3889" width="7.28515625" style="29" customWidth="1"/>
    <col min="3890" max="3890" width="6.85546875" style="29" customWidth="1"/>
    <col min="3891" max="3891" width="1.140625" style="29" customWidth="1"/>
    <col min="3892" max="3892" width="7" style="29" customWidth="1"/>
    <col min="3893" max="4106" width="9.140625" style="29"/>
    <col min="4107" max="4107" width="13.28515625" style="29" customWidth="1"/>
    <col min="4108" max="4108" width="3.5703125" style="29" customWidth="1"/>
    <col min="4109" max="4109" width="3.85546875" style="29" customWidth="1"/>
    <col min="4110" max="4110" width="3.7109375" style="29" customWidth="1"/>
    <col min="4111" max="4111" width="8.85546875" style="29" bestFit="1" customWidth="1"/>
    <col min="4112" max="4112" width="6.140625" style="29" customWidth="1"/>
    <col min="4113" max="4113" width="6.85546875" style="29" customWidth="1"/>
    <col min="4114" max="4114" width="7" style="29" customWidth="1"/>
    <col min="4115" max="4130" width="6.140625" style="29" bestFit="1" customWidth="1"/>
    <col min="4131" max="4131" width="7.7109375" style="29" customWidth="1"/>
    <col min="4132" max="4134" width="6.7109375" style="29" customWidth="1"/>
    <col min="4135" max="4135" width="6.42578125" style="29" customWidth="1"/>
    <col min="4136" max="4136" width="6.7109375" style="29" customWidth="1"/>
    <col min="4137" max="4143" width="7.7109375" style="29" customWidth="1"/>
    <col min="4144" max="4145" width="7.28515625" style="29" customWidth="1"/>
    <col min="4146" max="4146" width="6.85546875" style="29" customWidth="1"/>
    <col min="4147" max="4147" width="1.140625" style="29" customWidth="1"/>
    <col min="4148" max="4148" width="7" style="29" customWidth="1"/>
    <col min="4149" max="4362" width="9.140625" style="29"/>
    <col min="4363" max="4363" width="13.28515625" style="29" customWidth="1"/>
    <col min="4364" max="4364" width="3.5703125" style="29" customWidth="1"/>
    <col min="4365" max="4365" width="3.85546875" style="29" customWidth="1"/>
    <col min="4366" max="4366" width="3.7109375" style="29" customWidth="1"/>
    <col min="4367" max="4367" width="8.85546875" style="29" bestFit="1" customWidth="1"/>
    <col min="4368" max="4368" width="6.140625" style="29" customWidth="1"/>
    <col min="4369" max="4369" width="6.85546875" style="29" customWidth="1"/>
    <col min="4370" max="4370" width="7" style="29" customWidth="1"/>
    <col min="4371" max="4386" width="6.140625" style="29" bestFit="1" customWidth="1"/>
    <col min="4387" max="4387" width="7.7109375" style="29" customWidth="1"/>
    <col min="4388" max="4390" width="6.7109375" style="29" customWidth="1"/>
    <col min="4391" max="4391" width="6.42578125" style="29" customWidth="1"/>
    <col min="4392" max="4392" width="6.7109375" style="29" customWidth="1"/>
    <col min="4393" max="4399" width="7.7109375" style="29" customWidth="1"/>
    <col min="4400" max="4401" width="7.28515625" style="29" customWidth="1"/>
    <col min="4402" max="4402" width="6.85546875" style="29" customWidth="1"/>
    <col min="4403" max="4403" width="1.140625" style="29" customWidth="1"/>
    <col min="4404" max="4404" width="7" style="29" customWidth="1"/>
    <col min="4405" max="4618" width="9.140625" style="29"/>
    <col min="4619" max="4619" width="13.28515625" style="29" customWidth="1"/>
    <col min="4620" max="4620" width="3.5703125" style="29" customWidth="1"/>
    <col min="4621" max="4621" width="3.85546875" style="29" customWidth="1"/>
    <col min="4622" max="4622" width="3.7109375" style="29" customWidth="1"/>
    <col min="4623" max="4623" width="8.85546875" style="29" bestFit="1" customWidth="1"/>
    <col min="4624" max="4624" width="6.140625" style="29" customWidth="1"/>
    <col min="4625" max="4625" width="6.85546875" style="29" customWidth="1"/>
    <col min="4626" max="4626" width="7" style="29" customWidth="1"/>
    <col min="4627" max="4642" width="6.140625" style="29" bestFit="1" customWidth="1"/>
    <col min="4643" max="4643" width="7.7109375" style="29" customWidth="1"/>
    <col min="4644" max="4646" width="6.7109375" style="29" customWidth="1"/>
    <col min="4647" max="4647" width="6.42578125" style="29" customWidth="1"/>
    <col min="4648" max="4648" width="6.7109375" style="29" customWidth="1"/>
    <col min="4649" max="4655" width="7.7109375" style="29" customWidth="1"/>
    <col min="4656" max="4657" width="7.28515625" style="29" customWidth="1"/>
    <col min="4658" max="4658" width="6.85546875" style="29" customWidth="1"/>
    <col min="4659" max="4659" width="1.140625" style="29" customWidth="1"/>
    <col min="4660" max="4660" width="7" style="29" customWidth="1"/>
    <col min="4661" max="4874" width="9.140625" style="29"/>
    <col min="4875" max="4875" width="13.28515625" style="29" customWidth="1"/>
    <col min="4876" max="4876" width="3.5703125" style="29" customWidth="1"/>
    <col min="4877" max="4877" width="3.85546875" style="29" customWidth="1"/>
    <col min="4878" max="4878" width="3.7109375" style="29" customWidth="1"/>
    <col min="4879" max="4879" width="8.85546875" style="29" bestFit="1" customWidth="1"/>
    <col min="4880" max="4880" width="6.140625" style="29" customWidth="1"/>
    <col min="4881" max="4881" width="6.85546875" style="29" customWidth="1"/>
    <col min="4882" max="4882" width="7" style="29" customWidth="1"/>
    <col min="4883" max="4898" width="6.140625" style="29" bestFit="1" customWidth="1"/>
    <col min="4899" max="4899" width="7.7109375" style="29" customWidth="1"/>
    <col min="4900" max="4902" width="6.7109375" style="29" customWidth="1"/>
    <col min="4903" max="4903" width="6.42578125" style="29" customWidth="1"/>
    <col min="4904" max="4904" width="6.7109375" style="29" customWidth="1"/>
    <col min="4905" max="4911" width="7.7109375" style="29" customWidth="1"/>
    <col min="4912" max="4913" width="7.28515625" style="29" customWidth="1"/>
    <col min="4914" max="4914" width="6.85546875" style="29" customWidth="1"/>
    <col min="4915" max="4915" width="1.140625" style="29" customWidth="1"/>
    <col min="4916" max="4916" width="7" style="29" customWidth="1"/>
    <col min="4917" max="5130" width="9.140625" style="29"/>
    <col min="5131" max="5131" width="13.28515625" style="29" customWidth="1"/>
    <col min="5132" max="5132" width="3.5703125" style="29" customWidth="1"/>
    <col min="5133" max="5133" width="3.85546875" style="29" customWidth="1"/>
    <col min="5134" max="5134" width="3.7109375" style="29" customWidth="1"/>
    <col min="5135" max="5135" width="8.85546875" style="29" bestFit="1" customWidth="1"/>
    <col min="5136" max="5136" width="6.140625" style="29" customWidth="1"/>
    <col min="5137" max="5137" width="6.85546875" style="29" customWidth="1"/>
    <col min="5138" max="5138" width="7" style="29" customWidth="1"/>
    <col min="5139" max="5154" width="6.140625" style="29" bestFit="1" customWidth="1"/>
    <col min="5155" max="5155" width="7.7109375" style="29" customWidth="1"/>
    <col min="5156" max="5158" width="6.7109375" style="29" customWidth="1"/>
    <col min="5159" max="5159" width="6.42578125" style="29" customWidth="1"/>
    <col min="5160" max="5160" width="6.7109375" style="29" customWidth="1"/>
    <col min="5161" max="5167" width="7.7109375" style="29" customWidth="1"/>
    <col min="5168" max="5169" width="7.28515625" style="29" customWidth="1"/>
    <col min="5170" max="5170" width="6.85546875" style="29" customWidth="1"/>
    <col min="5171" max="5171" width="1.140625" style="29" customWidth="1"/>
    <col min="5172" max="5172" width="7" style="29" customWidth="1"/>
    <col min="5173" max="5386" width="9.140625" style="29"/>
    <col min="5387" max="5387" width="13.28515625" style="29" customWidth="1"/>
    <col min="5388" max="5388" width="3.5703125" style="29" customWidth="1"/>
    <col min="5389" max="5389" width="3.85546875" style="29" customWidth="1"/>
    <col min="5390" max="5390" width="3.7109375" style="29" customWidth="1"/>
    <col min="5391" max="5391" width="8.85546875" style="29" bestFit="1" customWidth="1"/>
    <col min="5392" max="5392" width="6.140625" style="29" customWidth="1"/>
    <col min="5393" max="5393" width="6.85546875" style="29" customWidth="1"/>
    <col min="5394" max="5394" width="7" style="29" customWidth="1"/>
    <col min="5395" max="5410" width="6.140625" style="29" bestFit="1" customWidth="1"/>
    <col min="5411" max="5411" width="7.7109375" style="29" customWidth="1"/>
    <col min="5412" max="5414" width="6.7109375" style="29" customWidth="1"/>
    <col min="5415" max="5415" width="6.42578125" style="29" customWidth="1"/>
    <col min="5416" max="5416" width="6.7109375" style="29" customWidth="1"/>
    <col min="5417" max="5423" width="7.7109375" style="29" customWidth="1"/>
    <col min="5424" max="5425" width="7.28515625" style="29" customWidth="1"/>
    <col min="5426" max="5426" width="6.85546875" style="29" customWidth="1"/>
    <col min="5427" max="5427" width="1.140625" style="29" customWidth="1"/>
    <col min="5428" max="5428" width="7" style="29" customWidth="1"/>
    <col min="5429" max="5642" width="9.140625" style="29"/>
    <col min="5643" max="5643" width="13.28515625" style="29" customWidth="1"/>
    <col min="5644" max="5644" width="3.5703125" style="29" customWidth="1"/>
    <col min="5645" max="5645" width="3.85546875" style="29" customWidth="1"/>
    <col min="5646" max="5646" width="3.7109375" style="29" customWidth="1"/>
    <col min="5647" max="5647" width="8.85546875" style="29" bestFit="1" customWidth="1"/>
    <col min="5648" max="5648" width="6.140625" style="29" customWidth="1"/>
    <col min="5649" max="5649" width="6.85546875" style="29" customWidth="1"/>
    <col min="5650" max="5650" width="7" style="29" customWidth="1"/>
    <col min="5651" max="5666" width="6.140625" style="29" bestFit="1" customWidth="1"/>
    <col min="5667" max="5667" width="7.7109375" style="29" customWidth="1"/>
    <col min="5668" max="5670" width="6.7109375" style="29" customWidth="1"/>
    <col min="5671" max="5671" width="6.42578125" style="29" customWidth="1"/>
    <col min="5672" max="5672" width="6.7109375" style="29" customWidth="1"/>
    <col min="5673" max="5679" width="7.7109375" style="29" customWidth="1"/>
    <col min="5680" max="5681" width="7.28515625" style="29" customWidth="1"/>
    <col min="5682" max="5682" width="6.85546875" style="29" customWidth="1"/>
    <col min="5683" max="5683" width="1.140625" style="29" customWidth="1"/>
    <col min="5684" max="5684" width="7" style="29" customWidth="1"/>
    <col min="5685" max="5898" width="9.140625" style="29"/>
    <col min="5899" max="5899" width="13.28515625" style="29" customWidth="1"/>
    <col min="5900" max="5900" width="3.5703125" style="29" customWidth="1"/>
    <col min="5901" max="5901" width="3.85546875" style="29" customWidth="1"/>
    <col min="5902" max="5902" width="3.7109375" style="29" customWidth="1"/>
    <col min="5903" max="5903" width="8.85546875" style="29" bestFit="1" customWidth="1"/>
    <col min="5904" max="5904" width="6.140625" style="29" customWidth="1"/>
    <col min="5905" max="5905" width="6.85546875" style="29" customWidth="1"/>
    <col min="5906" max="5906" width="7" style="29" customWidth="1"/>
    <col min="5907" max="5922" width="6.140625" style="29" bestFit="1" customWidth="1"/>
    <col min="5923" max="5923" width="7.7109375" style="29" customWidth="1"/>
    <col min="5924" max="5926" width="6.7109375" style="29" customWidth="1"/>
    <col min="5927" max="5927" width="6.42578125" style="29" customWidth="1"/>
    <col min="5928" max="5928" width="6.7109375" style="29" customWidth="1"/>
    <col min="5929" max="5935" width="7.7109375" style="29" customWidth="1"/>
    <col min="5936" max="5937" width="7.28515625" style="29" customWidth="1"/>
    <col min="5938" max="5938" width="6.85546875" style="29" customWidth="1"/>
    <col min="5939" max="5939" width="1.140625" style="29" customWidth="1"/>
    <col min="5940" max="5940" width="7" style="29" customWidth="1"/>
    <col min="5941" max="6154" width="9.140625" style="29"/>
    <col min="6155" max="6155" width="13.28515625" style="29" customWidth="1"/>
    <col min="6156" max="6156" width="3.5703125" style="29" customWidth="1"/>
    <col min="6157" max="6157" width="3.85546875" style="29" customWidth="1"/>
    <col min="6158" max="6158" width="3.7109375" style="29" customWidth="1"/>
    <col min="6159" max="6159" width="8.85546875" style="29" bestFit="1" customWidth="1"/>
    <col min="6160" max="6160" width="6.140625" style="29" customWidth="1"/>
    <col min="6161" max="6161" width="6.85546875" style="29" customWidth="1"/>
    <col min="6162" max="6162" width="7" style="29" customWidth="1"/>
    <col min="6163" max="6178" width="6.140625" style="29" bestFit="1" customWidth="1"/>
    <col min="6179" max="6179" width="7.7109375" style="29" customWidth="1"/>
    <col min="6180" max="6182" width="6.7109375" style="29" customWidth="1"/>
    <col min="6183" max="6183" width="6.42578125" style="29" customWidth="1"/>
    <col min="6184" max="6184" width="6.7109375" style="29" customWidth="1"/>
    <col min="6185" max="6191" width="7.7109375" style="29" customWidth="1"/>
    <col min="6192" max="6193" width="7.28515625" style="29" customWidth="1"/>
    <col min="6194" max="6194" width="6.85546875" style="29" customWidth="1"/>
    <col min="6195" max="6195" width="1.140625" style="29" customWidth="1"/>
    <col min="6196" max="6196" width="7" style="29" customWidth="1"/>
    <col min="6197" max="6410" width="9.140625" style="29"/>
    <col min="6411" max="6411" width="13.28515625" style="29" customWidth="1"/>
    <col min="6412" max="6412" width="3.5703125" style="29" customWidth="1"/>
    <col min="6413" max="6413" width="3.85546875" style="29" customWidth="1"/>
    <col min="6414" max="6414" width="3.7109375" style="29" customWidth="1"/>
    <col min="6415" max="6415" width="8.85546875" style="29" bestFit="1" customWidth="1"/>
    <col min="6416" max="6416" width="6.140625" style="29" customWidth="1"/>
    <col min="6417" max="6417" width="6.85546875" style="29" customWidth="1"/>
    <col min="6418" max="6418" width="7" style="29" customWidth="1"/>
    <col min="6419" max="6434" width="6.140625" style="29" bestFit="1" customWidth="1"/>
    <col min="6435" max="6435" width="7.7109375" style="29" customWidth="1"/>
    <col min="6436" max="6438" width="6.7109375" style="29" customWidth="1"/>
    <col min="6439" max="6439" width="6.42578125" style="29" customWidth="1"/>
    <col min="6440" max="6440" width="6.7109375" style="29" customWidth="1"/>
    <col min="6441" max="6447" width="7.7109375" style="29" customWidth="1"/>
    <col min="6448" max="6449" width="7.28515625" style="29" customWidth="1"/>
    <col min="6450" max="6450" width="6.85546875" style="29" customWidth="1"/>
    <col min="6451" max="6451" width="1.140625" style="29" customWidth="1"/>
    <col min="6452" max="6452" width="7" style="29" customWidth="1"/>
    <col min="6453" max="6666" width="9.140625" style="29"/>
    <col min="6667" max="6667" width="13.28515625" style="29" customWidth="1"/>
    <col min="6668" max="6668" width="3.5703125" style="29" customWidth="1"/>
    <col min="6669" max="6669" width="3.85546875" style="29" customWidth="1"/>
    <col min="6670" max="6670" width="3.7109375" style="29" customWidth="1"/>
    <col min="6671" max="6671" width="8.85546875" style="29" bestFit="1" customWidth="1"/>
    <col min="6672" max="6672" width="6.140625" style="29" customWidth="1"/>
    <col min="6673" max="6673" width="6.85546875" style="29" customWidth="1"/>
    <col min="6674" max="6674" width="7" style="29" customWidth="1"/>
    <col min="6675" max="6690" width="6.140625" style="29" bestFit="1" customWidth="1"/>
    <col min="6691" max="6691" width="7.7109375" style="29" customWidth="1"/>
    <col min="6692" max="6694" width="6.7109375" style="29" customWidth="1"/>
    <col min="6695" max="6695" width="6.42578125" style="29" customWidth="1"/>
    <col min="6696" max="6696" width="6.7109375" style="29" customWidth="1"/>
    <col min="6697" max="6703" width="7.7109375" style="29" customWidth="1"/>
    <col min="6704" max="6705" width="7.28515625" style="29" customWidth="1"/>
    <col min="6706" max="6706" width="6.85546875" style="29" customWidth="1"/>
    <col min="6707" max="6707" width="1.140625" style="29" customWidth="1"/>
    <col min="6708" max="6708" width="7" style="29" customWidth="1"/>
    <col min="6709" max="6922" width="9.140625" style="29"/>
    <col min="6923" max="6923" width="13.28515625" style="29" customWidth="1"/>
    <col min="6924" max="6924" width="3.5703125" style="29" customWidth="1"/>
    <col min="6925" max="6925" width="3.85546875" style="29" customWidth="1"/>
    <col min="6926" max="6926" width="3.7109375" style="29" customWidth="1"/>
    <col min="6927" max="6927" width="8.85546875" style="29" bestFit="1" customWidth="1"/>
    <col min="6928" max="6928" width="6.140625" style="29" customWidth="1"/>
    <col min="6929" max="6929" width="6.85546875" style="29" customWidth="1"/>
    <col min="6930" max="6930" width="7" style="29" customWidth="1"/>
    <col min="6931" max="6946" width="6.140625" style="29" bestFit="1" customWidth="1"/>
    <col min="6947" max="6947" width="7.7109375" style="29" customWidth="1"/>
    <col min="6948" max="6950" width="6.7109375" style="29" customWidth="1"/>
    <col min="6951" max="6951" width="6.42578125" style="29" customWidth="1"/>
    <col min="6952" max="6952" width="6.7109375" style="29" customWidth="1"/>
    <col min="6953" max="6959" width="7.7109375" style="29" customWidth="1"/>
    <col min="6960" max="6961" width="7.28515625" style="29" customWidth="1"/>
    <col min="6962" max="6962" width="6.85546875" style="29" customWidth="1"/>
    <col min="6963" max="6963" width="1.140625" style="29" customWidth="1"/>
    <col min="6964" max="6964" width="7" style="29" customWidth="1"/>
    <col min="6965" max="7178" width="9.140625" style="29"/>
    <col min="7179" max="7179" width="13.28515625" style="29" customWidth="1"/>
    <col min="7180" max="7180" width="3.5703125" style="29" customWidth="1"/>
    <col min="7181" max="7181" width="3.85546875" style="29" customWidth="1"/>
    <col min="7182" max="7182" width="3.7109375" style="29" customWidth="1"/>
    <col min="7183" max="7183" width="8.85546875" style="29" bestFit="1" customWidth="1"/>
    <col min="7184" max="7184" width="6.140625" style="29" customWidth="1"/>
    <col min="7185" max="7185" width="6.85546875" style="29" customWidth="1"/>
    <col min="7186" max="7186" width="7" style="29" customWidth="1"/>
    <col min="7187" max="7202" width="6.140625" style="29" bestFit="1" customWidth="1"/>
    <col min="7203" max="7203" width="7.7109375" style="29" customWidth="1"/>
    <col min="7204" max="7206" width="6.7109375" style="29" customWidth="1"/>
    <col min="7207" max="7207" width="6.42578125" style="29" customWidth="1"/>
    <col min="7208" max="7208" width="6.7109375" style="29" customWidth="1"/>
    <col min="7209" max="7215" width="7.7109375" style="29" customWidth="1"/>
    <col min="7216" max="7217" width="7.28515625" style="29" customWidth="1"/>
    <col min="7218" max="7218" width="6.85546875" style="29" customWidth="1"/>
    <col min="7219" max="7219" width="1.140625" style="29" customWidth="1"/>
    <col min="7220" max="7220" width="7" style="29" customWidth="1"/>
    <col min="7221" max="7434" width="9.140625" style="29"/>
    <col min="7435" max="7435" width="13.28515625" style="29" customWidth="1"/>
    <col min="7436" max="7436" width="3.5703125" style="29" customWidth="1"/>
    <col min="7437" max="7437" width="3.85546875" style="29" customWidth="1"/>
    <col min="7438" max="7438" width="3.7109375" style="29" customWidth="1"/>
    <col min="7439" max="7439" width="8.85546875" style="29" bestFit="1" customWidth="1"/>
    <col min="7440" max="7440" width="6.140625" style="29" customWidth="1"/>
    <col min="7441" max="7441" width="6.85546875" style="29" customWidth="1"/>
    <col min="7442" max="7442" width="7" style="29" customWidth="1"/>
    <col min="7443" max="7458" width="6.140625" style="29" bestFit="1" customWidth="1"/>
    <col min="7459" max="7459" width="7.7109375" style="29" customWidth="1"/>
    <col min="7460" max="7462" width="6.7109375" style="29" customWidth="1"/>
    <col min="7463" max="7463" width="6.42578125" style="29" customWidth="1"/>
    <col min="7464" max="7464" width="6.7109375" style="29" customWidth="1"/>
    <col min="7465" max="7471" width="7.7109375" style="29" customWidth="1"/>
    <col min="7472" max="7473" width="7.28515625" style="29" customWidth="1"/>
    <col min="7474" max="7474" width="6.85546875" style="29" customWidth="1"/>
    <col min="7475" max="7475" width="1.140625" style="29" customWidth="1"/>
    <col min="7476" max="7476" width="7" style="29" customWidth="1"/>
    <col min="7477" max="7690" width="9.140625" style="29"/>
    <col min="7691" max="7691" width="13.28515625" style="29" customWidth="1"/>
    <col min="7692" max="7692" width="3.5703125" style="29" customWidth="1"/>
    <col min="7693" max="7693" width="3.85546875" style="29" customWidth="1"/>
    <col min="7694" max="7694" width="3.7109375" style="29" customWidth="1"/>
    <col min="7695" max="7695" width="8.85546875" style="29" bestFit="1" customWidth="1"/>
    <col min="7696" max="7696" width="6.140625" style="29" customWidth="1"/>
    <col min="7697" max="7697" width="6.85546875" style="29" customWidth="1"/>
    <col min="7698" max="7698" width="7" style="29" customWidth="1"/>
    <col min="7699" max="7714" width="6.140625" style="29" bestFit="1" customWidth="1"/>
    <col min="7715" max="7715" width="7.7109375" style="29" customWidth="1"/>
    <col min="7716" max="7718" width="6.7109375" style="29" customWidth="1"/>
    <col min="7719" max="7719" width="6.42578125" style="29" customWidth="1"/>
    <col min="7720" max="7720" width="6.7109375" style="29" customWidth="1"/>
    <col min="7721" max="7727" width="7.7109375" style="29" customWidth="1"/>
    <col min="7728" max="7729" width="7.28515625" style="29" customWidth="1"/>
    <col min="7730" max="7730" width="6.85546875" style="29" customWidth="1"/>
    <col min="7731" max="7731" width="1.140625" style="29" customWidth="1"/>
    <col min="7732" max="7732" width="7" style="29" customWidth="1"/>
    <col min="7733" max="7946" width="9.140625" style="29"/>
    <col min="7947" max="7947" width="13.28515625" style="29" customWidth="1"/>
    <col min="7948" max="7948" width="3.5703125" style="29" customWidth="1"/>
    <col min="7949" max="7949" width="3.85546875" style="29" customWidth="1"/>
    <col min="7950" max="7950" width="3.7109375" style="29" customWidth="1"/>
    <col min="7951" max="7951" width="8.85546875" style="29" bestFit="1" customWidth="1"/>
    <col min="7952" max="7952" width="6.140625" style="29" customWidth="1"/>
    <col min="7953" max="7953" width="6.85546875" style="29" customWidth="1"/>
    <col min="7954" max="7954" width="7" style="29" customWidth="1"/>
    <col min="7955" max="7970" width="6.140625" style="29" bestFit="1" customWidth="1"/>
    <col min="7971" max="7971" width="7.7109375" style="29" customWidth="1"/>
    <col min="7972" max="7974" width="6.7109375" style="29" customWidth="1"/>
    <col min="7975" max="7975" width="6.42578125" style="29" customWidth="1"/>
    <col min="7976" max="7976" width="6.7109375" style="29" customWidth="1"/>
    <col min="7977" max="7983" width="7.7109375" style="29" customWidth="1"/>
    <col min="7984" max="7985" width="7.28515625" style="29" customWidth="1"/>
    <col min="7986" max="7986" width="6.85546875" style="29" customWidth="1"/>
    <col min="7987" max="7987" width="1.140625" style="29" customWidth="1"/>
    <col min="7988" max="7988" width="7" style="29" customWidth="1"/>
    <col min="7989" max="8202" width="9.140625" style="29"/>
    <col min="8203" max="8203" width="13.28515625" style="29" customWidth="1"/>
    <col min="8204" max="8204" width="3.5703125" style="29" customWidth="1"/>
    <col min="8205" max="8205" width="3.85546875" style="29" customWidth="1"/>
    <col min="8206" max="8206" width="3.7109375" style="29" customWidth="1"/>
    <col min="8207" max="8207" width="8.85546875" style="29" bestFit="1" customWidth="1"/>
    <col min="8208" max="8208" width="6.140625" style="29" customWidth="1"/>
    <col min="8209" max="8209" width="6.85546875" style="29" customWidth="1"/>
    <col min="8210" max="8210" width="7" style="29" customWidth="1"/>
    <col min="8211" max="8226" width="6.140625" style="29" bestFit="1" customWidth="1"/>
    <col min="8227" max="8227" width="7.7109375" style="29" customWidth="1"/>
    <col min="8228" max="8230" width="6.7109375" style="29" customWidth="1"/>
    <col min="8231" max="8231" width="6.42578125" style="29" customWidth="1"/>
    <col min="8232" max="8232" width="6.7109375" style="29" customWidth="1"/>
    <col min="8233" max="8239" width="7.7109375" style="29" customWidth="1"/>
    <col min="8240" max="8241" width="7.28515625" style="29" customWidth="1"/>
    <col min="8242" max="8242" width="6.85546875" style="29" customWidth="1"/>
    <col min="8243" max="8243" width="1.140625" style="29" customWidth="1"/>
    <col min="8244" max="8244" width="7" style="29" customWidth="1"/>
    <col min="8245" max="8458" width="9.140625" style="29"/>
    <col min="8459" max="8459" width="13.28515625" style="29" customWidth="1"/>
    <col min="8460" max="8460" width="3.5703125" style="29" customWidth="1"/>
    <col min="8461" max="8461" width="3.85546875" style="29" customWidth="1"/>
    <col min="8462" max="8462" width="3.7109375" style="29" customWidth="1"/>
    <col min="8463" max="8463" width="8.85546875" style="29" bestFit="1" customWidth="1"/>
    <col min="8464" max="8464" width="6.140625" style="29" customWidth="1"/>
    <col min="8465" max="8465" width="6.85546875" style="29" customWidth="1"/>
    <col min="8466" max="8466" width="7" style="29" customWidth="1"/>
    <col min="8467" max="8482" width="6.140625" style="29" bestFit="1" customWidth="1"/>
    <col min="8483" max="8483" width="7.7109375" style="29" customWidth="1"/>
    <col min="8484" max="8486" width="6.7109375" style="29" customWidth="1"/>
    <col min="8487" max="8487" width="6.42578125" style="29" customWidth="1"/>
    <col min="8488" max="8488" width="6.7109375" style="29" customWidth="1"/>
    <col min="8489" max="8495" width="7.7109375" style="29" customWidth="1"/>
    <col min="8496" max="8497" width="7.28515625" style="29" customWidth="1"/>
    <col min="8498" max="8498" width="6.85546875" style="29" customWidth="1"/>
    <col min="8499" max="8499" width="1.140625" style="29" customWidth="1"/>
    <col min="8500" max="8500" width="7" style="29" customWidth="1"/>
    <col min="8501" max="8714" width="9.140625" style="29"/>
    <col min="8715" max="8715" width="13.28515625" style="29" customWidth="1"/>
    <col min="8716" max="8716" width="3.5703125" style="29" customWidth="1"/>
    <col min="8717" max="8717" width="3.85546875" style="29" customWidth="1"/>
    <col min="8718" max="8718" width="3.7109375" style="29" customWidth="1"/>
    <col min="8719" max="8719" width="8.85546875" style="29" bestFit="1" customWidth="1"/>
    <col min="8720" max="8720" width="6.140625" style="29" customWidth="1"/>
    <col min="8721" max="8721" width="6.85546875" style="29" customWidth="1"/>
    <col min="8722" max="8722" width="7" style="29" customWidth="1"/>
    <col min="8723" max="8738" width="6.140625" style="29" bestFit="1" customWidth="1"/>
    <col min="8739" max="8739" width="7.7109375" style="29" customWidth="1"/>
    <col min="8740" max="8742" width="6.7109375" style="29" customWidth="1"/>
    <col min="8743" max="8743" width="6.42578125" style="29" customWidth="1"/>
    <col min="8744" max="8744" width="6.7109375" style="29" customWidth="1"/>
    <col min="8745" max="8751" width="7.7109375" style="29" customWidth="1"/>
    <col min="8752" max="8753" width="7.28515625" style="29" customWidth="1"/>
    <col min="8754" max="8754" width="6.85546875" style="29" customWidth="1"/>
    <col min="8755" max="8755" width="1.140625" style="29" customWidth="1"/>
    <col min="8756" max="8756" width="7" style="29" customWidth="1"/>
    <col min="8757" max="8970" width="9.140625" style="29"/>
    <col min="8971" max="8971" width="13.28515625" style="29" customWidth="1"/>
    <col min="8972" max="8972" width="3.5703125" style="29" customWidth="1"/>
    <col min="8973" max="8973" width="3.85546875" style="29" customWidth="1"/>
    <col min="8974" max="8974" width="3.7109375" style="29" customWidth="1"/>
    <col min="8975" max="8975" width="8.85546875" style="29" bestFit="1" customWidth="1"/>
    <col min="8976" max="8976" width="6.140625" style="29" customWidth="1"/>
    <col min="8977" max="8977" width="6.85546875" style="29" customWidth="1"/>
    <col min="8978" max="8978" width="7" style="29" customWidth="1"/>
    <col min="8979" max="8994" width="6.140625" style="29" bestFit="1" customWidth="1"/>
    <col min="8995" max="8995" width="7.7109375" style="29" customWidth="1"/>
    <col min="8996" max="8998" width="6.7109375" style="29" customWidth="1"/>
    <col min="8999" max="8999" width="6.42578125" style="29" customWidth="1"/>
    <col min="9000" max="9000" width="6.7109375" style="29" customWidth="1"/>
    <col min="9001" max="9007" width="7.7109375" style="29" customWidth="1"/>
    <col min="9008" max="9009" width="7.28515625" style="29" customWidth="1"/>
    <col min="9010" max="9010" width="6.85546875" style="29" customWidth="1"/>
    <col min="9011" max="9011" width="1.140625" style="29" customWidth="1"/>
    <col min="9012" max="9012" width="7" style="29" customWidth="1"/>
    <col min="9013" max="9226" width="9.140625" style="29"/>
    <col min="9227" max="9227" width="13.28515625" style="29" customWidth="1"/>
    <col min="9228" max="9228" width="3.5703125" style="29" customWidth="1"/>
    <col min="9229" max="9229" width="3.85546875" style="29" customWidth="1"/>
    <col min="9230" max="9230" width="3.7109375" style="29" customWidth="1"/>
    <col min="9231" max="9231" width="8.85546875" style="29" bestFit="1" customWidth="1"/>
    <col min="9232" max="9232" width="6.140625" style="29" customWidth="1"/>
    <col min="9233" max="9233" width="6.85546875" style="29" customWidth="1"/>
    <col min="9234" max="9234" width="7" style="29" customWidth="1"/>
    <col min="9235" max="9250" width="6.140625" style="29" bestFit="1" customWidth="1"/>
    <col min="9251" max="9251" width="7.7109375" style="29" customWidth="1"/>
    <col min="9252" max="9254" width="6.7109375" style="29" customWidth="1"/>
    <col min="9255" max="9255" width="6.42578125" style="29" customWidth="1"/>
    <col min="9256" max="9256" width="6.7109375" style="29" customWidth="1"/>
    <col min="9257" max="9263" width="7.7109375" style="29" customWidth="1"/>
    <col min="9264" max="9265" width="7.28515625" style="29" customWidth="1"/>
    <col min="9266" max="9266" width="6.85546875" style="29" customWidth="1"/>
    <col min="9267" max="9267" width="1.140625" style="29" customWidth="1"/>
    <col min="9268" max="9268" width="7" style="29" customWidth="1"/>
    <col min="9269" max="9482" width="9.140625" style="29"/>
    <col min="9483" max="9483" width="13.28515625" style="29" customWidth="1"/>
    <col min="9484" max="9484" width="3.5703125" style="29" customWidth="1"/>
    <col min="9485" max="9485" width="3.85546875" style="29" customWidth="1"/>
    <col min="9486" max="9486" width="3.7109375" style="29" customWidth="1"/>
    <col min="9487" max="9487" width="8.85546875" style="29" bestFit="1" customWidth="1"/>
    <col min="9488" max="9488" width="6.140625" style="29" customWidth="1"/>
    <col min="9489" max="9489" width="6.85546875" style="29" customWidth="1"/>
    <col min="9490" max="9490" width="7" style="29" customWidth="1"/>
    <col min="9491" max="9506" width="6.140625" style="29" bestFit="1" customWidth="1"/>
    <col min="9507" max="9507" width="7.7109375" style="29" customWidth="1"/>
    <col min="9508" max="9510" width="6.7109375" style="29" customWidth="1"/>
    <col min="9511" max="9511" width="6.42578125" style="29" customWidth="1"/>
    <col min="9512" max="9512" width="6.7109375" style="29" customWidth="1"/>
    <col min="9513" max="9519" width="7.7109375" style="29" customWidth="1"/>
    <col min="9520" max="9521" width="7.28515625" style="29" customWidth="1"/>
    <col min="9522" max="9522" width="6.85546875" style="29" customWidth="1"/>
    <col min="9523" max="9523" width="1.140625" style="29" customWidth="1"/>
    <col min="9524" max="9524" width="7" style="29" customWidth="1"/>
    <col min="9525" max="9738" width="9.140625" style="29"/>
    <col min="9739" max="9739" width="13.28515625" style="29" customWidth="1"/>
    <col min="9740" max="9740" width="3.5703125" style="29" customWidth="1"/>
    <col min="9741" max="9741" width="3.85546875" style="29" customWidth="1"/>
    <col min="9742" max="9742" width="3.7109375" style="29" customWidth="1"/>
    <col min="9743" max="9743" width="8.85546875" style="29" bestFit="1" customWidth="1"/>
    <col min="9744" max="9744" width="6.140625" style="29" customWidth="1"/>
    <col min="9745" max="9745" width="6.85546875" style="29" customWidth="1"/>
    <col min="9746" max="9746" width="7" style="29" customWidth="1"/>
    <col min="9747" max="9762" width="6.140625" style="29" bestFit="1" customWidth="1"/>
    <col min="9763" max="9763" width="7.7109375" style="29" customWidth="1"/>
    <col min="9764" max="9766" width="6.7109375" style="29" customWidth="1"/>
    <col min="9767" max="9767" width="6.42578125" style="29" customWidth="1"/>
    <col min="9768" max="9768" width="6.7109375" style="29" customWidth="1"/>
    <col min="9769" max="9775" width="7.7109375" style="29" customWidth="1"/>
    <col min="9776" max="9777" width="7.28515625" style="29" customWidth="1"/>
    <col min="9778" max="9778" width="6.85546875" style="29" customWidth="1"/>
    <col min="9779" max="9779" width="1.140625" style="29" customWidth="1"/>
    <col min="9780" max="9780" width="7" style="29" customWidth="1"/>
    <col min="9781" max="9994" width="9.140625" style="29"/>
    <col min="9995" max="9995" width="13.28515625" style="29" customWidth="1"/>
    <col min="9996" max="9996" width="3.5703125" style="29" customWidth="1"/>
    <col min="9997" max="9997" width="3.85546875" style="29" customWidth="1"/>
    <col min="9998" max="9998" width="3.7109375" style="29" customWidth="1"/>
    <col min="9999" max="9999" width="8.85546875" style="29" bestFit="1" customWidth="1"/>
    <col min="10000" max="10000" width="6.140625" style="29" customWidth="1"/>
    <col min="10001" max="10001" width="6.85546875" style="29" customWidth="1"/>
    <col min="10002" max="10002" width="7" style="29" customWidth="1"/>
    <col min="10003" max="10018" width="6.140625" style="29" bestFit="1" customWidth="1"/>
    <col min="10019" max="10019" width="7.7109375" style="29" customWidth="1"/>
    <col min="10020" max="10022" width="6.7109375" style="29" customWidth="1"/>
    <col min="10023" max="10023" width="6.42578125" style="29" customWidth="1"/>
    <col min="10024" max="10024" width="6.7109375" style="29" customWidth="1"/>
    <col min="10025" max="10031" width="7.7109375" style="29" customWidth="1"/>
    <col min="10032" max="10033" width="7.28515625" style="29" customWidth="1"/>
    <col min="10034" max="10034" width="6.85546875" style="29" customWidth="1"/>
    <col min="10035" max="10035" width="1.140625" style="29" customWidth="1"/>
    <col min="10036" max="10036" width="7" style="29" customWidth="1"/>
    <col min="10037" max="10250" width="9.140625" style="29"/>
    <col min="10251" max="10251" width="13.28515625" style="29" customWidth="1"/>
    <col min="10252" max="10252" width="3.5703125" style="29" customWidth="1"/>
    <col min="10253" max="10253" width="3.85546875" style="29" customWidth="1"/>
    <col min="10254" max="10254" width="3.7109375" style="29" customWidth="1"/>
    <col min="10255" max="10255" width="8.85546875" style="29" bestFit="1" customWidth="1"/>
    <col min="10256" max="10256" width="6.140625" style="29" customWidth="1"/>
    <col min="10257" max="10257" width="6.85546875" style="29" customWidth="1"/>
    <col min="10258" max="10258" width="7" style="29" customWidth="1"/>
    <col min="10259" max="10274" width="6.140625" style="29" bestFit="1" customWidth="1"/>
    <col min="10275" max="10275" width="7.7109375" style="29" customWidth="1"/>
    <col min="10276" max="10278" width="6.7109375" style="29" customWidth="1"/>
    <col min="10279" max="10279" width="6.42578125" style="29" customWidth="1"/>
    <col min="10280" max="10280" width="6.7109375" style="29" customWidth="1"/>
    <col min="10281" max="10287" width="7.7109375" style="29" customWidth="1"/>
    <col min="10288" max="10289" width="7.28515625" style="29" customWidth="1"/>
    <col min="10290" max="10290" width="6.85546875" style="29" customWidth="1"/>
    <col min="10291" max="10291" width="1.140625" style="29" customWidth="1"/>
    <col min="10292" max="10292" width="7" style="29" customWidth="1"/>
    <col min="10293" max="10506" width="9.140625" style="29"/>
    <col min="10507" max="10507" width="13.28515625" style="29" customWidth="1"/>
    <col min="10508" max="10508" width="3.5703125" style="29" customWidth="1"/>
    <col min="10509" max="10509" width="3.85546875" style="29" customWidth="1"/>
    <col min="10510" max="10510" width="3.7109375" style="29" customWidth="1"/>
    <col min="10511" max="10511" width="8.85546875" style="29" bestFit="1" customWidth="1"/>
    <col min="10512" max="10512" width="6.140625" style="29" customWidth="1"/>
    <col min="10513" max="10513" width="6.85546875" style="29" customWidth="1"/>
    <col min="10514" max="10514" width="7" style="29" customWidth="1"/>
    <col min="10515" max="10530" width="6.140625" style="29" bestFit="1" customWidth="1"/>
    <col min="10531" max="10531" width="7.7109375" style="29" customWidth="1"/>
    <col min="10532" max="10534" width="6.7109375" style="29" customWidth="1"/>
    <col min="10535" max="10535" width="6.42578125" style="29" customWidth="1"/>
    <col min="10536" max="10536" width="6.7109375" style="29" customWidth="1"/>
    <col min="10537" max="10543" width="7.7109375" style="29" customWidth="1"/>
    <col min="10544" max="10545" width="7.28515625" style="29" customWidth="1"/>
    <col min="10546" max="10546" width="6.85546875" style="29" customWidth="1"/>
    <col min="10547" max="10547" width="1.140625" style="29" customWidth="1"/>
    <col min="10548" max="10548" width="7" style="29" customWidth="1"/>
    <col min="10549" max="10762" width="9.140625" style="29"/>
    <col min="10763" max="10763" width="13.28515625" style="29" customWidth="1"/>
    <col min="10764" max="10764" width="3.5703125" style="29" customWidth="1"/>
    <col min="10765" max="10765" width="3.85546875" style="29" customWidth="1"/>
    <col min="10766" max="10766" width="3.7109375" style="29" customWidth="1"/>
    <col min="10767" max="10767" width="8.85546875" style="29" bestFit="1" customWidth="1"/>
    <col min="10768" max="10768" width="6.140625" style="29" customWidth="1"/>
    <col min="10769" max="10769" width="6.85546875" style="29" customWidth="1"/>
    <col min="10770" max="10770" width="7" style="29" customWidth="1"/>
    <col min="10771" max="10786" width="6.140625" style="29" bestFit="1" customWidth="1"/>
    <col min="10787" max="10787" width="7.7109375" style="29" customWidth="1"/>
    <col min="10788" max="10790" width="6.7109375" style="29" customWidth="1"/>
    <col min="10791" max="10791" width="6.42578125" style="29" customWidth="1"/>
    <col min="10792" max="10792" width="6.7109375" style="29" customWidth="1"/>
    <col min="10793" max="10799" width="7.7109375" style="29" customWidth="1"/>
    <col min="10800" max="10801" width="7.28515625" style="29" customWidth="1"/>
    <col min="10802" max="10802" width="6.85546875" style="29" customWidth="1"/>
    <col min="10803" max="10803" width="1.140625" style="29" customWidth="1"/>
    <col min="10804" max="10804" width="7" style="29" customWidth="1"/>
    <col min="10805" max="11018" width="9.140625" style="29"/>
    <col min="11019" max="11019" width="13.28515625" style="29" customWidth="1"/>
    <col min="11020" max="11020" width="3.5703125" style="29" customWidth="1"/>
    <col min="11021" max="11021" width="3.85546875" style="29" customWidth="1"/>
    <col min="11022" max="11022" width="3.7109375" style="29" customWidth="1"/>
    <col min="11023" max="11023" width="8.85546875" style="29" bestFit="1" customWidth="1"/>
    <col min="11024" max="11024" width="6.140625" style="29" customWidth="1"/>
    <col min="11025" max="11025" width="6.85546875" style="29" customWidth="1"/>
    <col min="11026" max="11026" width="7" style="29" customWidth="1"/>
    <col min="11027" max="11042" width="6.140625" style="29" bestFit="1" customWidth="1"/>
    <col min="11043" max="11043" width="7.7109375" style="29" customWidth="1"/>
    <col min="11044" max="11046" width="6.7109375" style="29" customWidth="1"/>
    <col min="11047" max="11047" width="6.42578125" style="29" customWidth="1"/>
    <col min="11048" max="11048" width="6.7109375" style="29" customWidth="1"/>
    <col min="11049" max="11055" width="7.7109375" style="29" customWidth="1"/>
    <col min="11056" max="11057" width="7.28515625" style="29" customWidth="1"/>
    <col min="11058" max="11058" width="6.85546875" style="29" customWidth="1"/>
    <col min="11059" max="11059" width="1.140625" style="29" customWidth="1"/>
    <col min="11060" max="11060" width="7" style="29" customWidth="1"/>
    <col min="11061" max="11274" width="9.140625" style="29"/>
    <col min="11275" max="11275" width="13.28515625" style="29" customWidth="1"/>
    <col min="11276" max="11276" width="3.5703125" style="29" customWidth="1"/>
    <col min="11277" max="11277" width="3.85546875" style="29" customWidth="1"/>
    <col min="11278" max="11278" width="3.7109375" style="29" customWidth="1"/>
    <col min="11279" max="11279" width="8.85546875" style="29" bestFit="1" customWidth="1"/>
    <col min="11280" max="11280" width="6.140625" style="29" customWidth="1"/>
    <col min="11281" max="11281" width="6.85546875" style="29" customWidth="1"/>
    <col min="11282" max="11282" width="7" style="29" customWidth="1"/>
    <col min="11283" max="11298" width="6.140625" style="29" bestFit="1" customWidth="1"/>
    <col min="11299" max="11299" width="7.7109375" style="29" customWidth="1"/>
    <col min="11300" max="11302" width="6.7109375" style="29" customWidth="1"/>
    <col min="11303" max="11303" width="6.42578125" style="29" customWidth="1"/>
    <col min="11304" max="11304" width="6.7109375" style="29" customWidth="1"/>
    <col min="11305" max="11311" width="7.7109375" style="29" customWidth="1"/>
    <col min="11312" max="11313" width="7.28515625" style="29" customWidth="1"/>
    <col min="11314" max="11314" width="6.85546875" style="29" customWidth="1"/>
    <col min="11315" max="11315" width="1.140625" style="29" customWidth="1"/>
    <col min="11316" max="11316" width="7" style="29" customWidth="1"/>
    <col min="11317" max="11530" width="9.140625" style="29"/>
    <col min="11531" max="11531" width="13.28515625" style="29" customWidth="1"/>
    <col min="11532" max="11532" width="3.5703125" style="29" customWidth="1"/>
    <col min="11533" max="11533" width="3.85546875" style="29" customWidth="1"/>
    <col min="11534" max="11534" width="3.7109375" style="29" customWidth="1"/>
    <col min="11535" max="11535" width="8.85546875" style="29" bestFit="1" customWidth="1"/>
    <col min="11536" max="11536" width="6.140625" style="29" customWidth="1"/>
    <col min="11537" max="11537" width="6.85546875" style="29" customWidth="1"/>
    <col min="11538" max="11538" width="7" style="29" customWidth="1"/>
    <col min="11539" max="11554" width="6.140625" style="29" bestFit="1" customWidth="1"/>
    <col min="11555" max="11555" width="7.7109375" style="29" customWidth="1"/>
    <col min="11556" max="11558" width="6.7109375" style="29" customWidth="1"/>
    <col min="11559" max="11559" width="6.42578125" style="29" customWidth="1"/>
    <col min="11560" max="11560" width="6.7109375" style="29" customWidth="1"/>
    <col min="11561" max="11567" width="7.7109375" style="29" customWidth="1"/>
    <col min="11568" max="11569" width="7.28515625" style="29" customWidth="1"/>
    <col min="11570" max="11570" width="6.85546875" style="29" customWidth="1"/>
    <col min="11571" max="11571" width="1.140625" style="29" customWidth="1"/>
    <col min="11572" max="11572" width="7" style="29" customWidth="1"/>
    <col min="11573" max="11786" width="9.140625" style="29"/>
    <col min="11787" max="11787" width="13.28515625" style="29" customWidth="1"/>
    <col min="11788" max="11788" width="3.5703125" style="29" customWidth="1"/>
    <col min="11789" max="11789" width="3.85546875" style="29" customWidth="1"/>
    <col min="11790" max="11790" width="3.7109375" style="29" customWidth="1"/>
    <col min="11791" max="11791" width="8.85546875" style="29" bestFit="1" customWidth="1"/>
    <col min="11792" max="11792" width="6.140625" style="29" customWidth="1"/>
    <col min="11793" max="11793" width="6.85546875" style="29" customWidth="1"/>
    <col min="11794" max="11794" width="7" style="29" customWidth="1"/>
    <col min="11795" max="11810" width="6.140625" style="29" bestFit="1" customWidth="1"/>
    <col min="11811" max="11811" width="7.7109375" style="29" customWidth="1"/>
    <col min="11812" max="11814" width="6.7109375" style="29" customWidth="1"/>
    <col min="11815" max="11815" width="6.42578125" style="29" customWidth="1"/>
    <col min="11816" max="11816" width="6.7109375" style="29" customWidth="1"/>
    <col min="11817" max="11823" width="7.7109375" style="29" customWidth="1"/>
    <col min="11824" max="11825" width="7.28515625" style="29" customWidth="1"/>
    <col min="11826" max="11826" width="6.85546875" style="29" customWidth="1"/>
    <col min="11827" max="11827" width="1.140625" style="29" customWidth="1"/>
    <col min="11828" max="11828" width="7" style="29" customWidth="1"/>
    <col min="11829" max="12042" width="9.140625" style="29"/>
    <col min="12043" max="12043" width="13.28515625" style="29" customWidth="1"/>
    <col min="12044" max="12044" width="3.5703125" style="29" customWidth="1"/>
    <col min="12045" max="12045" width="3.85546875" style="29" customWidth="1"/>
    <col min="12046" max="12046" width="3.7109375" style="29" customWidth="1"/>
    <col min="12047" max="12047" width="8.85546875" style="29" bestFit="1" customWidth="1"/>
    <col min="12048" max="12048" width="6.140625" style="29" customWidth="1"/>
    <col min="12049" max="12049" width="6.85546875" style="29" customWidth="1"/>
    <col min="12050" max="12050" width="7" style="29" customWidth="1"/>
    <col min="12051" max="12066" width="6.140625" style="29" bestFit="1" customWidth="1"/>
    <col min="12067" max="12067" width="7.7109375" style="29" customWidth="1"/>
    <col min="12068" max="12070" width="6.7109375" style="29" customWidth="1"/>
    <col min="12071" max="12071" width="6.42578125" style="29" customWidth="1"/>
    <col min="12072" max="12072" width="6.7109375" style="29" customWidth="1"/>
    <col min="12073" max="12079" width="7.7109375" style="29" customWidth="1"/>
    <col min="12080" max="12081" width="7.28515625" style="29" customWidth="1"/>
    <col min="12082" max="12082" width="6.85546875" style="29" customWidth="1"/>
    <col min="12083" max="12083" width="1.140625" style="29" customWidth="1"/>
    <col min="12084" max="12084" width="7" style="29" customWidth="1"/>
    <col min="12085" max="12298" width="9.140625" style="29"/>
    <col min="12299" max="12299" width="13.28515625" style="29" customWidth="1"/>
    <col min="12300" max="12300" width="3.5703125" style="29" customWidth="1"/>
    <col min="12301" max="12301" width="3.85546875" style="29" customWidth="1"/>
    <col min="12302" max="12302" width="3.7109375" style="29" customWidth="1"/>
    <col min="12303" max="12303" width="8.85546875" style="29" bestFit="1" customWidth="1"/>
    <col min="12304" max="12304" width="6.140625" style="29" customWidth="1"/>
    <col min="12305" max="12305" width="6.85546875" style="29" customWidth="1"/>
    <col min="12306" max="12306" width="7" style="29" customWidth="1"/>
    <col min="12307" max="12322" width="6.140625" style="29" bestFit="1" customWidth="1"/>
    <col min="12323" max="12323" width="7.7109375" style="29" customWidth="1"/>
    <col min="12324" max="12326" width="6.7109375" style="29" customWidth="1"/>
    <col min="12327" max="12327" width="6.42578125" style="29" customWidth="1"/>
    <col min="12328" max="12328" width="6.7109375" style="29" customWidth="1"/>
    <col min="12329" max="12335" width="7.7109375" style="29" customWidth="1"/>
    <col min="12336" max="12337" width="7.28515625" style="29" customWidth="1"/>
    <col min="12338" max="12338" width="6.85546875" style="29" customWidth="1"/>
    <col min="12339" max="12339" width="1.140625" style="29" customWidth="1"/>
    <col min="12340" max="12340" width="7" style="29" customWidth="1"/>
    <col min="12341" max="12554" width="9.140625" style="29"/>
    <col min="12555" max="12555" width="13.28515625" style="29" customWidth="1"/>
    <col min="12556" max="12556" width="3.5703125" style="29" customWidth="1"/>
    <col min="12557" max="12557" width="3.85546875" style="29" customWidth="1"/>
    <col min="12558" max="12558" width="3.7109375" style="29" customWidth="1"/>
    <col min="12559" max="12559" width="8.85546875" style="29" bestFit="1" customWidth="1"/>
    <col min="12560" max="12560" width="6.140625" style="29" customWidth="1"/>
    <col min="12561" max="12561" width="6.85546875" style="29" customWidth="1"/>
    <col min="12562" max="12562" width="7" style="29" customWidth="1"/>
    <col min="12563" max="12578" width="6.140625" style="29" bestFit="1" customWidth="1"/>
    <col min="12579" max="12579" width="7.7109375" style="29" customWidth="1"/>
    <col min="12580" max="12582" width="6.7109375" style="29" customWidth="1"/>
    <col min="12583" max="12583" width="6.42578125" style="29" customWidth="1"/>
    <col min="12584" max="12584" width="6.7109375" style="29" customWidth="1"/>
    <col min="12585" max="12591" width="7.7109375" style="29" customWidth="1"/>
    <col min="12592" max="12593" width="7.28515625" style="29" customWidth="1"/>
    <col min="12594" max="12594" width="6.85546875" style="29" customWidth="1"/>
    <col min="12595" max="12595" width="1.140625" style="29" customWidth="1"/>
    <col min="12596" max="12596" width="7" style="29" customWidth="1"/>
    <col min="12597" max="12810" width="9.140625" style="29"/>
    <col min="12811" max="12811" width="13.28515625" style="29" customWidth="1"/>
    <col min="12812" max="12812" width="3.5703125" style="29" customWidth="1"/>
    <col min="12813" max="12813" width="3.85546875" style="29" customWidth="1"/>
    <col min="12814" max="12814" width="3.7109375" style="29" customWidth="1"/>
    <col min="12815" max="12815" width="8.85546875" style="29" bestFit="1" customWidth="1"/>
    <col min="12816" max="12816" width="6.140625" style="29" customWidth="1"/>
    <col min="12817" max="12817" width="6.85546875" style="29" customWidth="1"/>
    <col min="12818" max="12818" width="7" style="29" customWidth="1"/>
    <col min="12819" max="12834" width="6.140625" style="29" bestFit="1" customWidth="1"/>
    <col min="12835" max="12835" width="7.7109375" style="29" customWidth="1"/>
    <col min="12836" max="12838" width="6.7109375" style="29" customWidth="1"/>
    <col min="12839" max="12839" width="6.42578125" style="29" customWidth="1"/>
    <col min="12840" max="12840" width="6.7109375" style="29" customWidth="1"/>
    <col min="12841" max="12847" width="7.7109375" style="29" customWidth="1"/>
    <col min="12848" max="12849" width="7.28515625" style="29" customWidth="1"/>
    <col min="12850" max="12850" width="6.85546875" style="29" customWidth="1"/>
    <col min="12851" max="12851" width="1.140625" style="29" customWidth="1"/>
    <col min="12852" max="12852" width="7" style="29" customWidth="1"/>
    <col min="12853" max="13066" width="9.140625" style="29"/>
    <col min="13067" max="13067" width="13.28515625" style="29" customWidth="1"/>
    <col min="13068" max="13068" width="3.5703125" style="29" customWidth="1"/>
    <col min="13069" max="13069" width="3.85546875" style="29" customWidth="1"/>
    <col min="13070" max="13070" width="3.7109375" style="29" customWidth="1"/>
    <col min="13071" max="13071" width="8.85546875" style="29" bestFit="1" customWidth="1"/>
    <col min="13072" max="13072" width="6.140625" style="29" customWidth="1"/>
    <col min="13073" max="13073" width="6.85546875" style="29" customWidth="1"/>
    <col min="13074" max="13074" width="7" style="29" customWidth="1"/>
    <col min="13075" max="13090" width="6.140625" style="29" bestFit="1" customWidth="1"/>
    <col min="13091" max="13091" width="7.7109375" style="29" customWidth="1"/>
    <col min="13092" max="13094" width="6.7109375" style="29" customWidth="1"/>
    <col min="13095" max="13095" width="6.42578125" style="29" customWidth="1"/>
    <col min="13096" max="13096" width="6.7109375" style="29" customWidth="1"/>
    <col min="13097" max="13103" width="7.7109375" style="29" customWidth="1"/>
    <col min="13104" max="13105" width="7.28515625" style="29" customWidth="1"/>
    <col min="13106" max="13106" width="6.85546875" style="29" customWidth="1"/>
    <col min="13107" max="13107" width="1.140625" style="29" customWidth="1"/>
    <col min="13108" max="13108" width="7" style="29" customWidth="1"/>
    <col min="13109" max="13322" width="9.140625" style="29"/>
    <col min="13323" max="13323" width="13.28515625" style="29" customWidth="1"/>
    <col min="13324" max="13324" width="3.5703125" style="29" customWidth="1"/>
    <col min="13325" max="13325" width="3.85546875" style="29" customWidth="1"/>
    <col min="13326" max="13326" width="3.7109375" style="29" customWidth="1"/>
    <col min="13327" max="13327" width="8.85546875" style="29" bestFit="1" customWidth="1"/>
    <col min="13328" max="13328" width="6.140625" style="29" customWidth="1"/>
    <col min="13329" max="13329" width="6.85546875" style="29" customWidth="1"/>
    <col min="13330" max="13330" width="7" style="29" customWidth="1"/>
    <col min="13331" max="13346" width="6.140625" style="29" bestFit="1" customWidth="1"/>
    <col min="13347" max="13347" width="7.7109375" style="29" customWidth="1"/>
    <col min="13348" max="13350" width="6.7109375" style="29" customWidth="1"/>
    <col min="13351" max="13351" width="6.42578125" style="29" customWidth="1"/>
    <col min="13352" max="13352" width="6.7109375" style="29" customWidth="1"/>
    <col min="13353" max="13359" width="7.7109375" style="29" customWidth="1"/>
    <col min="13360" max="13361" width="7.28515625" style="29" customWidth="1"/>
    <col min="13362" max="13362" width="6.85546875" style="29" customWidth="1"/>
    <col min="13363" max="13363" width="1.140625" style="29" customWidth="1"/>
    <col min="13364" max="13364" width="7" style="29" customWidth="1"/>
    <col min="13365" max="13578" width="9.140625" style="29"/>
    <col min="13579" max="13579" width="13.28515625" style="29" customWidth="1"/>
    <col min="13580" max="13580" width="3.5703125" style="29" customWidth="1"/>
    <col min="13581" max="13581" width="3.85546875" style="29" customWidth="1"/>
    <col min="13582" max="13582" width="3.7109375" style="29" customWidth="1"/>
    <col min="13583" max="13583" width="8.85546875" style="29" bestFit="1" customWidth="1"/>
    <col min="13584" max="13584" width="6.140625" style="29" customWidth="1"/>
    <col min="13585" max="13585" width="6.85546875" style="29" customWidth="1"/>
    <col min="13586" max="13586" width="7" style="29" customWidth="1"/>
    <col min="13587" max="13602" width="6.140625" style="29" bestFit="1" customWidth="1"/>
    <col min="13603" max="13603" width="7.7109375" style="29" customWidth="1"/>
    <col min="13604" max="13606" width="6.7109375" style="29" customWidth="1"/>
    <col min="13607" max="13607" width="6.42578125" style="29" customWidth="1"/>
    <col min="13608" max="13608" width="6.7109375" style="29" customWidth="1"/>
    <col min="13609" max="13615" width="7.7109375" style="29" customWidth="1"/>
    <col min="13616" max="13617" width="7.28515625" style="29" customWidth="1"/>
    <col min="13618" max="13618" width="6.85546875" style="29" customWidth="1"/>
    <col min="13619" max="13619" width="1.140625" style="29" customWidth="1"/>
    <col min="13620" max="13620" width="7" style="29" customWidth="1"/>
    <col min="13621" max="13834" width="9.140625" style="29"/>
    <col min="13835" max="13835" width="13.28515625" style="29" customWidth="1"/>
    <col min="13836" max="13836" width="3.5703125" style="29" customWidth="1"/>
    <col min="13837" max="13837" width="3.85546875" style="29" customWidth="1"/>
    <col min="13838" max="13838" width="3.7109375" style="29" customWidth="1"/>
    <col min="13839" max="13839" width="8.85546875" style="29" bestFit="1" customWidth="1"/>
    <col min="13840" max="13840" width="6.140625" style="29" customWidth="1"/>
    <col min="13841" max="13841" width="6.85546875" style="29" customWidth="1"/>
    <col min="13842" max="13842" width="7" style="29" customWidth="1"/>
    <col min="13843" max="13858" width="6.140625" style="29" bestFit="1" customWidth="1"/>
    <col min="13859" max="13859" width="7.7109375" style="29" customWidth="1"/>
    <col min="13860" max="13862" width="6.7109375" style="29" customWidth="1"/>
    <col min="13863" max="13863" width="6.42578125" style="29" customWidth="1"/>
    <col min="13864" max="13864" width="6.7109375" style="29" customWidth="1"/>
    <col min="13865" max="13871" width="7.7109375" style="29" customWidth="1"/>
    <col min="13872" max="13873" width="7.28515625" style="29" customWidth="1"/>
    <col min="13874" max="13874" width="6.85546875" style="29" customWidth="1"/>
    <col min="13875" max="13875" width="1.140625" style="29" customWidth="1"/>
    <col min="13876" max="13876" width="7" style="29" customWidth="1"/>
    <col min="13877" max="14090" width="9.140625" style="29"/>
    <col min="14091" max="14091" width="13.28515625" style="29" customWidth="1"/>
    <col min="14092" max="14092" width="3.5703125" style="29" customWidth="1"/>
    <col min="14093" max="14093" width="3.85546875" style="29" customWidth="1"/>
    <col min="14094" max="14094" width="3.7109375" style="29" customWidth="1"/>
    <col min="14095" max="14095" width="8.85546875" style="29" bestFit="1" customWidth="1"/>
    <col min="14096" max="14096" width="6.140625" style="29" customWidth="1"/>
    <col min="14097" max="14097" width="6.85546875" style="29" customWidth="1"/>
    <col min="14098" max="14098" width="7" style="29" customWidth="1"/>
    <col min="14099" max="14114" width="6.140625" style="29" bestFit="1" customWidth="1"/>
    <col min="14115" max="14115" width="7.7109375" style="29" customWidth="1"/>
    <col min="14116" max="14118" width="6.7109375" style="29" customWidth="1"/>
    <col min="14119" max="14119" width="6.42578125" style="29" customWidth="1"/>
    <col min="14120" max="14120" width="6.7109375" style="29" customWidth="1"/>
    <col min="14121" max="14127" width="7.7109375" style="29" customWidth="1"/>
    <col min="14128" max="14129" width="7.28515625" style="29" customWidth="1"/>
    <col min="14130" max="14130" width="6.85546875" style="29" customWidth="1"/>
    <col min="14131" max="14131" width="1.140625" style="29" customWidth="1"/>
    <col min="14132" max="14132" width="7" style="29" customWidth="1"/>
    <col min="14133" max="14346" width="9.140625" style="29"/>
    <col min="14347" max="14347" width="13.28515625" style="29" customWidth="1"/>
    <col min="14348" max="14348" width="3.5703125" style="29" customWidth="1"/>
    <col min="14349" max="14349" width="3.85546875" style="29" customWidth="1"/>
    <col min="14350" max="14350" width="3.7109375" style="29" customWidth="1"/>
    <col min="14351" max="14351" width="8.85546875" style="29" bestFit="1" customWidth="1"/>
    <col min="14352" max="14352" width="6.140625" style="29" customWidth="1"/>
    <col min="14353" max="14353" width="6.85546875" style="29" customWidth="1"/>
    <col min="14354" max="14354" width="7" style="29" customWidth="1"/>
    <col min="14355" max="14370" width="6.140625" style="29" bestFit="1" customWidth="1"/>
    <col min="14371" max="14371" width="7.7109375" style="29" customWidth="1"/>
    <col min="14372" max="14374" width="6.7109375" style="29" customWidth="1"/>
    <col min="14375" max="14375" width="6.42578125" style="29" customWidth="1"/>
    <col min="14376" max="14376" width="6.7109375" style="29" customWidth="1"/>
    <col min="14377" max="14383" width="7.7109375" style="29" customWidth="1"/>
    <col min="14384" max="14385" width="7.28515625" style="29" customWidth="1"/>
    <col min="14386" max="14386" width="6.85546875" style="29" customWidth="1"/>
    <col min="14387" max="14387" width="1.140625" style="29" customWidth="1"/>
    <col min="14388" max="14388" width="7" style="29" customWidth="1"/>
    <col min="14389" max="14602" width="9.140625" style="29"/>
    <col min="14603" max="14603" width="13.28515625" style="29" customWidth="1"/>
    <col min="14604" max="14604" width="3.5703125" style="29" customWidth="1"/>
    <col min="14605" max="14605" width="3.85546875" style="29" customWidth="1"/>
    <col min="14606" max="14606" width="3.7109375" style="29" customWidth="1"/>
    <col min="14607" max="14607" width="8.85546875" style="29" bestFit="1" customWidth="1"/>
    <col min="14608" max="14608" width="6.140625" style="29" customWidth="1"/>
    <col min="14609" max="14609" width="6.85546875" style="29" customWidth="1"/>
    <col min="14610" max="14610" width="7" style="29" customWidth="1"/>
    <col min="14611" max="14626" width="6.140625" style="29" bestFit="1" customWidth="1"/>
    <col min="14627" max="14627" width="7.7109375" style="29" customWidth="1"/>
    <col min="14628" max="14630" width="6.7109375" style="29" customWidth="1"/>
    <col min="14631" max="14631" width="6.42578125" style="29" customWidth="1"/>
    <col min="14632" max="14632" width="6.7109375" style="29" customWidth="1"/>
    <col min="14633" max="14639" width="7.7109375" style="29" customWidth="1"/>
    <col min="14640" max="14641" width="7.28515625" style="29" customWidth="1"/>
    <col min="14642" max="14642" width="6.85546875" style="29" customWidth="1"/>
    <col min="14643" max="14643" width="1.140625" style="29" customWidth="1"/>
    <col min="14644" max="14644" width="7" style="29" customWidth="1"/>
    <col min="14645" max="14858" width="9.140625" style="29"/>
    <col min="14859" max="14859" width="13.28515625" style="29" customWidth="1"/>
    <col min="14860" max="14860" width="3.5703125" style="29" customWidth="1"/>
    <col min="14861" max="14861" width="3.85546875" style="29" customWidth="1"/>
    <col min="14862" max="14862" width="3.7109375" style="29" customWidth="1"/>
    <col min="14863" max="14863" width="8.85546875" style="29" bestFit="1" customWidth="1"/>
    <col min="14864" max="14864" width="6.140625" style="29" customWidth="1"/>
    <col min="14865" max="14865" width="6.85546875" style="29" customWidth="1"/>
    <col min="14866" max="14866" width="7" style="29" customWidth="1"/>
    <col min="14867" max="14882" width="6.140625" style="29" bestFit="1" customWidth="1"/>
    <col min="14883" max="14883" width="7.7109375" style="29" customWidth="1"/>
    <col min="14884" max="14886" width="6.7109375" style="29" customWidth="1"/>
    <col min="14887" max="14887" width="6.42578125" style="29" customWidth="1"/>
    <col min="14888" max="14888" width="6.7109375" style="29" customWidth="1"/>
    <col min="14889" max="14895" width="7.7109375" style="29" customWidth="1"/>
    <col min="14896" max="14897" width="7.28515625" style="29" customWidth="1"/>
    <col min="14898" max="14898" width="6.85546875" style="29" customWidth="1"/>
    <col min="14899" max="14899" width="1.140625" style="29" customWidth="1"/>
    <col min="14900" max="14900" width="7" style="29" customWidth="1"/>
    <col min="14901" max="15114" width="9.140625" style="29"/>
    <col min="15115" max="15115" width="13.28515625" style="29" customWidth="1"/>
    <col min="15116" max="15116" width="3.5703125" style="29" customWidth="1"/>
    <col min="15117" max="15117" width="3.85546875" style="29" customWidth="1"/>
    <col min="15118" max="15118" width="3.7109375" style="29" customWidth="1"/>
    <col min="15119" max="15119" width="8.85546875" style="29" bestFit="1" customWidth="1"/>
    <col min="15120" max="15120" width="6.140625" style="29" customWidth="1"/>
    <col min="15121" max="15121" width="6.85546875" style="29" customWidth="1"/>
    <col min="15122" max="15122" width="7" style="29" customWidth="1"/>
    <col min="15123" max="15138" width="6.140625" style="29" bestFit="1" customWidth="1"/>
    <col min="15139" max="15139" width="7.7109375" style="29" customWidth="1"/>
    <col min="15140" max="15142" width="6.7109375" style="29" customWidth="1"/>
    <col min="15143" max="15143" width="6.42578125" style="29" customWidth="1"/>
    <col min="15144" max="15144" width="6.7109375" style="29" customWidth="1"/>
    <col min="15145" max="15151" width="7.7109375" style="29" customWidth="1"/>
    <col min="15152" max="15153" width="7.28515625" style="29" customWidth="1"/>
    <col min="15154" max="15154" width="6.85546875" style="29" customWidth="1"/>
    <col min="15155" max="15155" width="1.140625" style="29" customWidth="1"/>
    <col min="15156" max="15156" width="7" style="29" customWidth="1"/>
    <col min="15157" max="15370" width="9.140625" style="29"/>
    <col min="15371" max="15371" width="13.28515625" style="29" customWidth="1"/>
    <col min="15372" max="15372" width="3.5703125" style="29" customWidth="1"/>
    <col min="15373" max="15373" width="3.85546875" style="29" customWidth="1"/>
    <col min="15374" max="15374" width="3.7109375" style="29" customWidth="1"/>
    <col min="15375" max="15375" width="8.85546875" style="29" bestFit="1" customWidth="1"/>
    <col min="15376" max="15376" width="6.140625" style="29" customWidth="1"/>
    <col min="15377" max="15377" width="6.85546875" style="29" customWidth="1"/>
    <col min="15378" max="15378" width="7" style="29" customWidth="1"/>
    <col min="15379" max="15394" width="6.140625" style="29" bestFit="1" customWidth="1"/>
    <col min="15395" max="15395" width="7.7109375" style="29" customWidth="1"/>
    <col min="15396" max="15398" width="6.7109375" style="29" customWidth="1"/>
    <col min="15399" max="15399" width="6.42578125" style="29" customWidth="1"/>
    <col min="15400" max="15400" width="6.7109375" style="29" customWidth="1"/>
    <col min="15401" max="15407" width="7.7109375" style="29" customWidth="1"/>
    <col min="15408" max="15409" width="7.28515625" style="29" customWidth="1"/>
    <col min="15410" max="15410" width="6.85546875" style="29" customWidth="1"/>
    <col min="15411" max="15411" width="1.140625" style="29" customWidth="1"/>
    <col min="15412" max="15412" width="7" style="29" customWidth="1"/>
    <col min="15413" max="15626" width="9.140625" style="29"/>
    <col min="15627" max="15627" width="13.28515625" style="29" customWidth="1"/>
    <col min="15628" max="15628" width="3.5703125" style="29" customWidth="1"/>
    <col min="15629" max="15629" width="3.85546875" style="29" customWidth="1"/>
    <col min="15630" max="15630" width="3.7109375" style="29" customWidth="1"/>
    <col min="15631" max="15631" width="8.85546875" style="29" bestFit="1" customWidth="1"/>
    <col min="15632" max="15632" width="6.140625" style="29" customWidth="1"/>
    <col min="15633" max="15633" width="6.85546875" style="29" customWidth="1"/>
    <col min="15634" max="15634" width="7" style="29" customWidth="1"/>
    <col min="15635" max="15650" width="6.140625" style="29" bestFit="1" customWidth="1"/>
    <col min="15651" max="15651" width="7.7109375" style="29" customWidth="1"/>
    <col min="15652" max="15654" width="6.7109375" style="29" customWidth="1"/>
    <col min="15655" max="15655" width="6.42578125" style="29" customWidth="1"/>
    <col min="15656" max="15656" width="6.7109375" style="29" customWidth="1"/>
    <col min="15657" max="15663" width="7.7109375" style="29" customWidth="1"/>
    <col min="15664" max="15665" width="7.28515625" style="29" customWidth="1"/>
    <col min="15666" max="15666" width="6.85546875" style="29" customWidth="1"/>
    <col min="15667" max="15667" width="1.140625" style="29" customWidth="1"/>
    <col min="15668" max="15668" width="7" style="29" customWidth="1"/>
    <col min="15669" max="15882" width="9.140625" style="29"/>
    <col min="15883" max="15883" width="13.28515625" style="29" customWidth="1"/>
    <col min="15884" max="15884" width="3.5703125" style="29" customWidth="1"/>
    <col min="15885" max="15885" width="3.85546875" style="29" customWidth="1"/>
    <col min="15886" max="15886" width="3.7109375" style="29" customWidth="1"/>
    <col min="15887" max="15887" width="8.85546875" style="29" bestFit="1" customWidth="1"/>
    <col min="15888" max="15888" width="6.140625" style="29" customWidth="1"/>
    <col min="15889" max="15889" width="6.85546875" style="29" customWidth="1"/>
    <col min="15890" max="15890" width="7" style="29" customWidth="1"/>
    <col min="15891" max="15906" width="6.140625" style="29" bestFit="1" customWidth="1"/>
    <col min="15907" max="15907" width="7.7109375" style="29" customWidth="1"/>
    <col min="15908" max="15910" width="6.7109375" style="29" customWidth="1"/>
    <col min="15911" max="15911" width="6.42578125" style="29" customWidth="1"/>
    <col min="15912" max="15912" width="6.7109375" style="29" customWidth="1"/>
    <col min="15913" max="15919" width="7.7109375" style="29" customWidth="1"/>
    <col min="15920" max="15921" width="7.28515625" style="29" customWidth="1"/>
    <col min="15922" max="15922" width="6.85546875" style="29" customWidth="1"/>
    <col min="15923" max="15923" width="1.140625" style="29" customWidth="1"/>
    <col min="15924" max="15924" width="7" style="29" customWidth="1"/>
    <col min="15925" max="16138" width="9.140625" style="29"/>
    <col min="16139" max="16139" width="13.28515625" style="29" customWidth="1"/>
    <col min="16140" max="16140" width="3.5703125" style="29" customWidth="1"/>
    <col min="16141" max="16141" width="3.85546875" style="29" customWidth="1"/>
    <col min="16142" max="16142" width="3.7109375" style="29" customWidth="1"/>
    <col min="16143" max="16143" width="8.85546875" style="29" bestFit="1" customWidth="1"/>
    <col min="16144" max="16144" width="6.140625" style="29" customWidth="1"/>
    <col min="16145" max="16145" width="6.85546875" style="29" customWidth="1"/>
    <col min="16146" max="16146" width="7" style="29" customWidth="1"/>
    <col min="16147" max="16162" width="6.140625" style="29" bestFit="1" customWidth="1"/>
    <col min="16163" max="16163" width="7.7109375" style="29" customWidth="1"/>
    <col min="16164" max="16166" width="6.7109375" style="29" customWidth="1"/>
    <col min="16167" max="16167" width="6.42578125" style="29" customWidth="1"/>
    <col min="16168" max="16168" width="6.7109375" style="29" customWidth="1"/>
    <col min="16169" max="16175" width="7.7109375" style="29" customWidth="1"/>
    <col min="16176" max="16177" width="7.28515625" style="29" customWidth="1"/>
    <col min="16178" max="16178" width="6.85546875" style="29" customWidth="1"/>
    <col min="16179" max="16179" width="1.140625" style="29" customWidth="1"/>
    <col min="16180" max="16180" width="7" style="29" customWidth="1"/>
    <col min="16181" max="16384" width="9.140625" style="29"/>
  </cols>
  <sheetData>
    <row r="1" spans="1:50" s="24" customFormat="1" ht="14.25" customHeight="1" x14ac:dyDescent="0.2">
      <c r="A1" s="21" t="s">
        <v>118</v>
      </c>
      <c r="B1" s="35" t="s">
        <v>244</v>
      </c>
      <c r="C1" s="35" t="s">
        <v>245</v>
      </c>
      <c r="D1" s="39" t="s">
        <v>3</v>
      </c>
      <c r="E1" s="63" t="s">
        <v>204</v>
      </c>
      <c r="F1" s="23">
        <v>1979</v>
      </c>
      <c r="G1" s="23">
        <v>1980</v>
      </c>
      <c r="H1" s="23">
        <v>1981</v>
      </c>
      <c r="I1" s="24">
        <v>1982</v>
      </c>
      <c r="J1" s="24">
        <v>1983</v>
      </c>
      <c r="K1" s="24">
        <v>1984</v>
      </c>
      <c r="L1" s="24">
        <v>1985</v>
      </c>
      <c r="M1" s="24">
        <v>1986</v>
      </c>
      <c r="N1" s="24">
        <v>1987</v>
      </c>
      <c r="O1" s="24">
        <v>1988</v>
      </c>
      <c r="P1" s="24">
        <v>1989</v>
      </c>
      <c r="Q1" s="24">
        <v>1990</v>
      </c>
      <c r="R1" s="24">
        <v>1991</v>
      </c>
      <c r="S1" s="24">
        <v>1992</v>
      </c>
      <c r="T1" s="24">
        <v>1993</v>
      </c>
      <c r="U1" s="24">
        <v>1994</v>
      </c>
      <c r="V1" s="24">
        <v>1995</v>
      </c>
      <c r="W1" s="24">
        <v>1996</v>
      </c>
      <c r="X1" s="24">
        <v>1997</v>
      </c>
      <c r="Y1" s="24">
        <v>1998</v>
      </c>
      <c r="Z1" s="24">
        <v>1999</v>
      </c>
      <c r="AA1" s="24">
        <v>2000</v>
      </c>
      <c r="AB1" s="24">
        <v>2001</v>
      </c>
      <c r="AC1" s="24">
        <v>2002</v>
      </c>
      <c r="AD1" s="24">
        <v>2003</v>
      </c>
      <c r="AE1" s="24">
        <v>2004</v>
      </c>
      <c r="AF1" s="24">
        <v>2005</v>
      </c>
      <c r="AG1" s="24">
        <v>2006</v>
      </c>
      <c r="AH1" s="24">
        <v>2007</v>
      </c>
      <c r="AI1" s="24">
        <v>2008</v>
      </c>
      <c r="AJ1" s="24">
        <v>2009</v>
      </c>
      <c r="AK1" s="24">
        <v>2010</v>
      </c>
      <c r="AL1" s="22">
        <v>2011</v>
      </c>
      <c r="AM1" s="22">
        <v>2012</v>
      </c>
      <c r="AN1" s="22">
        <v>2013</v>
      </c>
      <c r="AO1" s="22">
        <v>2014</v>
      </c>
      <c r="AP1" s="22">
        <v>2015</v>
      </c>
      <c r="AQ1" s="22">
        <v>2016</v>
      </c>
      <c r="AR1" s="22">
        <v>2017</v>
      </c>
      <c r="AS1" s="22">
        <v>2018</v>
      </c>
      <c r="AT1" s="22">
        <v>2019</v>
      </c>
      <c r="AU1" s="22">
        <v>2020</v>
      </c>
      <c r="AV1" s="22">
        <v>2021</v>
      </c>
      <c r="AW1" s="22">
        <v>2022</v>
      </c>
      <c r="AX1" s="24" t="s">
        <v>246</v>
      </c>
    </row>
    <row r="2" spans="1:50" s="27" customFormat="1" ht="4.5" customHeight="1" x14ac:dyDescent="0.2">
      <c r="A2" s="25"/>
      <c r="B2" s="36"/>
      <c r="C2" s="36"/>
      <c r="D2" s="40"/>
      <c r="E2" s="26"/>
      <c r="F2" s="26"/>
      <c r="G2" s="26"/>
      <c r="H2" s="26"/>
      <c r="J2" s="28"/>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row>
    <row r="3" spans="1:50" ht="9" customHeight="1" x14ac:dyDescent="0.2">
      <c r="A3" s="18" t="s">
        <v>194</v>
      </c>
      <c r="B3" s="41">
        <v>1</v>
      </c>
      <c r="C3" s="43">
        <v>1</v>
      </c>
      <c r="D3" s="41">
        <v>1</v>
      </c>
      <c r="E3" s="18" t="str">
        <f>EscapeNew!D2</f>
        <v>Spring 5.2</v>
      </c>
      <c r="F3" s="27">
        <f>EscapeNew!E2</f>
        <v>350</v>
      </c>
      <c r="G3" s="27">
        <f>EscapeNew!F2</f>
        <v>350</v>
      </c>
      <c r="H3" s="27">
        <f>EscapeNew!G2</f>
        <v>300</v>
      </c>
      <c r="I3" s="27">
        <f>EscapeNew!H2</f>
        <v>570</v>
      </c>
      <c r="J3" s="27">
        <f>EscapeNew!I2</f>
        <v>700</v>
      </c>
      <c r="K3" s="27">
        <f>EscapeNew!J2</f>
        <v>1200</v>
      </c>
      <c r="L3" s="27">
        <f>EscapeNew!K2</f>
        <v>1200</v>
      </c>
      <c r="M3" s="27">
        <f>EscapeNew!L2</f>
        <v>900</v>
      </c>
      <c r="N3" s="27">
        <f>EscapeNew!M2</f>
        <v>1000</v>
      </c>
      <c r="O3" s="27">
        <f>EscapeNew!N2</f>
        <v>1500</v>
      </c>
      <c r="P3" s="27">
        <f>EscapeNew!O2</f>
        <v>850</v>
      </c>
      <c r="Q3" s="27">
        <f>EscapeNew!P2</f>
        <v>1200</v>
      </c>
      <c r="R3" s="27">
        <f>EscapeNew!Q2</f>
        <v>600</v>
      </c>
      <c r="S3" s="27">
        <f>EscapeNew!R2</f>
        <v>980</v>
      </c>
      <c r="T3" s="27">
        <f>EscapeNew!S2</f>
        <v>1000</v>
      </c>
      <c r="U3" s="27">
        <f>EscapeNew!T2</f>
        <v>886</v>
      </c>
      <c r="V3" s="27">
        <f>EscapeNew!U2</f>
        <v>1646</v>
      </c>
      <c r="W3" s="27">
        <f>EscapeNew!V2</f>
        <v>1508</v>
      </c>
      <c r="X3" s="27">
        <f>EscapeNew!W2</f>
        <v>1195</v>
      </c>
      <c r="Y3" s="27">
        <f>EscapeNew!X2</f>
        <v>1098</v>
      </c>
      <c r="Z3" s="27">
        <f>EscapeNew!Y2</f>
        <v>375</v>
      </c>
      <c r="AA3" s="27">
        <f>EscapeNew!Z2</f>
        <v>486</v>
      </c>
      <c r="AB3" s="27">
        <f>EscapeNew!AA2</f>
        <v>982</v>
      </c>
      <c r="AC3" s="27">
        <f>EscapeNew!AB2</f>
        <v>1516</v>
      </c>
      <c r="AD3" s="27">
        <f>EscapeNew!AC2</f>
        <v>835</v>
      </c>
      <c r="AE3" s="27">
        <f>EscapeNew!AD2</f>
        <v>520</v>
      </c>
      <c r="AF3" s="27">
        <f>EscapeNew!AE2</f>
        <v>335</v>
      </c>
      <c r="AG3" s="27">
        <f>EscapeNew!AF2</f>
        <v>643</v>
      </c>
      <c r="AH3" s="27">
        <f>EscapeNew!AG2</f>
        <v>328</v>
      </c>
      <c r="AI3" s="27">
        <f>EscapeNew!AH2</f>
        <v>422</v>
      </c>
      <c r="AJ3" s="27">
        <f>EscapeNew!AI2</f>
        <v>747</v>
      </c>
      <c r="AK3" s="27">
        <f>EscapeNew!AJ2</f>
        <v>378</v>
      </c>
      <c r="AL3" s="27">
        <f>EscapeNew!AK2</f>
        <v>363</v>
      </c>
      <c r="AM3" s="27">
        <f>EscapeNew!AL2</f>
        <v>208</v>
      </c>
      <c r="AN3" s="27">
        <f>EscapeNew!AM2</f>
        <v>392</v>
      </c>
      <c r="AO3" s="27">
        <f>EscapeNew!AN2</f>
        <v>823</v>
      </c>
      <c r="AP3" s="27">
        <f>EscapeNew!AO2</f>
        <v>435</v>
      </c>
      <c r="AQ3" s="27">
        <f>EscapeNew!AP2</f>
        <v>260</v>
      </c>
      <c r="AR3" s="27">
        <f>EscapeNew!AQ2</f>
        <v>174</v>
      </c>
      <c r="AS3" s="27">
        <f>EscapeNew!AR2</f>
        <v>134</v>
      </c>
      <c r="AT3" s="27">
        <f>EscapeNew!AS2/StockList!F2</f>
        <v>2</v>
      </c>
      <c r="AU3" s="27">
        <f>EscapeNew!AT2/StockList!G2</f>
        <v>268</v>
      </c>
      <c r="AV3" s="27">
        <f>EscapeNew!AU2</f>
        <v>183</v>
      </c>
      <c r="AW3" s="27">
        <f>EscapeNew!AV2</f>
        <v>402</v>
      </c>
      <c r="AX3" s="27">
        <f>AVERAGE(F3:AW3)</f>
        <v>687.36363636363637</v>
      </c>
    </row>
    <row r="4" spans="1:50" ht="9" customHeight="1" x14ac:dyDescent="0.2">
      <c r="A4" s="18" t="s">
        <v>151</v>
      </c>
      <c r="B4" s="41">
        <v>2</v>
      </c>
      <c r="C4" s="43">
        <v>1</v>
      </c>
      <c r="D4" s="41">
        <v>1</v>
      </c>
      <c r="E4" s="18" t="str">
        <f>EscapeNew!D3</f>
        <v>Spring 5.2</v>
      </c>
      <c r="F4" s="27">
        <f>EscapeNew!E3</f>
        <v>1800</v>
      </c>
      <c r="G4" s="27">
        <f>EscapeNew!F3</f>
        <v>4000</v>
      </c>
      <c r="H4" s="27">
        <f>EscapeNew!G3</f>
        <v>1800</v>
      </c>
      <c r="I4" s="27">
        <f>EscapeNew!H3</f>
        <v>1800</v>
      </c>
      <c r="J4" s="27">
        <f>EscapeNew!I3</f>
        <v>4300</v>
      </c>
      <c r="K4" s="27">
        <f>EscapeNew!J3</f>
        <v>5814</v>
      </c>
      <c r="L4" s="27">
        <f>EscapeNew!K3</f>
        <v>6050</v>
      </c>
      <c r="M4" s="27">
        <f>EscapeNew!L3</f>
        <v>6500</v>
      </c>
      <c r="N4" s="27">
        <f>EscapeNew!M3</f>
        <v>3500</v>
      </c>
      <c r="O4" s="27">
        <f>EscapeNew!N3</f>
        <v>4000</v>
      </c>
      <c r="P4" s="27">
        <f>EscapeNew!O3</f>
        <v>5000</v>
      </c>
      <c r="Q4" s="27">
        <f>EscapeNew!P3</f>
        <v>6000</v>
      </c>
      <c r="R4" s="27">
        <f>EscapeNew!Q3</f>
        <v>4027</v>
      </c>
      <c r="S4" s="27">
        <f>EscapeNew!R3</f>
        <v>3224</v>
      </c>
      <c r="T4" s="27">
        <f>EscapeNew!S3</f>
        <v>3300</v>
      </c>
      <c r="U4" s="27">
        <f>EscapeNew!T3</f>
        <v>4240</v>
      </c>
      <c r="V4" s="27">
        <f>EscapeNew!U3</f>
        <v>5862</v>
      </c>
      <c r="W4" s="27">
        <f>EscapeNew!V3</f>
        <v>2837</v>
      </c>
      <c r="X4" s="27">
        <f>EscapeNew!W3</f>
        <v>2335</v>
      </c>
      <c r="Y4" s="27">
        <f>EscapeNew!X3</f>
        <v>1289</v>
      </c>
      <c r="Z4" s="27">
        <f>EscapeNew!Y3</f>
        <v>2081</v>
      </c>
      <c r="AA4" s="27">
        <f>EscapeNew!Z3</f>
        <v>2262</v>
      </c>
      <c r="AB4" s="27">
        <f>EscapeNew!AA3</f>
        <v>3832</v>
      </c>
      <c r="AC4" s="27">
        <f>EscapeNew!AB3</f>
        <v>4302</v>
      </c>
      <c r="AD4" s="27">
        <f>EscapeNew!AC3</f>
        <v>3048</v>
      </c>
      <c r="AE4" s="27">
        <f>EscapeNew!AD3</f>
        <v>2062</v>
      </c>
      <c r="AF4" s="27">
        <f>EscapeNew!AE3</f>
        <v>2538</v>
      </c>
      <c r="AG4" s="27">
        <f>EscapeNew!AF3</f>
        <v>2142</v>
      </c>
      <c r="AH4" s="27">
        <f>EscapeNew!AG3</f>
        <v>1021</v>
      </c>
      <c r="AI4" s="27">
        <f>EscapeNew!AH3</f>
        <v>1858</v>
      </c>
      <c r="AJ4" s="27">
        <f>EscapeNew!AI3</f>
        <v>3281</v>
      </c>
      <c r="AK4" s="27">
        <f>EscapeNew!AJ3</f>
        <v>1500</v>
      </c>
      <c r="AL4" s="27">
        <f>EscapeNew!AK3</f>
        <v>1046</v>
      </c>
      <c r="AM4" s="27">
        <f>EscapeNew!AL3</f>
        <v>768</v>
      </c>
      <c r="AN4" s="27">
        <f>EscapeNew!AM3</f>
        <v>1432</v>
      </c>
      <c r="AO4" s="27">
        <f>EscapeNew!AN3</f>
        <v>4345</v>
      </c>
      <c r="AP4" s="27">
        <f>EscapeNew!AO3</f>
        <v>1443</v>
      </c>
      <c r="AQ4" s="27">
        <f>EscapeNew!AP3</f>
        <v>3022</v>
      </c>
      <c r="AR4" s="27">
        <f>EscapeNew!AQ3</f>
        <v>1114</v>
      </c>
      <c r="AS4" s="27">
        <f>EscapeNew!AR3</f>
        <v>1283</v>
      </c>
      <c r="AT4" s="27">
        <f>EscapeNew!AS3/StockList!F3</f>
        <v>1090</v>
      </c>
      <c r="AU4" s="27">
        <f>EscapeNew!AT3/StockList!G3</f>
        <v>4374.3589743589746</v>
      </c>
      <c r="AV4" s="27">
        <f>EscapeNew!AU3</f>
        <v>1951</v>
      </c>
      <c r="AW4" s="27">
        <f>EscapeNew!AV3</f>
        <v>2786</v>
      </c>
      <c r="AX4" s="27">
        <f t="shared" ref="AX4:AX67" si="0">AVERAGE(F4:AW4)</f>
        <v>3005.8945221445219</v>
      </c>
    </row>
    <row r="5" spans="1:50" ht="9" customHeight="1" x14ac:dyDescent="0.2">
      <c r="A5" s="18" t="s">
        <v>157</v>
      </c>
      <c r="B5" s="41">
        <v>3</v>
      </c>
      <c r="C5" s="43">
        <v>1</v>
      </c>
      <c r="D5" s="41">
        <v>1</v>
      </c>
      <c r="E5" s="18" t="str">
        <f>EscapeNew!D4</f>
        <v>Spring 5.2</v>
      </c>
      <c r="F5" s="27">
        <f>EscapeNew!E4</f>
        <v>25</v>
      </c>
      <c r="G5" s="27">
        <f>EscapeNew!F4</f>
        <v>20</v>
      </c>
      <c r="H5" s="27">
        <f>EscapeNew!G4</f>
        <v>20</v>
      </c>
      <c r="I5" s="27">
        <f>EscapeNew!H4</f>
        <v>15</v>
      </c>
      <c r="J5" s="27">
        <f>EscapeNew!I4</f>
        <v>100</v>
      </c>
      <c r="K5" s="27">
        <f>EscapeNew!J4</f>
        <v>250</v>
      </c>
      <c r="L5" s="27">
        <f>EscapeNew!K4</f>
        <v>325</v>
      </c>
      <c r="M5" s="27">
        <f>EscapeNew!L4</f>
        <v>175</v>
      </c>
      <c r="N5" s="27">
        <f>EscapeNew!M4</f>
        <v>200</v>
      </c>
      <c r="O5" s="27">
        <f>EscapeNew!N4</f>
        <v>180</v>
      </c>
      <c r="P5" s="27">
        <f>EscapeNew!O4</f>
        <v>100</v>
      </c>
      <c r="Q5" s="27">
        <f>EscapeNew!P4</f>
        <v>100</v>
      </c>
      <c r="R5" s="27">
        <f>EscapeNew!Q4</f>
        <v>50</v>
      </c>
      <c r="S5" s="27">
        <f>EscapeNew!R4</f>
        <v>90</v>
      </c>
      <c r="T5" s="27">
        <f>EscapeNew!S4</f>
        <v>130</v>
      </c>
      <c r="U5" s="27">
        <f>EscapeNew!T4</f>
        <v>180.24087259573</v>
      </c>
      <c r="V5" s="27">
        <f>EscapeNew!U4</f>
        <v>172</v>
      </c>
      <c r="W5" s="27">
        <f>EscapeNew!V4</f>
        <v>22</v>
      </c>
      <c r="X5" s="27">
        <f>EscapeNew!W4</f>
        <v>111</v>
      </c>
      <c r="Y5" s="27">
        <f>EscapeNew!X4</f>
        <v>57</v>
      </c>
      <c r="Z5" s="27">
        <f>EscapeNew!Y4</f>
        <v>14</v>
      </c>
      <c r="AA5" s="27">
        <f>EscapeNew!Z4</f>
        <v>128</v>
      </c>
      <c r="AB5" s="27">
        <f>EscapeNew!AA4</f>
        <v>94</v>
      </c>
      <c r="AC5" s="27">
        <f>EscapeNew!AB4</f>
        <v>308</v>
      </c>
      <c r="AD5" s="27">
        <f>EscapeNew!AC4</f>
        <v>288</v>
      </c>
      <c r="AE5" s="27">
        <f>EscapeNew!AD4</f>
        <v>62</v>
      </c>
      <c r="AF5" s="27">
        <f>EscapeNew!AE4</f>
        <v>34</v>
      </c>
      <c r="AG5" s="27">
        <f>EscapeNew!AF4</f>
        <v>146</v>
      </c>
      <c r="AH5" s="27">
        <f>EscapeNew!AG4</f>
        <v>22</v>
      </c>
      <c r="AI5" s="27">
        <f>EscapeNew!AH4</f>
        <v>0</v>
      </c>
      <c r="AJ5" s="27">
        <f>EscapeNew!AI4</f>
        <v>111</v>
      </c>
      <c r="AK5" s="27">
        <f>EscapeNew!AJ4</f>
        <v>68</v>
      </c>
      <c r="AL5" s="27">
        <f>EscapeNew!AK4</f>
        <v>49</v>
      </c>
      <c r="AM5" s="27">
        <f>EscapeNew!AL4</f>
        <v>48</v>
      </c>
      <c r="AN5" s="27">
        <f>EscapeNew!AM4</f>
        <v>80</v>
      </c>
      <c r="AO5" s="27">
        <f>EscapeNew!AN4</f>
        <v>132</v>
      </c>
      <c r="AP5" s="27">
        <f>EscapeNew!AO4</f>
        <v>52</v>
      </c>
      <c r="AQ5" s="27">
        <f>EscapeNew!AP4</f>
        <v>68</v>
      </c>
      <c r="AR5" s="27">
        <f>EscapeNew!AQ4</f>
        <v>22</v>
      </c>
      <c r="AS5" s="27">
        <f>EscapeNew!AR4</f>
        <v>23</v>
      </c>
      <c r="AT5" s="27">
        <f>EscapeNew!AS4/StockList!F4</f>
        <v>0</v>
      </c>
      <c r="AU5" s="27">
        <f>EscapeNew!AT4/StockList!G4</f>
        <v>17.948717948717949</v>
      </c>
      <c r="AV5" s="27">
        <f>EscapeNew!AU4</f>
        <v>29</v>
      </c>
      <c r="AW5" s="27">
        <f>EscapeNew!AV4</f>
        <v>2</v>
      </c>
      <c r="AX5" s="27">
        <f t="shared" si="0"/>
        <v>93.640672512373825</v>
      </c>
    </row>
    <row r="6" spans="1:50" ht="9" customHeight="1" x14ac:dyDescent="0.2">
      <c r="A6" s="44" t="s">
        <v>174</v>
      </c>
      <c r="B6" s="45">
        <v>4</v>
      </c>
      <c r="C6" s="43">
        <v>1</v>
      </c>
      <c r="D6" s="41">
        <v>1</v>
      </c>
      <c r="E6" s="18" t="str">
        <f>EscapeNew!D5</f>
        <v>Spring 5.2</v>
      </c>
      <c r="F6" s="27">
        <f>EscapeNew!E5</f>
        <v>20</v>
      </c>
      <c r="G6" s="27">
        <f>EscapeNew!F5</f>
        <v>12</v>
      </c>
      <c r="H6" s="27">
        <f>EscapeNew!G5</f>
        <v>5</v>
      </c>
      <c r="I6" s="27">
        <f>EscapeNew!H5</f>
        <v>40</v>
      </c>
      <c r="J6" s="27">
        <f>EscapeNew!I5</f>
        <v>45</v>
      </c>
      <c r="K6" s="27">
        <f>EscapeNew!J5</f>
        <v>60</v>
      </c>
      <c r="L6" s="27">
        <f>EscapeNew!K5</f>
        <v>100</v>
      </c>
      <c r="M6" s="27">
        <f>EscapeNew!L5</f>
        <v>125</v>
      </c>
      <c r="N6" s="27">
        <f>EscapeNew!M5</f>
        <v>110</v>
      </c>
      <c r="O6" s="27">
        <f>EscapeNew!N5</f>
        <v>140</v>
      </c>
      <c r="P6" s="27">
        <f>EscapeNew!O5</f>
        <v>60</v>
      </c>
      <c r="Q6" s="27">
        <f>EscapeNew!P5</f>
        <v>20</v>
      </c>
      <c r="R6" s="27">
        <f>EscapeNew!Q5</f>
        <v>55</v>
      </c>
      <c r="S6" s="27">
        <f>EscapeNew!R5</f>
        <v>74</v>
      </c>
      <c r="T6" s="27">
        <f>EscapeNew!S5</f>
        <v>80</v>
      </c>
      <c r="U6" s="27">
        <f>EscapeNew!T5</f>
        <v>90</v>
      </c>
      <c r="V6" s="27">
        <f>EscapeNew!U5</f>
        <v>131</v>
      </c>
      <c r="W6" s="27">
        <f>EscapeNew!V5</f>
        <v>29</v>
      </c>
      <c r="X6" s="27">
        <f>EscapeNew!W5</f>
        <v>45</v>
      </c>
      <c r="Y6" s="27">
        <f>EscapeNew!X5</f>
        <v>161</v>
      </c>
      <c r="Z6" s="27">
        <f>EscapeNew!Y5</f>
        <v>46</v>
      </c>
      <c r="AA6" s="27">
        <f>EscapeNew!Z5</f>
        <v>62</v>
      </c>
      <c r="AB6" s="27">
        <f>EscapeNew!AA5</f>
        <v>57</v>
      </c>
      <c r="AC6" s="27">
        <f>EscapeNew!AB5</f>
        <v>132</v>
      </c>
      <c r="AD6" s="27">
        <f>EscapeNew!AC5</f>
        <v>385</v>
      </c>
      <c r="AE6" s="27">
        <f>EscapeNew!AD5</f>
        <v>238</v>
      </c>
      <c r="AF6" s="27">
        <f>EscapeNew!AE5</f>
        <v>77</v>
      </c>
      <c r="AG6" s="27">
        <f>EscapeNew!AF5</f>
        <v>174</v>
      </c>
      <c r="AH6" s="27">
        <f>EscapeNew!AG5</f>
        <v>42</v>
      </c>
      <c r="AI6" s="27">
        <f>EscapeNew!AH5</f>
        <v>20</v>
      </c>
      <c r="AJ6" s="27">
        <f>EscapeNew!AI5</f>
        <v>174</v>
      </c>
      <c r="AK6" s="27">
        <f>EscapeNew!AJ5</f>
        <v>58</v>
      </c>
      <c r="AL6" s="27">
        <f>EscapeNew!AK5</f>
        <v>86</v>
      </c>
      <c r="AM6" s="27">
        <f>EscapeNew!AL5</f>
        <v>38</v>
      </c>
      <c r="AN6" s="27">
        <f>EscapeNew!AM5</f>
        <v>66</v>
      </c>
      <c r="AO6" s="27">
        <f>EscapeNew!AN5</f>
        <v>145</v>
      </c>
      <c r="AP6" s="27">
        <f>EscapeNew!AO5</f>
        <v>71</v>
      </c>
      <c r="AQ6" s="27">
        <f>EscapeNew!AP5</f>
        <v>51</v>
      </c>
      <c r="AR6" s="27">
        <f>EscapeNew!AQ5</f>
        <v>68</v>
      </c>
      <c r="AS6" s="27">
        <f>EscapeNew!AR5</f>
        <v>23</v>
      </c>
      <c r="AT6" s="27">
        <f>EscapeNew!AS5/StockList!F5</f>
        <v>0</v>
      </c>
      <c r="AU6" s="27">
        <f>EscapeNew!AT5/StockList!G5</f>
        <v>19.23076923076923</v>
      </c>
      <c r="AV6" s="27">
        <f>EscapeNew!AU5</f>
        <v>74</v>
      </c>
      <c r="AW6" s="27">
        <f>EscapeNew!AV5</f>
        <v>132</v>
      </c>
      <c r="AX6" s="27">
        <f t="shared" si="0"/>
        <v>82.73251748251748</v>
      </c>
    </row>
    <row r="7" spans="1:50" ht="9" customHeight="1" x14ac:dyDescent="0.2">
      <c r="A7" s="18" t="s">
        <v>155</v>
      </c>
      <c r="B7" s="41">
        <v>5</v>
      </c>
      <c r="C7" s="43">
        <v>1</v>
      </c>
      <c r="D7" s="41">
        <v>1</v>
      </c>
      <c r="E7" s="18" t="str">
        <f>EscapeNew!D6</f>
        <v>Spring 5.2</v>
      </c>
      <c r="F7" s="27">
        <f>EscapeNew!E6</f>
        <v>450</v>
      </c>
      <c r="G7" s="27">
        <f>EscapeNew!F6</f>
        <v>500</v>
      </c>
      <c r="H7" s="27">
        <f>EscapeNew!G6</f>
        <v>400</v>
      </c>
      <c r="I7" s="27">
        <f>EscapeNew!H6</f>
        <v>900</v>
      </c>
      <c r="J7" s="27">
        <f>EscapeNew!I6</f>
        <v>1100</v>
      </c>
      <c r="K7" s="27">
        <f>EscapeNew!J6</f>
        <v>1750</v>
      </c>
      <c r="L7" s="27">
        <f>EscapeNew!K6</f>
        <v>2400</v>
      </c>
      <c r="M7" s="27">
        <f>EscapeNew!L6</f>
        <v>3000</v>
      </c>
      <c r="N7" s="27">
        <f>EscapeNew!M6</f>
        <v>3000</v>
      </c>
      <c r="O7" s="27">
        <f>EscapeNew!N6</f>
        <v>2700</v>
      </c>
      <c r="P7" s="27">
        <f>EscapeNew!O6</f>
        <v>1500</v>
      </c>
      <c r="Q7" s="27">
        <f>EscapeNew!P6</f>
        <v>2100</v>
      </c>
      <c r="R7" s="27">
        <f>EscapeNew!Q6</f>
        <v>1500</v>
      </c>
      <c r="S7" s="27">
        <f>EscapeNew!R6</f>
        <v>2150</v>
      </c>
      <c r="T7" s="27">
        <f>EscapeNew!S6</f>
        <v>2100</v>
      </c>
      <c r="U7" s="27">
        <f>EscapeNew!T6</f>
        <v>1877</v>
      </c>
      <c r="V7" s="27">
        <f>EscapeNew!U6</f>
        <v>2803</v>
      </c>
      <c r="W7" s="27">
        <f>EscapeNew!V6</f>
        <v>2774</v>
      </c>
      <c r="X7" s="27">
        <f>EscapeNew!W6</f>
        <v>2668</v>
      </c>
      <c r="Y7" s="27">
        <f>EscapeNew!X6</f>
        <v>1262</v>
      </c>
      <c r="Z7" s="27">
        <f>EscapeNew!Y6</f>
        <v>523</v>
      </c>
      <c r="AA7" s="27">
        <f>EscapeNew!Z6</f>
        <v>1784</v>
      </c>
      <c r="AB7" s="27">
        <f>EscapeNew!AA6</f>
        <v>1018</v>
      </c>
      <c r="AC7" s="27">
        <f>EscapeNew!AB6</f>
        <v>3740</v>
      </c>
      <c r="AD7" s="27">
        <f>EscapeNew!AC6</f>
        <v>4110</v>
      </c>
      <c r="AE7" s="27">
        <f>EscapeNew!AD6</f>
        <v>1376</v>
      </c>
      <c r="AF7" s="27">
        <f>EscapeNew!AE6</f>
        <v>821</v>
      </c>
      <c r="AG7" s="27">
        <f>EscapeNew!AF6</f>
        <v>1456</v>
      </c>
      <c r="AH7" s="27">
        <f>EscapeNew!AG6</f>
        <v>763</v>
      </c>
      <c r="AI7" s="27">
        <f>EscapeNew!AH6</f>
        <v>454</v>
      </c>
      <c r="AJ7" s="27">
        <f>EscapeNew!AI6</f>
        <v>2187</v>
      </c>
      <c r="AK7" s="27">
        <f>EscapeNew!AJ6</f>
        <v>212</v>
      </c>
      <c r="AL7" s="27">
        <f>EscapeNew!AK6</f>
        <v>420</v>
      </c>
      <c r="AM7" s="27">
        <f>EscapeNew!AL6</f>
        <v>203</v>
      </c>
      <c r="AN7" s="27">
        <f>EscapeNew!AM6</f>
        <v>1069</v>
      </c>
      <c r="AO7" s="27">
        <f>EscapeNew!AN6</f>
        <v>2011</v>
      </c>
      <c r="AP7" s="27">
        <f>EscapeNew!AO6</f>
        <v>860</v>
      </c>
      <c r="AQ7" s="27">
        <f>EscapeNew!AP6</f>
        <v>658</v>
      </c>
      <c r="AR7" s="27">
        <f>EscapeNew!AQ6</f>
        <v>428</v>
      </c>
      <c r="AS7" s="27">
        <f>EscapeNew!AR6</f>
        <v>637</v>
      </c>
      <c r="AT7" s="27">
        <f>EscapeNew!AS6/StockList!F6</f>
        <v>140</v>
      </c>
      <c r="AU7" s="27">
        <f>EscapeNew!AT6/StockList!G6</f>
        <v>528.20512820512818</v>
      </c>
      <c r="AV7" s="27">
        <f>EscapeNew!AU6</f>
        <v>188</v>
      </c>
      <c r="AW7" s="27">
        <f>EscapeNew!AV6</f>
        <v>805</v>
      </c>
      <c r="AX7" s="27">
        <f t="shared" si="0"/>
        <v>1439.2092074592074</v>
      </c>
    </row>
    <row r="8" spans="1:50" ht="9" customHeight="1" x14ac:dyDescent="0.2">
      <c r="A8" s="18" t="s">
        <v>167</v>
      </c>
      <c r="B8" s="41">
        <v>6</v>
      </c>
      <c r="C8" s="43">
        <v>1</v>
      </c>
      <c r="D8" s="41">
        <v>1</v>
      </c>
      <c r="E8" s="18" t="str">
        <f>EscapeNew!D7</f>
        <v>Spring 5.2</v>
      </c>
      <c r="F8" s="27">
        <f>EscapeNew!E7</f>
        <v>10</v>
      </c>
      <c r="G8" s="27">
        <f>EscapeNew!F7</f>
        <v>4</v>
      </c>
      <c r="H8" s="27">
        <f>EscapeNew!G7</f>
        <v>10</v>
      </c>
      <c r="I8" s="27">
        <f>EscapeNew!H7</f>
        <v>40</v>
      </c>
      <c r="J8" s="27">
        <f>EscapeNew!I7</f>
        <v>15</v>
      </c>
      <c r="K8" s="27">
        <f>EscapeNew!J7</f>
        <v>12</v>
      </c>
      <c r="L8" s="27">
        <f>EscapeNew!K7</f>
        <v>5</v>
      </c>
      <c r="M8" s="27">
        <f>EscapeNew!L7</f>
        <v>40</v>
      </c>
      <c r="N8" s="27">
        <f>EscapeNew!M7</f>
        <v>15</v>
      </c>
      <c r="O8" s="27">
        <f>EscapeNew!N7</f>
        <v>75</v>
      </c>
      <c r="P8" s="27">
        <f>EscapeNew!O7</f>
        <v>34.55550870505953</v>
      </c>
      <c r="Q8" s="27">
        <f>EscapeNew!P7</f>
        <v>40</v>
      </c>
      <c r="R8" s="27">
        <f>EscapeNew!Q7</f>
        <v>14</v>
      </c>
      <c r="S8" s="27">
        <f>EscapeNew!R7</f>
        <v>15</v>
      </c>
      <c r="T8" s="27">
        <f>EscapeNew!S7</f>
        <v>38.560380246643859</v>
      </c>
      <c r="U8" s="27">
        <f>EscapeNew!T7</f>
        <v>55.978210672181554</v>
      </c>
      <c r="V8" s="27">
        <f>EscapeNew!U7</f>
        <v>23</v>
      </c>
      <c r="W8" s="27">
        <f>EscapeNew!V7</f>
        <v>0</v>
      </c>
      <c r="X8" s="27">
        <f>EscapeNew!W7</f>
        <v>38.768128695800236</v>
      </c>
      <c r="Y8" s="27">
        <f>EscapeNew!X7</f>
        <v>20</v>
      </c>
      <c r="Z8" s="27">
        <f>EscapeNew!Y7</f>
        <v>22.999312729571187</v>
      </c>
      <c r="AA8" s="27">
        <f>EscapeNew!Z7</f>
        <v>32</v>
      </c>
      <c r="AB8" s="27">
        <f>EscapeNew!AA7</f>
        <v>9</v>
      </c>
      <c r="AC8" s="27">
        <f>EscapeNew!AB7</f>
        <v>122</v>
      </c>
      <c r="AD8" s="27">
        <f>EscapeNew!AC7</f>
        <v>49</v>
      </c>
      <c r="AE8" s="27">
        <f>EscapeNew!AD7</f>
        <v>68</v>
      </c>
      <c r="AF8" s="27">
        <f>EscapeNew!AE7</f>
        <v>78</v>
      </c>
      <c r="AG8" s="27">
        <f>EscapeNew!AF7</f>
        <v>11</v>
      </c>
      <c r="AH8" s="27">
        <f>EscapeNew!AG7</f>
        <v>17</v>
      </c>
      <c r="AI8" s="27">
        <f>EscapeNew!AH7</f>
        <v>18</v>
      </c>
      <c r="AJ8" s="27">
        <f>EscapeNew!AI7</f>
        <v>118</v>
      </c>
      <c r="AK8" s="27">
        <f>EscapeNew!AJ7</f>
        <v>29</v>
      </c>
      <c r="AL8" s="27">
        <f>EscapeNew!AK7</f>
        <v>35</v>
      </c>
      <c r="AM8" s="27">
        <f>EscapeNew!AL7</f>
        <v>5</v>
      </c>
      <c r="AN8" s="27">
        <f>EscapeNew!AM7</f>
        <v>25</v>
      </c>
      <c r="AO8" s="27">
        <f>EscapeNew!AN7</f>
        <v>23</v>
      </c>
      <c r="AP8" s="27">
        <f>EscapeNew!AO7</f>
        <v>28</v>
      </c>
      <c r="AQ8" s="27">
        <f>EscapeNew!AP7</f>
        <v>8</v>
      </c>
      <c r="AR8" s="27">
        <f>EscapeNew!AQ7</f>
        <v>6</v>
      </c>
      <c r="AS8" s="27">
        <f>EscapeNew!AR7</f>
        <v>0</v>
      </c>
      <c r="AT8" s="27">
        <f>EscapeNew!AS7/StockList!F7</f>
        <v>24.007151324491762</v>
      </c>
      <c r="AU8" s="27">
        <f>EscapeNew!AT7/StockList!G7</f>
        <v>37.179487179487175</v>
      </c>
      <c r="AV8" s="27">
        <f>EscapeNew!AU7</f>
        <v>15</v>
      </c>
      <c r="AW8" s="27">
        <f>EscapeNew!AV7</f>
        <v>43</v>
      </c>
      <c r="AX8" s="27">
        <f t="shared" si="0"/>
        <v>30.205640444391705</v>
      </c>
    </row>
    <row r="9" spans="1:50" ht="9" customHeight="1" x14ac:dyDescent="0.2">
      <c r="A9" s="44" t="s">
        <v>197</v>
      </c>
      <c r="B9" s="45">
        <v>7</v>
      </c>
      <c r="C9" s="43">
        <v>1</v>
      </c>
      <c r="D9" s="41">
        <v>1</v>
      </c>
      <c r="E9" s="18" t="str">
        <f>EscapeNew!D8</f>
        <v>Spring 5.2</v>
      </c>
      <c r="F9" s="27">
        <f>EscapeNew!E8</f>
        <v>25</v>
      </c>
      <c r="G9" s="27">
        <f>EscapeNew!F8</f>
        <v>0</v>
      </c>
      <c r="H9" s="27">
        <f>EscapeNew!G8</f>
        <v>10</v>
      </c>
      <c r="I9" s="27">
        <f>EscapeNew!H8</f>
        <v>20</v>
      </c>
      <c r="J9" s="27">
        <f>EscapeNew!I8</f>
        <v>10</v>
      </c>
      <c r="K9" s="27">
        <f>EscapeNew!J8</f>
        <v>45</v>
      </c>
      <c r="L9" s="27">
        <f>EscapeNew!K8</f>
        <v>50</v>
      </c>
      <c r="M9" s="27">
        <f>EscapeNew!L8</f>
        <v>50</v>
      </c>
      <c r="N9" s="27">
        <f>EscapeNew!M8</f>
        <v>105</v>
      </c>
      <c r="O9" s="27">
        <f>EscapeNew!N8</f>
        <v>70</v>
      </c>
      <c r="P9" s="27">
        <f>EscapeNew!O8</f>
        <v>20</v>
      </c>
      <c r="Q9" s="27">
        <f>EscapeNew!P8</f>
        <v>70</v>
      </c>
      <c r="R9" s="27">
        <f>EscapeNew!Q8</f>
        <v>42</v>
      </c>
      <c r="S9" s="27">
        <f>EscapeNew!R8</f>
        <v>50</v>
      </c>
      <c r="T9" s="27">
        <f>EscapeNew!S8</f>
        <v>60</v>
      </c>
      <c r="U9" s="27">
        <f>EscapeNew!T8</f>
        <v>43</v>
      </c>
      <c r="V9" s="27">
        <f>EscapeNew!U8</f>
        <v>0</v>
      </c>
      <c r="W9" s="27">
        <f>EscapeNew!V8</f>
        <v>75</v>
      </c>
      <c r="X9" s="27">
        <f>EscapeNew!W8</f>
        <v>0</v>
      </c>
      <c r="Y9" s="27">
        <f>EscapeNew!X8</f>
        <v>88</v>
      </c>
      <c r="Z9" s="27">
        <f>EscapeNew!Y8</f>
        <v>41.68847330512888</v>
      </c>
      <c r="AA9" s="27">
        <f>EscapeNew!Z8</f>
        <v>52</v>
      </c>
      <c r="AB9" s="27">
        <f>EscapeNew!AA8</f>
        <v>49</v>
      </c>
      <c r="AC9" s="27">
        <f>EscapeNew!AB8</f>
        <v>73</v>
      </c>
      <c r="AD9" s="27">
        <f>EscapeNew!AC8</f>
        <v>160</v>
      </c>
      <c r="AE9" s="27">
        <f>EscapeNew!AD8</f>
        <v>102</v>
      </c>
      <c r="AF9" s="27">
        <f>EscapeNew!AE8</f>
        <v>70</v>
      </c>
      <c r="AG9" s="27">
        <f>EscapeNew!AF8</f>
        <v>100</v>
      </c>
      <c r="AH9" s="27">
        <f>EscapeNew!AG8</f>
        <v>20</v>
      </c>
      <c r="AI9" s="27">
        <f>EscapeNew!AH8</f>
        <v>34</v>
      </c>
      <c r="AJ9" s="27">
        <f>EscapeNew!AI8</f>
        <v>196</v>
      </c>
      <c r="AK9" s="27">
        <f>EscapeNew!AJ8</f>
        <v>23</v>
      </c>
      <c r="AL9" s="27">
        <f>EscapeNew!AK8</f>
        <v>17</v>
      </c>
      <c r="AM9" s="27">
        <f>EscapeNew!AL8</f>
        <v>51</v>
      </c>
      <c r="AN9" s="27">
        <f>EscapeNew!AM8</f>
        <v>73</v>
      </c>
      <c r="AO9" s="27">
        <f>EscapeNew!AN8</f>
        <v>97</v>
      </c>
      <c r="AP9" s="27">
        <f>EscapeNew!AO8</f>
        <v>21</v>
      </c>
      <c r="AQ9" s="27">
        <f>EscapeNew!AP8</f>
        <v>24</v>
      </c>
      <c r="AR9" s="27">
        <f>EscapeNew!AQ8</f>
        <v>56</v>
      </c>
      <c r="AS9" s="27">
        <f>EscapeNew!AR8</f>
        <v>52</v>
      </c>
      <c r="AT9" s="27">
        <f>EscapeNew!AS8/StockList!F8</f>
        <v>43.515277995088347</v>
      </c>
      <c r="AU9" s="27">
        <f>EscapeNew!AT8/StockList!G8</f>
        <v>45.75034492184605</v>
      </c>
      <c r="AV9" s="27">
        <f>EscapeNew!AU8</f>
        <v>2</v>
      </c>
      <c r="AW9" s="27">
        <f>EscapeNew!AV8</f>
        <v>58</v>
      </c>
      <c r="AX9" s="27">
        <f t="shared" si="0"/>
        <v>52.135320368683253</v>
      </c>
    </row>
    <row r="10" spans="1:50" ht="9" customHeight="1" x14ac:dyDescent="0.2">
      <c r="A10" s="18" t="s">
        <v>152</v>
      </c>
      <c r="B10" s="41">
        <v>8</v>
      </c>
      <c r="C10" s="43">
        <v>1</v>
      </c>
      <c r="D10" s="41">
        <v>1</v>
      </c>
      <c r="E10" s="18" t="str">
        <f>EscapeNew!D9</f>
        <v>Spring 5.2</v>
      </c>
      <c r="F10" s="27">
        <f>EscapeNew!E9</f>
        <v>15</v>
      </c>
      <c r="G10" s="27">
        <f>EscapeNew!F9</f>
        <v>85</v>
      </c>
      <c r="H10" s="27">
        <f>EscapeNew!G9</f>
        <v>20</v>
      </c>
      <c r="I10" s="27">
        <f>EscapeNew!H9</f>
        <v>50</v>
      </c>
      <c r="J10" s="27">
        <f>EscapeNew!I9</f>
        <v>10</v>
      </c>
      <c r="K10" s="27">
        <f>EscapeNew!J9</f>
        <v>130</v>
      </c>
      <c r="L10" s="27">
        <f>EscapeNew!K9</f>
        <v>85</v>
      </c>
      <c r="M10" s="27">
        <f>EscapeNew!L9</f>
        <v>150</v>
      </c>
      <c r="N10" s="27">
        <f>EscapeNew!M9</f>
        <v>160</v>
      </c>
      <c r="O10" s="27">
        <f>EscapeNew!N9</f>
        <v>110</v>
      </c>
      <c r="P10" s="27">
        <f>EscapeNew!O9</f>
        <v>50</v>
      </c>
      <c r="Q10" s="27">
        <f>EscapeNew!P9</f>
        <v>100</v>
      </c>
      <c r="R10" s="27">
        <f>EscapeNew!Q9</f>
        <v>107</v>
      </c>
      <c r="S10" s="27">
        <f>EscapeNew!R9</f>
        <v>100</v>
      </c>
      <c r="T10" s="27">
        <f>EscapeNew!S9</f>
        <v>55</v>
      </c>
      <c r="U10" s="27">
        <f>EscapeNew!T9</f>
        <v>293</v>
      </c>
      <c r="V10" s="27">
        <f>EscapeNew!U9</f>
        <v>400</v>
      </c>
      <c r="W10" s="27">
        <f>EscapeNew!V9</f>
        <v>442</v>
      </c>
      <c r="X10" s="27">
        <f>EscapeNew!W9</f>
        <v>229</v>
      </c>
      <c r="Y10" s="27">
        <f>EscapeNew!X9</f>
        <v>186</v>
      </c>
      <c r="Z10" s="27">
        <f>EscapeNew!Y9</f>
        <v>86</v>
      </c>
      <c r="AA10" s="27">
        <f>EscapeNew!Z9</f>
        <v>212</v>
      </c>
      <c r="AB10" s="27">
        <f>EscapeNew!AA9</f>
        <v>411</v>
      </c>
      <c r="AC10" s="27">
        <f>EscapeNew!AB9</f>
        <v>820</v>
      </c>
      <c r="AD10" s="27">
        <f>EscapeNew!AC9</f>
        <v>569</v>
      </c>
      <c r="AE10" s="27">
        <f>EscapeNew!AD9</f>
        <v>183</v>
      </c>
      <c r="AF10" s="27">
        <f>EscapeNew!AE9</f>
        <v>151</v>
      </c>
      <c r="AG10" s="27">
        <f>EscapeNew!AF9</f>
        <v>172</v>
      </c>
      <c r="AH10" s="27">
        <f>EscapeNew!AG9</f>
        <v>114</v>
      </c>
      <c r="AI10" s="27">
        <f>EscapeNew!AH9</f>
        <v>145</v>
      </c>
      <c r="AJ10" s="27">
        <f>EscapeNew!AI9</f>
        <v>311</v>
      </c>
      <c r="AK10" s="27">
        <f>EscapeNew!AJ9</f>
        <v>75</v>
      </c>
      <c r="AL10" s="27">
        <f>EscapeNew!AK9</f>
        <v>55</v>
      </c>
      <c r="AM10" s="27">
        <f>EscapeNew!AL9</f>
        <v>35</v>
      </c>
      <c r="AN10" s="27">
        <f>EscapeNew!AM9</f>
        <v>125</v>
      </c>
      <c r="AO10" s="27">
        <f>EscapeNew!AN9</f>
        <v>237</v>
      </c>
      <c r="AP10" s="27">
        <f>EscapeNew!AO9</f>
        <v>115</v>
      </c>
      <c r="AQ10" s="27">
        <f>EscapeNew!AP9</f>
        <v>65</v>
      </c>
      <c r="AR10" s="27">
        <f>EscapeNew!AQ9</f>
        <v>42</v>
      </c>
      <c r="AS10" s="27">
        <f>EscapeNew!AR9</f>
        <v>55</v>
      </c>
      <c r="AT10" s="27">
        <f>EscapeNew!AS9/StockList!F9</f>
        <v>10</v>
      </c>
      <c r="AU10" s="27">
        <f>EscapeNew!AT9/StockList!G9</f>
        <v>79.487179487179489</v>
      </c>
      <c r="AV10" s="27">
        <f>EscapeNew!AU9</f>
        <v>148</v>
      </c>
      <c r="AW10" s="27">
        <f>EscapeNew!AV9</f>
        <v>112</v>
      </c>
      <c r="AX10" s="27">
        <f t="shared" si="0"/>
        <v>161.46561771561773</v>
      </c>
    </row>
    <row r="11" spans="1:50" ht="9" customHeight="1" x14ac:dyDescent="0.2">
      <c r="A11" s="44" t="s">
        <v>169</v>
      </c>
      <c r="B11" s="45">
        <v>9</v>
      </c>
      <c r="C11" s="43">
        <v>1</v>
      </c>
      <c r="D11" s="41">
        <v>1</v>
      </c>
      <c r="E11" s="18" t="str">
        <f>EscapeNew!D10</f>
        <v>Spring 5.2</v>
      </c>
      <c r="F11" s="27">
        <f>EscapeNew!E10</f>
        <v>200</v>
      </c>
      <c r="G11" s="27">
        <f>EscapeNew!F10</f>
        <v>429.37725728655357</v>
      </c>
      <c r="H11" s="27">
        <f>EscapeNew!G10</f>
        <v>150</v>
      </c>
      <c r="I11" s="27">
        <f>EscapeNew!H10</f>
        <v>358.64237332180869</v>
      </c>
      <c r="J11" s="27">
        <f>EscapeNew!I10</f>
        <v>544.26947093664637</v>
      </c>
      <c r="K11" s="27">
        <f>EscapeNew!J10</f>
        <v>150</v>
      </c>
      <c r="L11" s="27">
        <f>EscapeNew!K10</f>
        <v>400</v>
      </c>
      <c r="M11" s="27">
        <f>EscapeNew!L10</f>
        <v>1000</v>
      </c>
      <c r="N11" s="27">
        <f>EscapeNew!M10</f>
        <v>2000</v>
      </c>
      <c r="O11" s="27">
        <f>EscapeNew!N10</f>
        <v>1800</v>
      </c>
      <c r="P11" s="27">
        <f>EscapeNew!O10</f>
        <v>400</v>
      </c>
      <c r="Q11" s="27">
        <f>EscapeNew!P10</f>
        <v>1000</v>
      </c>
      <c r="R11" s="27">
        <f>EscapeNew!Q10</f>
        <v>1000</v>
      </c>
      <c r="S11" s="27">
        <f>EscapeNew!R10</f>
        <v>1800</v>
      </c>
      <c r="T11" s="27">
        <f>EscapeNew!S10</f>
        <v>904.38253291807928</v>
      </c>
      <c r="U11" s="27">
        <f>EscapeNew!T10</f>
        <v>1231</v>
      </c>
      <c r="V11" s="27">
        <f>EscapeNew!U10</f>
        <v>314</v>
      </c>
      <c r="W11" s="27">
        <f>EscapeNew!V10</f>
        <v>500</v>
      </c>
      <c r="X11" s="27">
        <f>EscapeNew!W10</f>
        <v>549</v>
      </c>
      <c r="Y11" s="27">
        <f>EscapeNew!X10</f>
        <v>1788</v>
      </c>
      <c r="Z11" s="27">
        <f>EscapeNew!Y10</f>
        <v>591</v>
      </c>
      <c r="AA11" s="27">
        <f>EscapeNew!Z10</f>
        <v>694</v>
      </c>
      <c r="AB11" s="27">
        <f>EscapeNew!AA10</f>
        <v>751.68125548384376</v>
      </c>
      <c r="AC11" s="27">
        <f>EscapeNew!AB10</f>
        <v>0.01</v>
      </c>
      <c r="AD11" s="27">
        <f>EscapeNew!AC10</f>
        <v>241</v>
      </c>
      <c r="AE11" s="27">
        <f>EscapeNew!AD10</f>
        <v>1044</v>
      </c>
      <c r="AF11" s="27">
        <f>EscapeNew!AE10</f>
        <v>386</v>
      </c>
      <c r="AG11" s="27">
        <f>EscapeNew!AF10</f>
        <v>549</v>
      </c>
      <c r="AH11" s="27">
        <f>EscapeNew!AG10</f>
        <v>410</v>
      </c>
      <c r="AI11" s="27">
        <f>EscapeNew!AH10</f>
        <v>185</v>
      </c>
      <c r="AJ11" s="27">
        <f>EscapeNew!AI10</f>
        <v>1309</v>
      </c>
      <c r="AK11" s="27">
        <f>EscapeNew!AJ10</f>
        <v>482</v>
      </c>
      <c r="AL11" s="27">
        <f>EscapeNew!AK10</f>
        <v>71</v>
      </c>
      <c r="AM11" s="27">
        <f>EscapeNew!AL10</f>
        <v>6</v>
      </c>
      <c r="AN11" s="27">
        <f>EscapeNew!AM10</f>
        <v>300</v>
      </c>
      <c r="AO11" s="27">
        <f>EscapeNew!AN10</f>
        <v>466</v>
      </c>
      <c r="AP11" s="27">
        <f>EscapeNew!AO10</f>
        <v>828</v>
      </c>
      <c r="AQ11" s="27">
        <f>EscapeNew!AP10</f>
        <v>364.22006349333395</v>
      </c>
      <c r="AR11" s="27">
        <f>EscapeNew!AQ10</f>
        <v>231.40128548754811</v>
      </c>
      <c r="AS11" s="27">
        <f>EscapeNew!AR10</f>
        <v>241.40018645405794</v>
      </c>
      <c r="AT11" s="27">
        <f>EscapeNew!AS10/StockList!F10</f>
        <v>563.05586677613678</v>
      </c>
      <c r="AU11" s="27">
        <f>EscapeNew!AT10/StockList!G10</f>
        <v>591.97599790549066</v>
      </c>
      <c r="AV11" s="27">
        <f>EscapeNew!AU10</f>
        <v>516.05068940141393</v>
      </c>
      <c r="AW11" s="27">
        <f>EscapeNew!AV10</f>
        <v>614.43597068453255</v>
      </c>
      <c r="AX11" s="27">
        <f t="shared" si="0"/>
        <v>635.33870341248723</v>
      </c>
    </row>
    <row r="12" spans="1:50" ht="9" customHeight="1" x14ac:dyDescent="0.2">
      <c r="A12" s="18" t="s">
        <v>199</v>
      </c>
      <c r="B12" s="41">
        <v>10</v>
      </c>
      <c r="C12" s="43">
        <v>1</v>
      </c>
      <c r="D12" s="41">
        <v>1</v>
      </c>
      <c r="E12" s="18" t="str">
        <f>EscapeNew!D11</f>
        <v>Spring 5.2</v>
      </c>
      <c r="F12" s="27">
        <f>EscapeNew!E11</f>
        <v>200</v>
      </c>
      <c r="G12" s="27">
        <f>EscapeNew!F11</f>
        <v>250</v>
      </c>
      <c r="H12" s="27">
        <f>EscapeNew!G11</f>
        <v>140</v>
      </c>
      <c r="I12" s="27">
        <f>EscapeNew!H11</f>
        <v>175</v>
      </c>
      <c r="J12" s="27">
        <f>EscapeNew!I11</f>
        <v>125</v>
      </c>
      <c r="K12" s="27">
        <f>EscapeNew!J11</f>
        <v>400</v>
      </c>
      <c r="L12" s="27">
        <f>EscapeNew!K11</f>
        <v>500</v>
      </c>
      <c r="M12" s="27">
        <f>EscapeNew!L11</f>
        <v>1000</v>
      </c>
      <c r="N12" s="27">
        <f>EscapeNew!M11</f>
        <v>500</v>
      </c>
      <c r="O12" s="27">
        <f>EscapeNew!N11</f>
        <v>800</v>
      </c>
      <c r="P12" s="27">
        <f>EscapeNew!O11</f>
        <v>75</v>
      </c>
      <c r="Q12" s="27">
        <f>EscapeNew!P11</f>
        <v>200</v>
      </c>
      <c r="R12" s="27">
        <f>EscapeNew!Q11</f>
        <v>100</v>
      </c>
      <c r="S12" s="27">
        <f>EscapeNew!R11</f>
        <v>500</v>
      </c>
      <c r="T12" s="27">
        <f>EscapeNew!S11</f>
        <v>150</v>
      </c>
      <c r="U12" s="27">
        <f>EscapeNew!T11</f>
        <v>240</v>
      </c>
      <c r="V12" s="27">
        <f>EscapeNew!U11</f>
        <v>91</v>
      </c>
      <c r="W12" s="27">
        <f>EscapeNew!V11</f>
        <v>328</v>
      </c>
      <c r="X12" s="27">
        <f>EscapeNew!W11</f>
        <v>94</v>
      </c>
      <c r="Y12" s="27">
        <f>EscapeNew!X11</f>
        <v>392</v>
      </c>
      <c r="Z12" s="27">
        <f>EscapeNew!Y11</f>
        <v>206</v>
      </c>
      <c r="AA12" s="27">
        <f>EscapeNew!Z11</f>
        <v>252</v>
      </c>
      <c r="AB12" s="27">
        <f>EscapeNew!AA11</f>
        <v>177</v>
      </c>
      <c r="AC12" s="27">
        <f>EscapeNew!AB11</f>
        <v>381</v>
      </c>
      <c r="AD12" s="27">
        <f>EscapeNew!AC11</f>
        <v>543</v>
      </c>
      <c r="AE12" s="27">
        <f>EscapeNew!AD11</f>
        <v>277</v>
      </c>
      <c r="AF12" s="27">
        <f>EscapeNew!AE11</f>
        <v>103</v>
      </c>
      <c r="AG12" s="27">
        <f>EscapeNew!AF11</f>
        <v>234</v>
      </c>
      <c r="AH12" s="27">
        <f>EscapeNew!AG11</f>
        <v>160</v>
      </c>
      <c r="AI12" s="27">
        <f>EscapeNew!AH11</f>
        <v>189</v>
      </c>
      <c r="AJ12" s="27">
        <f>EscapeNew!AI11</f>
        <v>494</v>
      </c>
      <c r="AK12" s="27">
        <f>EscapeNew!AJ11</f>
        <v>75</v>
      </c>
      <c r="AL12" s="27">
        <f>EscapeNew!AK11</f>
        <v>80</v>
      </c>
      <c r="AM12" s="27">
        <f>EscapeNew!AL11</f>
        <v>40</v>
      </c>
      <c r="AN12" s="27">
        <f>EscapeNew!AM11</f>
        <v>294</v>
      </c>
      <c r="AO12" s="27">
        <f>EscapeNew!AN11</f>
        <v>294</v>
      </c>
      <c r="AP12" s="27">
        <f>EscapeNew!AO11</f>
        <v>46</v>
      </c>
      <c r="AQ12" s="27">
        <f>EscapeNew!AP11</f>
        <v>128</v>
      </c>
      <c r="AR12" s="27">
        <f>EscapeNew!AQ11</f>
        <v>166</v>
      </c>
      <c r="AS12" s="27">
        <f>EscapeNew!AR11</f>
        <v>112</v>
      </c>
      <c r="AT12" s="27">
        <f>EscapeNew!AS11/StockList!F11</f>
        <v>0</v>
      </c>
      <c r="AU12" s="27">
        <f>EscapeNew!AT11/StockList!G11</f>
        <v>76.92307692307692</v>
      </c>
      <c r="AV12" s="27">
        <f>EscapeNew!AU11</f>
        <v>122</v>
      </c>
      <c r="AW12" s="27">
        <f>EscapeNew!AV11</f>
        <v>213</v>
      </c>
      <c r="AX12" s="27">
        <f t="shared" si="0"/>
        <v>248.24825174825173</v>
      </c>
    </row>
    <row r="13" spans="1:50" ht="9" customHeight="1" x14ac:dyDescent="0.2">
      <c r="A13" s="18" t="s">
        <v>124</v>
      </c>
      <c r="B13" s="41">
        <v>11</v>
      </c>
      <c r="C13" s="43">
        <v>1</v>
      </c>
      <c r="D13" s="41">
        <v>1</v>
      </c>
      <c r="E13" s="18" t="str">
        <f>EscapeNew!D12</f>
        <v>Spring 5.2</v>
      </c>
      <c r="F13" s="27">
        <f>EscapeNew!E12</f>
        <v>750</v>
      </c>
      <c r="G13" s="27">
        <f>EscapeNew!F12</f>
        <v>550</v>
      </c>
      <c r="H13" s="27">
        <f>EscapeNew!G12</f>
        <v>510</v>
      </c>
      <c r="I13" s="27">
        <f>EscapeNew!H12</f>
        <v>300</v>
      </c>
      <c r="J13" s="27">
        <f>EscapeNew!I12</f>
        <v>1000</v>
      </c>
      <c r="K13" s="27">
        <f>EscapeNew!J12</f>
        <v>1500</v>
      </c>
      <c r="L13" s="27">
        <f>EscapeNew!K12</f>
        <v>1500</v>
      </c>
      <c r="M13" s="27">
        <f>EscapeNew!L12</f>
        <v>3000</v>
      </c>
      <c r="N13" s="27">
        <f>EscapeNew!M12</f>
        <v>2800</v>
      </c>
      <c r="O13" s="27">
        <f>EscapeNew!N12</f>
        <v>2000</v>
      </c>
      <c r="P13" s="27">
        <f>EscapeNew!O12</f>
        <v>1900</v>
      </c>
      <c r="Q13" s="27">
        <f>EscapeNew!P12</f>
        <v>2000</v>
      </c>
      <c r="R13" s="27">
        <f>EscapeNew!Q12</f>
        <v>2000</v>
      </c>
      <c r="S13" s="27">
        <f>EscapeNew!R12</f>
        <v>2600</v>
      </c>
      <c r="T13" s="27">
        <f>EscapeNew!S12</f>
        <v>1000</v>
      </c>
      <c r="U13" s="27">
        <f>EscapeNew!T12</f>
        <v>1921</v>
      </c>
      <c r="V13" s="27">
        <f>EscapeNew!U12</f>
        <v>1422</v>
      </c>
      <c r="W13" s="27">
        <f>EscapeNew!V12</f>
        <v>738</v>
      </c>
      <c r="X13" s="27">
        <f>EscapeNew!W12</f>
        <v>1042</v>
      </c>
      <c r="Y13" s="27">
        <f>EscapeNew!X12</f>
        <v>2293</v>
      </c>
      <c r="Z13" s="27">
        <f>EscapeNew!Y12</f>
        <v>1503</v>
      </c>
      <c r="AA13" s="27">
        <f>EscapeNew!Z12</f>
        <v>1466</v>
      </c>
      <c r="AB13" s="27">
        <f>EscapeNew!AA12</f>
        <v>1755</v>
      </c>
      <c r="AC13" s="27">
        <f>EscapeNew!AB12</f>
        <v>2565</v>
      </c>
      <c r="AD13" s="27">
        <f>EscapeNew!AC12</f>
        <v>4457</v>
      </c>
      <c r="AE13" s="27">
        <f>EscapeNew!AD12</f>
        <v>2730</v>
      </c>
      <c r="AF13" s="27">
        <f>EscapeNew!AE12</f>
        <v>1027</v>
      </c>
      <c r="AG13" s="27">
        <f>EscapeNew!AF12</f>
        <v>1221</v>
      </c>
      <c r="AH13" s="27">
        <f>EscapeNew!AG12</f>
        <v>886</v>
      </c>
      <c r="AI13" s="27">
        <f>EscapeNew!AH12</f>
        <v>941</v>
      </c>
      <c r="AJ13" s="27">
        <f>EscapeNew!AI12</f>
        <v>1966</v>
      </c>
      <c r="AK13" s="27">
        <f>EscapeNew!AJ12</f>
        <v>905</v>
      </c>
      <c r="AL13" s="27">
        <f>EscapeNew!AK12</f>
        <v>698</v>
      </c>
      <c r="AM13" s="27">
        <f>EscapeNew!AL12</f>
        <v>615</v>
      </c>
      <c r="AN13" s="27">
        <f>EscapeNew!AM12</f>
        <v>1038</v>
      </c>
      <c r="AO13" s="27">
        <f>EscapeNew!AN12</f>
        <v>1160</v>
      </c>
      <c r="AP13" s="27">
        <f>EscapeNew!AO12</f>
        <v>1063</v>
      </c>
      <c r="AQ13" s="27">
        <f>EscapeNew!AP12</f>
        <v>715</v>
      </c>
      <c r="AR13" s="27">
        <f>EscapeNew!AQ12</f>
        <v>588</v>
      </c>
      <c r="AS13" s="27">
        <f>EscapeNew!AR12</f>
        <v>643</v>
      </c>
      <c r="AT13" s="27">
        <f>EscapeNew!AS12/StockList!F12</f>
        <v>40</v>
      </c>
      <c r="AU13" s="27">
        <f>EscapeNew!AT12/StockList!G12</f>
        <v>601.28205128205127</v>
      </c>
      <c r="AV13" s="27">
        <f>EscapeNew!AU12</f>
        <v>909</v>
      </c>
      <c r="AW13" s="27">
        <f>EscapeNew!AV12</f>
        <v>1048</v>
      </c>
      <c r="AX13" s="27">
        <f t="shared" si="0"/>
        <v>1394.6882284382284</v>
      </c>
    </row>
    <row r="14" spans="1:50" ht="9" customHeight="1" x14ac:dyDescent="0.2">
      <c r="A14" s="44" t="s">
        <v>145</v>
      </c>
      <c r="B14" s="45">
        <v>12</v>
      </c>
      <c r="C14" s="43">
        <v>1</v>
      </c>
      <c r="D14" s="41">
        <v>1</v>
      </c>
      <c r="E14" s="18" t="str">
        <f>EscapeNew!D13</f>
        <v>Spring 5.2</v>
      </c>
      <c r="F14" s="27">
        <f>EscapeNew!E13</f>
        <v>205.97387180166049</v>
      </c>
      <c r="G14" s="27">
        <f>EscapeNew!F13</f>
        <v>239.94435271219777</v>
      </c>
      <c r="H14" s="27">
        <f>EscapeNew!G13</f>
        <v>10</v>
      </c>
      <c r="I14" s="27">
        <f>EscapeNew!H13</f>
        <v>80</v>
      </c>
      <c r="J14" s="27">
        <f>EscapeNew!I13</f>
        <v>75</v>
      </c>
      <c r="K14" s="27">
        <f>EscapeNew!J13</f>
        <v>200</v>
      </c>
      <c r="L14" s="27">
        <f>EscapeNew!K13</f>
        <v>450</v>
      </c>
      <c r="M14" s="27">
        <f>EscapeNew!L13</f>
        <v>450</v>
      </c>
      <c r="N14" s="27">
        <f>EscapeNew!M13</f>
        <v>295</v>
      </c>
      <c r="O14" s="27">
        <f>EscapeNew!N13</f>
        <v>205</v>
      </c>
      <c r="P14" s="27">
        <f>EscapeNew!O13</f>
        <v>135</v>
      </c>
      <c r="Q14" s="27">
        <f>EscapeNew!P13</f>
        <v>486</v>
      </c>
      <c r="R14" s="27">
        <f>EscapeNew!Q13</f>
        <v>665</v>
      </c>
      <c r="S14" s="27">
        <f>EscapeNew!R13</f>
        <v>556</v>
      </c>
      <c r="T14" s="27">
        <f>EscapeNew!S13</f>
        <v>718</v>
      </c>
      <c r="U14" s="27">
        <f>EscapeNew!T13</f>
        <v>728</v>
      </c>
      <c r="V14" s="27">
        <f>EscapeNew!U13</f>
        <v>666</v>
      </c>
      <c r="W14" s="27">
        <f>EscapeNew!V13</f>
        <v>640</v>
      </c>
      <c r="X14" s="27">
        <f>EscapeNew!W13</f>
        <v>665</v>
      </c>
      <c r="Y14" s="27">
        <f>EscapeNew!X13</f>
        <v>435</v>
      </c>
      <c r="Z14" s="27">
        <f>EscapeNew!Y13</f>
        <v>342</v>
      </c>
      <c r="AA14" s="27">
        <f>EscapeNew!Z13</f>
        <v>280</v>
      </c>
      <c r="AB14" s="27">
        <f>EscapeNew!AA13</f>
        <v>385</v>
      </c>
      <c r="AC14" s="27">
        <f>EscapeNew!AB13</f>
        <v>574</v>
      </c>
      <c r="AD14" s="27">
        <f>EscapeNew!AC13</f>
        <v>505</v>
      </c>
      <c r="AE14" s="27">
        <f>EscapeNew!AD13</f>
        <v>228</v>
      </c>
      <c r="AF14" s="27">
        <f>EscapeNew!AE13</f>
        <v>253</v>
      </c>
      <c r="AG14" s="27">
        <f>EscapeNew!AF13</f>
        <v>248</v>
      </c>
      <c r="AH14" s="27">
        <f>EscapeNew!AG13</f>
        <v>181</v>
      </c>
      <c r="AI14" s="27">
        <f>EscapeNew!AH13</f>
        <v>226</v>
      </c>
      <c r="AJ14" s="27">
        <f>EscapeNew!AI13</f>
        <v>369.45276187591151</v>
      </c>
      <c r="AK14" s="27">
        <f>EscapeNew!AJ13</f>
        <v>254.76122774416555</v>
      </c>
      <c r="AL14" s="27">
        <f>EscapeNew!AK13</f>
        <v>166.43814181902596</v>
      </c>
      <c r="AM14" s="27">
        <f>EscapeNew!AL13</f>
        <v>160.94453595833619</v>
      </c>
      <c r="AN14" s="27">
        <f>EscapeNew!AM13</f>
        <v>240.95813812078737</v>
      </c>
      <c r="AO14" s="27">
        <f>EscapeNew!AN13</f>
        <v>494.10968801484302</v>
      </c>
      <c r="AP14" s="27">
        <f>EscapeNew!AO13</f>
        <v>342.88813963685266</v>
      </c>
      <c r="AQ14" s="27">
        <f>EscapeNew!AP13</f>
        <v>203.53324703776849</v>
      </c>
      <c r="AR14" s="27">
        <f>EscapeNew!AQ13</f>
        <v>129.3115336707867</v>
      </c>
      <c r="AS14" s="27">
        <f>EscapeNew!AR13</f>
        <v>134.89911377552761</v>
      </c>
      <c r="AT14" s="27">
        <f>EscapeNew!AS13/StockList!F13</f>
        <v>314.64655661592832</v>
      </c>
      <c r="AU14" s="27">
        <f>EscapeNew!AT13/StockList!G13</f>
        <v>330.80768771084712</v>
      </c>
      <c r="AV14" s="27">
        <f>EscapeNew!AU13</f>
        <v>288.37915034812755</v>
      </c>
      <c r="AW14" s="27">
        <f>EscapeNew!AV13</f>
        <v>343.35875682069582</v>
      </c>
      <c r="AX14" s="27">
        <f t="shared" si="0"/>
        <v>338.66833871962422</v>
      </c>
    </row>
    <row r="15" spans="1:50" ht="9" customHeight="1" x14ac:dyDescent="0.2">
      <c r="A15" s="18" t="s">
        <v>185</v>
      </c>
      <c r="B15" s="41">
        <v>13</v>
      </c>
      <c r="C15" s="43">
        <v>1</v>
      </c>
      <c r="D15" s="41">
        <v>1</v>
      </c>
      <c r="E15" s="18" t="str">
        <f>EscapeNew!D14</f>
        <v>Spring 5.2</v>
      </c>
      <c r="F15" s="27">
        <f>EscapeNew!E14</f>
        <v>1500</v>
      </c>
      <c r="G15" s="27">
        <f>EscapeNew!F14</f>
        <v>1900</v>
      </c>
      <c r="H15" s="27">
        <f>EscapeNew!G14</f>
        <v>1335</v>
      </c>
      <c r="I15" s="27">
        <f>EscapeNew!H14</f>
        <v>1800</v>
      </c>
      <c r="J15" s="27">
        <f>EscapeNew!I14</f>
        <v>2000</v>
      </c>
      <c r="K15" s="27">
        <f>EscapeNew!J14</f>
        <v>1800</v>
      </c>
      <c r="L15" s="27">
        <f>EscapeNew!K14</f>
        <v>5000</v>
      </c>
      <c r="M15" s="27">
        <f>EscapeNew!L14</f>
        <v>5500</v>
      </c>
      <c r="N15" s="27">
        <f>EscapeNew!M14</f>
        <v>3750</v>
      </c>
      <c r="O15" s="27">
        <f>EscapeNew!N14</f>
        <v>5066</v>
      </c>
      <c r="P15" s="27">
        <f>EscapeNew!O14</f>
        <v>2000</v>
      </c>
      <c r="Q15" s="27">
        <f>EscapeNew!P14</f>
        <v>5000</v>
      </c>
      <c r="R15" s="27">
        <f>EscapeNew!Q14</f>
        <v>2500</v>
      </c>
      <c r="S15" s="27">
        <f>EscapeNew!R14</f>
        <v>1725</v>
      </c>
      <c r="T15" s="27">
        <f>EscapeNew!S14</f>
        <v>1300</v>
      </c>
      <c r="U15" s="27">
        <f>EscapeNew!T14</f>
        <v>2473</v>
      </c>
      <c r="V15" s="27">
        <f>EscapeNew!U14</f>
        <v>4652</v>
      </c>
      <c r="W15" s="27">
        <f>EscapeNew!V14</f>
        <v>1994</v>
      </c>
      <c r="X15" s="27">
        <f>EscapeNew!W14</f>
        <v>2857</v>
      </c>
      <c r="Y15" s="27">
        <f>EscapeNew!X14</f>
        <v>2049</v>
      </c>
      <c r="Z15" s="27">
        <f>EscapeNew!Y14</f>
        <v>1235</v>
      </c>
      <c r="AA15" s="27">
        <f>EscapeNew!Z14</f>
        <v>1624</v>
      </c>
      <c r="AB15" s="27">
        <f>EscapeNew!AA14</f>
        <v>2212</v>
      </c>
      <c r="AC15" s="27">
        <f>EscapeNew!AB14</f>
        <v>3021</v>
      </c>
      <c r="AD15" s="27">
        <f>EscapeNew!AC14</f>
        <v>3676</v>
      </c>
      <c r="AE15" s="27">
        <f>EscapeNew!AD14</f>
        <v>2278</v>
      </c>
      <c r="AF15" s="27">
        <f>EscapeNew!AE14</f>
        <v>2161</v>
      </c>
      <c r="AG15" s="27">
        <f>EscapeNew!AF14</f>
        <v>2204</v>
      </c>
      <c r="AH15" s="27">
        <f>EscapeNew!AG14</f>
        <v>654</v>
      </c>
      <c r="AI15" s="27">
        <f>EscapeNew!AH14</f>
        <v>1389</v>
      </c>
      <c r="AJ15" s="27">
        <f>EscapeNew!AI14</f>
        <v>3173</v>
      </c>
      <c r="AK15" s="27">
        <f>EscapeNew!AJ14</f>
        <v>1465</v>
      </c>
      <c r="AL15" s="27">
        <f>EscapeNew!AK14</f>
        <v>811</v>
      </c>
      <c r="AM15" s="27">
        <f>EscapeNew!AL14</f>
        <v>1600</v>
      </c>
      <c r="AN15" s="27">
        <f>EscapeNew!AM14</f>
        <v>1952</v>
      </c>
      <c r="AO15" s="27">
        <f>EscapeNew!AN14</f>
        <v>2162</v>
      </c>
      <c r="AP15" s="27">
        <f>EscapeNew!AO14</f>
        <v>2654</v>
      </c>
      <c r="AQ15" s="27">
        <f>EscapeNew!AP14</f>
        <v>1403</v>
      </c>
      <c r="AR15" s="27">
        <f>EscapeNew!AQ14</f>
        <v>718</v>
      </c>
      <c r="AS15" s="27">
        <f>EscapeNew!AR14</f>
        <v>703</v>
      </c>
      <c r="AT15" s="27">
        <f>EscapeNew!AS14/StockList!F14</f>
        <v>1845</v>
      </c>
      <c r="AU15" s="27">
        <f>EscapeNew!AT14/StockList!G14</f>
        <v>1794.8717948717949</v>
      </c>
      <c r="AV15" s="27">
        <f>EscapeNew!AU14</f>
        <v>2270</v>
      </c>
      <c r="AW15" s="27">
        <f>EscapeNew!AV14</f>
        <v>2271</v>
      </c>
      <c r="AX15" s="27">
        <f t="shared" si="0"/>
        <v>2306.2925407925409</v>
      </c>
    </row>
    <row r="16" spans="1:50" ht="9" customHeight="1" x14ac:dyDescent="0.2">
      <c r="A16" s="44" t="s">
        <v>123</v>
      </c>
      <c r="B16" s="45">
        <v>14</v>
      </c>
      <c r="C16" s="43">
        <v>1</v>
      </c>
      <c r="D16" s="41">
        <v>1</v>
      </c>
      <c r="E16" s="18" t="str">
        <f>EscapeNew!D15</f>
        <v>Spring 5.2</v>
      </c>
      <c r="F16" s="27">
        <f>EscapeNew!E15</f>
        <v>1594.6396260771587</v>
      </c>
      <c r="G16" s="27">
        <f>EscapeNew!F15</f>
        <v>2362.4290756698647</v>
      </c>
      <c r="H16" s="27">
        <f>EscapeNew!G15</f>
        <v>1488.3303176720149</v>
      </c>
      <c r="I16" s="27">
        <f>EscapeNew!H15</f>
        <v>1653.7003529689052</v>
      </c>
      <c r="J16" s="27">
        <f>EscapeNew!I15</f>
        <v>5079.2225126902094</v>
      </c>
      <c r="K16" s="27">
        <f>EscapeNew!J15</f>
        <v>5813.9379552235368</v>
      </c>
      <c r="L16" s="27">
        <f>EscapeNew!K15</f>
        <v>8694.019814260173</v>
      </c>
      <c r="M16" s="27">
        <f>EscapeNew!L15</f>
        <v>13008.465879320769</v>
      </c>
      <c r="N16" s="27">
        <f>EscapeNew!M15</f>
        <v>14651.86094376067</v>
      </c>
      <c r="O16" s="27">
        <f>EscapeNew!N15</f>
        <v>6978.61548952878</v>
      </c>
      <c r="P16" s="27">
        <f>EscapeNew!O15</f>
        <v>7087.2872270095941</v>
      </c>
      <c r="Q16" s="27">
        <f>EscapeNew!P15</f>
        <v>7677.8944959270602</v>
      </c>
      <c r="R16" s="27">
        <f>EscapeNew!Q15</f>
        <v>4961.1010589067155</v>
      </c>
      <c r="S16" s="27">
        <f>EscapeNew!R15</f>
        <v>5516.2718916891345</v>
      </c>
      <c r="T16" s="27">
        <f>EscapeNew!S15</f>
        <v>7252.6572623064849</v>
      </c>
      <c r="U16" s="27">
        <f>EscapeNew!T15</f>
        <v>10753.777152449224</v>
      </c>
      <c r="V16" s="27">
        <f>EscapeNew!U15</f>
        <v>8111.0649680811257</v>
      </c>
      <c r="W16" s="27">
        <f>EscapeNew!V15</f>
        <v>3746</v>
      </c>
      <c r="X16" s="27">
        <f>EscapeNew!W15</f>
        <v>6415</v>
      </c>
      <c r="Y16" s="27">
        <f>EscapeNew!X15</f>
        <v>7082</v>
      </c>
      <c r="Z16" s="27">
        <f>EscapeNew!Y15</f>
        <v>3430</v>
      </c>
      <c r="AA16" s="27">
        <f>EscapeNew!Z15</f>
        <v>2586</v>
      </c>
      <c r="AB16" s="27">
        <f>EscapeNew!AA15</f>
        <v>5490</v>
      </c>
      <c r="AC16" s="27">
        <f>EscapeNew!AB15</f>
        <v>7059</v>
      </c>
      <c r="AD16" s="27">
        <f>EscapeNew!AC15</f>
        <v>10047</v>
      </c>
      <c r="AE16" s="27">
        <f>EscapeNew!AD15</f>
        <v>8114</v>
      </c>
      <c r="AF16" s="27">
        <f>EscapeNew!AE15</f>
        <v>4594</v>
      </c>
      <c r="AG16" s="27">
        <f>EscapeNew!AF15</f>
        <v>3939</v>
      </c>
      <c r="AH16" s="27">
        <f>EscapeNew!AG15</f>
        <v>1821</v>
      </c>
      <c r="AI16" s="27">
        <f>EscapeNew!AH15</f>
        <v>3427</v>
      </c>
      <c r="AJ16" s="27">
        <f>EscapeNew!AI15</f>
        <v>4902</v>
      </c>
      <c r="AK16" s="27">
        <f>EscapeNew!AJ15</f>
        <v>3066</v>
      </c>
      <c r="AL16" s="27">
        <f>EscapeNew!AK15</f>
        <v>2469</v>
      </c>
      <c r="AM16" s="27">
        <f>EscapeNew!AL15</f>
        <v>2614</v>
      </c>
      <c r="AN16" s="27">
        <f>EscapeNew!AM15</f>
        <v>3897</v>
      </c>
      <c r="AO16" s="27">
        <f>EscapeNew!AN15</f>
        <v>5298</v>
      </c>
      <c r="AP16" s="27">
        <f>EscapeNew!AO15</f>
        <v>6879</v>
      </c>
      <c r="AQ16" s="27">
        <f>EscapeNew!AP15</f>
        <v>3558</v>
      </c>
      <c r="AR16" s="27">
        <f>EscapeNew!AQ15</f>
        <v>1914</v>
      </c>
      <c r="AS16" s="27">
        <f>EscapeNew!AR15</f>
        <v>2120</v>
      </c>
      <c r="AT16" s="27">
        <f>EscapeNew!AS15/StockList!F15</f>
        <v>3485</v>
      </c>
      <c r="AU16" s="27">
        <f>EscapeNew!AT15/StockList!G15</f>
        <v>4485.8974358974356</v>
      </c>
      <c r="AV16" s="27">
        <f>EscapeNew!AU15</f>
        <v>4347</v>
      </c>
      <c r="AW16" s="27">
        <f>EscapeNew!AV15</f>
        <v>6409</v>
      </c>
      <c r="AX16" s="27">
        <f t="shared" si="0"/>
        <v>5360.8903058963378</v>
      </c>
    </row>
    <row r="17" spans="1:50" ht="9" customHeight="1" x14ac:dyDescent="0.2">
      <c r="A17" s="18" t="s">
        <v>122</v>
      </c>
      <c r="B17" s="41">
        <v>15</v>
      </c>
      <c r="C17" s="43">
        <v>1</v>
      </c>
      <c r="D17" s="41">
        <v>1</v>
      </c>
      <c r="E17" s="18" t="str">
        <f>EscapeNew!D16</f>
        <v>Spring 5.2</v>
      </c>
      <c r="F17" s="27">
        <f>EscapeNew!E16</f>
        <v>1561.0659007512061</v>
      </c>
      <c r="G17" s="27">
        <f>EscapeNew!F16</f>
        <v>823.71136890701939</v>
      </c>
      <c r="H17" s="27">
        <f>EscapeNew!G16</f>
        <v>730.71169822396882</v>
      </c>
      <c r="I17" s="27">
        <f>EscapeNew!H16</f>
        <v>1549.9945113841763</v>
      </c>
      <c r="J17" s="27">
        <f>EscapeNew!I16</f>
        <v>858.0326759448119</v>
      </c>
      <c r="K17" s="27">
        <f>EscapeNew!J16</f>
        <v>1605.3514582193254</v>
      </c>
      <c r="L17" s="27">
        <f>EscapeNew!K16</f>
        <v>4223.6353175061731</v>
      </c>
      <c r="M17" s="27">
        <f>EscapeNew!L16</f>
        <v>4207.1279594713351</v>
      </c>
      <c r="N17" s="27">
        <f>EscapeNew!M16</f>
        <v>4151.7710126361862</v>
      </c>
      <c r="O17" s="27">
        <f>EscapeNew!N16</f>
        <v>3166.4173589705315</v>
      </c>
      <c r="P17" s="27">
        <f>EscapeNew!O16</f>
        <v>1660.7084050544745</v>
      </c>
      <c r="Q17" s="27">
        <f>EscapeNew!P16</f>
        <v>1664.3800356756699</v>
      </c>
      <c r="R17" s="27">
        <f>EscapeNew!Q16</f>
        <v>1439.280617713878</v>
      </c>
      <c r="S17" s="27">
        <f>EscapeNew!R16</f>
        <v>5654.2214734356839</v>
      </c>
      <c r="T17" s="27">
        <f>EscapeNew!S16</f>
        <v>2572.0126405929655</v>
      </c>
      <c r="U17" s="27">
        <f>EscapeNew!T16</f>
        <v>1837.8506349269519</v>
      </c>
      <c r="V17" s="27">
        <f>EscapeNew!U16</f>
        <v>1813.6031851101329</v>
      </c>
      <c r="W17" s="27">
        <f>EscapeNew!V16</f>
        <v>2934.7615200383452</v>
      </c>
      <c r="X17" s="27">
        <f>EscapeNew!W16</f>
        <v>1818.1653197457849</v>
      </c>
      <c r="Y17" s="27">
        <f>EscapeNew!X16</f>
        <v>2528</v>
      </c>
      <c r="Z17" s="27">
        <f>EscapeNew!Y16</f>
        <v>1740</v>
      </c>
      <c r="AA17" s="27">
        <f>EscapeNew!Z16</f>
        <v>2251</v>
      </c>
      <c r="AB17" s="27">
        <f>EscapeNew!AA16</f>
        <v>2420</v>
      </c>
      <c r="AC17" s="27">
        <f>EscapeNew!AB16</f>
        <v>3753</v>
      </c>
      <c r="AD17" s="27">
        <f>EscapeNew!AC16</f>
        <v>4100</v>
      </c>
      <c r="AE17" s="27">
        <f>EscapeNew!AD16</f>
        <v>3263.3416049611396</v>
      </c>
      <c r="AF17" s="27">
        <f>EscapeNew!AE16</f>
        <v>1317.192378110854</v>
      </c>
      <c r="AG17" s="27">
        <f>EscapeNew!AF16</f>
        <v>1353.362420530374</v>
      </c>
      <c r="AH17" s="27">
        <f>EscapeNew!AG16</f>
        <v>1046.9217833649961</v>
      </c>
      <c r="AI17" s="27">
        <f>EscapeNew!AH16</f>
        <v>1264.9467612826584</v>
      </c>
      <c r="AJ17" s="27">
        <f>EscapeNew!AI16</f>
        <v>2315.8874382498234</v>
      </c>
      <c r="AK17" s="27">
        <f>EscapeNew!AJ16</f>
        <v>765.59923121317377</v>
      </c>
      <c r="AL17" s="27">
        <f>EscapeNew!AK16</f>
        <v>584.74901911557367</v>
      </c>
      <c r="AM17" s="27">
        <f>EscapeNew!AL16</f>
        <v>806.79289063540489</v>
      </c>
      <c r="AN17" s="27">
        <f>EscapeNew!AM16</f>
        <v>1198.6350168468718</v>
      </c>
      <c r="AO17" s="27">
        <f>EscapeNew!AN16</f>
        <v>1770.3226317553965</v>
      </c>
      <c r="AP17" s="27">
        <f>EscapeNew!AO16</f>
        <v>984.67381971233772</v>
      </c>
      <c r="AQ17" s="27">
        <f>EscapeNew!AP16</f>
        <v>779.44866513749014</v>
      </c>
      <c r="AR17" s="27">
        <f>EscapeNew!AQ16</f>
        <v>471.33190121506283</v>
      </c>
      <c r="AS17" s="27">
        <f>EscapeNew!AR16</f>
        <v>446.88390134549434</v>
      </c>
      <c r="AT17" s="27">
        <f>EscapeNew!AS16/StockList!F16</f>
        <v>29.693282481428195</v>
      </c>
      <c r="AU17" s="27">
        <f>EscapeNew!AT16/StockList!G16</f>
        <v>1549.3802525565739</v>
      </c>
      <c r="AV17" s="27">
        <f>EscapeNew!AU16</f>
        <v>1696.9710938136213</v>
      </c>
      <c r="AW17" s="27">
        <f>EscapeNew!AV16</f>
        <v>1768.234971769049</v>
      </c>
      <c r="AX17" s="27">
        <f t="shared" si="0"/>
        <v>1919.9811854183165</v>
      </c>
    </row>
    <row r="18" spans="1:50" ht="9" customHeight="1" x14ac:dyDescent="0.2">
      <c r="A18" s="18" t="s">
        <v>201</v>
      </c>
      <c r="B18" s="41">
        <v>16</v>
      </c>
      <c r="C18" s="43">
        <v>1</v>
      </c>
      <c r="D18" s="41">
        <v>1</v>
      </c>
      <c r="E18" s="18" t="str">
        <f>EscapeNew!D17</f>
        <v>Spring 5.2</v>
      </c>
      <c r="F18" s="27">
        <f>EscapeNew!E17</f>
        <v>835.75879862239924</v>
      </c>
      <c r="G18" s="27">
        <f>EscapeNew!F17</f>
        <v>557.17253241493279</v>
      </c>
      <c r="H18" s="27">
        <f>EscapeNew!G17</f>
        <v>490.31182852514087</v>
      </c>
      <c r="I18" s="27">
        <f>EscapeNew!H17</f>
        <v>501.45527917343952</v>
      </c>
      <c r="J18" s="27">
        <f>EscapeNew!I17</f>
        <v>869.1891505672952</v>
      </c>
      <c r="K18" s="27">
        <f>EscapeNew!J17</f>
        <v>390.02077269045299</v>
      </c>
      <c r="L18" s="27">
        <f>EscapeNew!K17</f>
        <v>1560.0830907618119</v>
      </c>
      <c r="M18" s="27">
        <f>EscapeNew!L17</f>
        <v>1615.8003440033051</v>
      </c>
      <c r="N18" s="27">
        <f>EscapeNew!M17</f>
        <v>1782.952103727785</v>
      </c>
      <c r="O18" s="27">
        <f>EscapeNew!N17</f>
        <v>2005.8211166937581</v>
      </c>
      <c r="P18" s="27">
        <f>EscapeNew!O17</f>
        <v>1337.2140777958389</v>
      </c>
      <c r="Q18" s="27">
        <f>EscapeNew!P17</f>
        <v>2005.8211166937581</v>
      </c>
      <c r="R18" s="27">
        <f>EscapeNew!Q17</f>
        <v>612.88978565642606</v>
      </c>
      <c r="S18" s="27">
        <f>EscapeNew!R17</f>
        <v>780.04154538090597</v>
      </c>
      <c r="T18" s="27">
        <f>EscapeNew!S17</f>
        <v>668.60703889791944</v>
      </c>
      <c r="U18" s="27">
        <f>EscapeNew!T17</f>
        <v>1303.7837258509428</v>
      </c>
      <c r="V18" s="27">
        <f>EscapeNew!U17</f>
        <v>884.33503126783762</v>
      </c>
      <c r="W18" s="27">
        <f>EscapeNew!V17</f>
        <v>1340</v>
      </c>
      <c r="X18" s="27">
        <f>EscapeNew!W17</f>
        <v>1869</v>
      </c>
      <c r="Y18" s="27">
        <f>EscapeNew!X17</f>
        <v>1588</v>
      </c>
      <c r="Z18" s="27">
        <f>EscapeNew!Y17</f>
        <v>716</v>
      </c>
      <c r="AA18" s="27">
        <f>EscapeNew!Z17</f>
        <v>1277</v>
      </c>
      <c r="AB18" s="27">
        <f>EscapeNew!AA17</f>
        <v>893</v>
      </c>
      <c r="AC18" s="27">
        <f>EscapeNew!AB17</f>
        <v>1046</v>
      </c>
      <c r="AD18" s="27">
        <f>EscapeNew!AC17</f>
        <v>1739</v>
      </c>
      <c r="AE18" s="27">
        <f>EscapeNew!AD17</f>
        <v>1887</v>
      </c>
      <c r="AF18" s="27">
        <f>EscapeNew!AE17</f>
        <v>1010</v>
      </c>
      <c r="AG18" s="27">
        <f>EscapeNew!AF17</f>
        <v>1205</v>
      </c>
      <c r="AH18" s="27">
        <f>EscapeNew!AG17</f>
        <v>380</v>
      </c>
      <c r="AI18" s="27">
        <f>EscapeNew!AH17</f>
        <v>667</v>
      </c>
      <c r="AJ18" s="27">
        <f>EscapeNew!AI17</f>
        <v>1002</v>
      </c>
      <c r="AK18" s="27">
        <f>EscapeNew!AJ17</f>
        <v>630.71930669370397</v>
      </c>
      <c r="AL18" s="27">
        <f>EscapeNew!AK17</f>
        <v>659</v>
      </c>
      <c r="AM18" s="27">
        <f>EscapeNew!AL17</f>
        <v>480</v>
      </c>
      <c r="AN18" s="27">
        <f>EscapeNew!AM17</f>
        <v>592</v>
      </c>
      <c r="AO18" s="27">
        <f>EscapeNew!AN17</f>
        <v>1474</v>
      </c>
      <c r="AP18" s="27">
        <f>EscapeNew!AO17</f>
        <v>868</v>
      </c>
      <c r="AQ18" s="27">
        <f>EscapeNew!AP17</f>
        <v>395</v>
      </c>
      <c r="AR18" s="27">
        <f>EscapeNew!AQ17</f>
        <v>301</v>
      </c>
      <c r="AS18" s="27">
        <f>EscapeNew!AR17</f>
        <v>239</v>
      </c>
      <c r="AT18" s="27">
        <f>EscapeNew!AS17/StockList!F17</f>
        <v>1810</v>
      </c>
      <c r="AU18" s="27">
        <f>EscapeNew!AT17/StockList!G17</f>
        <v>1587.1794871794871</v>
      </c>
      <c r="AV18" s="27">
        <f>EscapeNew!AU17</f>
        <v>960</v>
      </c>
      <c r="AW18" s="27">
        <f>EscapeNew!AV17</f>
        <v>800.23905265805161</v>
      </c>
      <c r="AX18" s="27">
        <f t="shared" si="0"/>
        <v>1036.7362542103454</v>
      </c>
    </row>
    <row r="19" spans="1:50" ht="9" customHeight="1" x14ac:dyDescent="0.2">
      <c r="A19" s="18" t="s">
        <v>202</v>
      </c>
      <c r="B19" s="41">
        <v>17</v>
      </c>
      <c r="C19" s="43">
        <v>1</v>
      </c>
      <c r="D19" s="41">
        <v>1</v>
      </c>
      <c r="E19" s="18" t="str">
        <f>EscapeNew!D18</f>
        <v>Spring 5.2</v>
      </c>
      <c r="F19" s="27">
        <f>EscapeNew!E18</f>
        <v>750</v>
      </c>
      <c r="G19" s="27">
        <f>EscapeNew!F18</f>
        <v>500</v>
      </c>
      <c r="H19" s="27">
        <f>EscapeNew!G18</f>
        <v>175</v>
      </c>
      <c r="I19" s="27">
        <f>EscapeNew!H18</f>
        <v>300</v>
      </c>
      <c r="J19" s="27">
        <f>EscapeNew!I18</f>
        <v>250</v>
      </c>
      <c r="K19" s="27">
        <f>EscapeNew!J18</f>
        <v>683.83549408907857</v>
      </c>
      <c r="L19" s="27">
        <f>EscapeNew!K18</f>
        <v>350</v>
      </c>
      <c r="M19" s="27">
        <f>EscapeNew!L18</f>
        <v>450</v>
      </c>
      <c r="N19" s="27">
        <f>EscapeNew!M18</f>
        <v>700</v>
      </c>
      <c r="O19" s="27">
        <f>EscapeNew!N18</f>
        <v>1200</v>
      </c>
      <c r="P19" s="27">
        <f>EscapeNew!O18</f>
        <v>450</v>
      </c>
      <c r="Q19" s="27">
        <f>EscapeNew!P18</f>
        <v>700</v>
      </c>
      <c r="R19" s="27">
        <f>EscapeNew!Q18</f>
        <v>300</v>
      </c>
      <c r="S19" s="27">
        <f>EscapeNew!R18</f>
        <v>300</v>
      </c>
      <c r="T19" s="27">
        <f>EscapeNew!S18</f>
        <v>50</v>
      </c>
      <c r="U19" s="27">
        <f>EscapeNew!T18</f>
        <v>771</v>
      </c>
      <c r="V19" s="27">
        <f>EscapeNew!U18</f>
        <v>901</v>
      </c>
      <c r="W19" s="27">
        <f>EscapeNew!V18</f>
        <v>1020</v>
      </c>
      <c r="X19" s="27">
        <f>EscapeNew!W18</f>
        <v>560</v>
      </c>
      <c r="Y19" s="27">
        <f>EscapeNew!X18</f>
        <v>1197</v>
      </c>
      <c r="Z19" s="27">
        <f>EscapeNew!Y18</f>
        <v>858</v>
      </c>
      <c r="AA19" s="27">
        <f>EscapeNew!Z18</f>
        <v>704</v>
      </c>
      <c r="AB19" s="27">
        <f>EscapeNew!AA18</f>
        <v>480</v>
      </c>
      <c r="AC19" s="27">
        <f>EscapeNew!AB18</f>
        <v>587</v>
      </c>
      <c r="AD19" s="27">
        <f>EscapeNew!AC18</f>
        <v>2448</v>
      </c>
      <c r="AE19" s="27">
        <f>EscapeNew!AD18</f>
        <v>1684</v>
      </c>
      <c r="AF19" s="27">
        <f>EscapeNew!AE18</f>
        <v>666</v>
      </c>
      <c r="AG19" s="27">
        <f>EscapeNew!AF18</f>
        <v>547</v>
      </c>
      <c r="AH19" s="27">
        <f>EscapeNew!AG18</f>
        <v>269</v>
      </c>
      <c r="AI19" s="27">
        <f>EscapeNew!AH18</f>
        <v>530</v>
      </c>
      <c r="AJ19" s="27">
        <f>EscapeNew!AI18</f>
        <v>731</v>
      </c>
      <c r="AK19" s="27">
        <f>EscapeNew!AJ18</f>
        <v>308</v>
      </c>
      <c r="AL19" s="27">
        <f>EscapeNew!AK18</f>
        <v>509</v>
      </c>
      <c r="AM19" s="27">
        <f>EscapeNew!AL18</f>
        <v>125</v>
      </c>
      <c r="AN19" s="27">
        <f>EscapeNew!AM18</f>
        <v>313</v>
      </c>
      <c r="AO19" s="27">
        <f>EscapeNew!AN18</f>
        <v>1651</v>
      </c>
      <c r="AP19" s="27">
        <f>EscapeNew!AO18</f>
        <v>585</v>
      </c>
      <c r="AQ19" s="27">
        <f>EscapeNew!AP18</f>
        <v>354.5046983873201</v>
      </c>
      <c r="AR19" s="27">
        <f>EscapeNew!AQ18</f>
        <v>225.22878649627927</v>
      </c>
      <c r="AS19" s="27">
        <f>EscapeNew!AR18</f>
        <v>234.96097240976101</v>
      </c>
      <c r="AT19" s="27">
        <f>EscapeNew!AS18/StockList!F18</f>
        <v>548.03666857945814</v>
      </c>
      <c r="AU19" s="27">
        <f>EscapeNew!AT18/StockList!G18</f>
        <v>576.18537149549331</v>
      </c>
      <c r="AV19" s="27">
        <f>EscapeNew!AU18</f>
        <v>502.28532784319032</v>
      </c>
      <c r="AW19" s="27">
        <f>EscapeNew!AV18</f>
        <v>598.04623714757838</v>
      </c>
      <c r="AX19" s="27">
        <f t="shared" si="0"/>
        <v>628.22917173745816</v>
      </c>
    </row>
    <row r="20" spans="1:50" ht="9" customHeight="1" x14ac:dyDescent="0.2">
      <c r="A20" s="44" t="s">
        <v>193</v>
      </c>
      <c r="B20" s="45">
        <v>18</v>
      </c>
      <c r="C20" s="43">
        <v>2</v>
      </c>
      <c r="D20" s="45">
        <v>2</v>
      </c>
      <c r="E20" s="18" t="str">
        <f>EscapeNew!D19</f>
        <v>Summer 5.2</v>
      </c>
      <c r="F20" s="27">
        <f>EscapeNew!E19</f>
        <v>750</v>
      </c>
      <c r="G20" s="27">
        <f>EscapeNew!F19</f>
        <v>1800</v>
      </c>
      <c r="H20" s="27">
        <f>EscapeNew!G19</f>
        <v>140</v>
      </c>
      <c r="I20" s="27">
        <f>EscapeNew!H19</f>
        <v>600</v>
      </c>
      <c r="J20" s="27">
        <f>EscapeNew!I19</f>
        <v>475</v>
      </c>
      <c r="K20" s="27">
        <f>EscapeNew!J19</f>
        <v>500</v>
      </c>
      <c r="L20" s="27">
        <f>EscapeNew!K19</f>
        <v>3000</v>
      </c>
      <c r="M20" s="27">
        <f>EscapeNew!L19</f>
        <v>3065</v>
      </c>
      <c r="N20" s="27">
        <f>EscapeNew!M19</f>
        <v>5052</v>
      </c>
      <c r="O20" s="27">
        <f>EscapeNew!N19</f>
        <v>3065</v>
      </c>
      <c r="P20" s="27">
        <f>EscapeNew!O19</f>
        <v>1659</v>
      </c>
      <c r="Q20" s="27">
        <f>EscapeNew!P19</f>
        <v>6064</v>
      </c>
      <c r="R20" s="27">
        <f>EscapeNew!Q19</f>
        <v>7500</v>
      </c>
      <c r="S20" s="27">
        <f>EscapeNew!R19</f>
        <v>15025</v>
      </c>
      <c r="T20" s="27">
        <f>EscapeNew!S19</f>
        <v>1038</v>
      </c>
      <c r="U20" s="27">
        <f>EscapeNew!T19</f>
        <v>2420</v>
      </c>
      <c r="V20" s="27">
        <f>EscapeNew!U19</f>
        <v>3730</v>
      </c>
      <c r="W20" s="27">
        <f>EscapeNew!V19</f>
        <v>7415</v>
      </c>
      <c r="X20" s="27">
        <f>EscapeNew!W19</f>
        <v>6258</v>
      </c>
      <c r="Y20" s="27">
        <f>EscapeNew!X19</f>
        <v>4642</v>
      </c>
      <c r="Z20" s="27">
        <f>EscapeNew!Y19</f>
        <v>3875</v>
      </c>
      <c r="AA20" s="27">
        <f>EscapeNew!Z19</f>
        <v>1875</v>
      </c>
      <c r="AB20" s="27">
        <f>EscapeNew!AA19</f>
        <v>1954</v>
      </c>
      <c r="AC20" s="27">
        <f>EscapeNew!AB19</f>
        <v>4489</v>
      </c>
      <c r="AD20" s="27">
        <f>EscapeNew!AC19</f>
        <v>6775.6446281055396</v>
      </c>
      <c r="AE20" s="27">
        <f>EscapeNew!AD19</f>
        <v>0.01</v>
      </c>
      <c r="AF20" s="27">
        <f>EscapeNew!AE19</f>
        <v>3270.0132118364281</v>
      </c>
      <c r="AG20" s="27">
        <f>EscapeNew!AF19</f>
        <v>4588.0704172479218</v>
      </c>
      <c r="AH20" s="27">
        <f>EscapeNew!AG19</f>
        <v>1895.6701781655247</v>
      </c>
      <c r="AI20" s="27">
        <f>EscapeNew!AH19</f>
        <v>2912.4775393614927</v>
      </c>
      <c r="AJ20" s="27">
        <f>EscapeNew!AI19</f>
        <v>3748.9244711832671</v>
      </c>
      <c r="AK20" s="27">
        <f>EscapeNew!AJ19</f>
        <v>3159.8948866633646</v>
      </c>
      <c r="AL20" s="27">
        <f>EscapeNew!AK19</f>
        <v>2817.2246071929803</v>
      </c>
      <c r="AM20" s="27">
        <f>EscapeNew!AL19</f>
        <v>1515.7855326235012</v>
      </c>
      <c r="AN20" s="27">
        <f>EscapeNew!AM19</f>
        <v>2063.3517163470769</v>
      </c>
      <c r="AO20" s="27">
        <f>EscapeNew!AN19</f>
        <v>3724.0758656068238</v>
      </c>
      <c r="AP20" s="27">
        <f>EscapeNew!AO19</f>
        <v>5100.9536069666474</v>
      </c>
      <c r="AQ20" s="27">
        <f>EscapeNew!AP19</f>
        <v>1696.7932366267914</v>
      </c>
      <c r="AR20" s="27">
        <f>EscapeNew!AQ19</f>
        <v>1172.3627502635582</v>
      </c>
      <c r="AS20" s="27">
        <f>EscapeNew!AR19</f>
        <v>1066.8608682380036</v>
      </c>
      <c r="AT20" s="27">
        <f>EscapeNew!AS19/StockList!F19</f>
        <v>2173.6940887009055</v>
      </c>
      <c r="AU20" s="27">
        <f>EscapeNew!AT19/StockList!G19</f>
        <v>2612.711174364335</v>
      </c>
      <c r="AV20" s="27">
        <f>EscapeNew!AU19</f>
        <v>2570.1637394579034</v>
      </c>
      <c r="AW20" s="27">
        <f>EscapeNew!AV19</f>
        <v>4611.9720164154623</v>
      </c>
      <c r="AX20" s="27">
        <f t="shared" si="0"/>
        <v>3269.7194212583536</v>
      </c>
    </row>
    <row r="21" spans="1:50" ht="9" customHeight="1" x14ac:dyDescent="0.2">
      <c r="A21" s="44" t="s">
        <v>173</v>
      </c>
      <c r="B21" s="45">
        <v>19</v>
      </c>
      <c r="C21" s="43">
        <v>2</v>
      </c>
      <c r="D21" s="45">
        <v>2</v>
      </c>
      <c r="E21" s="18" t="str">
        <f>EscapeNew!D20</f>
        <v>Summer 5.2</v>
      </c>
      <c r="F21" s="27">
        <f>EscapeNew!E20</f>
        <v>1800</v>
      </c>
      <c r="G21" s="27">
        <f>EscapeNew!F20</f>
        <v>2038</v>
      </c>
      <c r="H21" s="27">
        <f>EscapeNew!G20</f>
        <v>2814</v>
      </c>
      <c r="I21" s="27">
        <f>EscapeNew!H20</f>
        <v>1590</v>
      </c>
      <c r="J21" s="27">
        <f>EscapeNew!I20</f>
        <v>1114</v>
      </c>
      <c r="K21" s="27">
        <f>EscapeNew!J20</f>
        <v>2099</v>
      </c>
      <c r="L21" s="27">
        <f>EscapeNew!K20</f>
        <v>2591</v>
      </c>
      <c r="M21" s="27">
        <f>EscapeNew!L20</f>
        <v>2685</v>
      </c>
      <c r="N21" s="27">
        <f>EscapeNew!M20</f>
        <v>2042</v>
      </c>
      <c r="O21" s="27">
        <f>EscapeNew!N20</f>
        <v>2801</v>
      </c>
      <c r="P21" s="27">
        <f>EscapeNew!O20</f>
        <v>2928</v>
      </c>
      <c r="Q21" s="27">
        <f>EscapeNew!P20</f>
        <v>2628</v>
      </c>
      <c r="R21" s="27">
        <f>EscapeNew!Q20</f>
        <v>2371</v>
      </c>
      <c r="S21" s="27">
        <f>EscapeNew!R20</f>
        <v>2451</v>
      </c>
      <c r="T21" s="27">
        <f>EscapeNew!S20</f>
        <v>685</v>
      </c>
      <c r="U21" s="27">
        <f>EscapeNew!T20</f>
        <v>1138</v>
      </c>
      <c r="V21" s="27">
        <f>EscapeNew!U20</f>
        <v>1736</v>
      </c>
      <c r="W21" s="27">
        <f>EscapeNew!V20</f>
        <v>2005</v>
      </c>
      <c r="X21" s="27">
        <f>EscapeNew!W20</f>
        <v>2021</v>
      </c>
      <c r="Y21" s="27">
        <f>EscapeNew!X20</f>
        <v>1919</v>
      </c>
      <c r="Z21" s="27">
        <f>EscapeNew!Y20</f>
        <v>1876</v>
      </c>
      <c r="AA21" s="27">
        <f>EscapeNew!Z20</f>
        <v>3459</v>
      </c>
      <c r="AB21" s="27">
        <f>EscapeNew!AA20</f>
        <v>5526</v>
      </c>
      <c r="AC21" s="27">
        <f>EscapeNew!AB20</f>
        <v>3397</v>
      </c>
      <c r="AD21" s="27">
        <f>EscapeNew!AC20</f>
        <v>5121</v>
      </c>
      <c r="AE21" s="27">
        <f>EscapeNew!AD20</f>
        <v>4978</v>
      </c>
      <c r="AF21" s="27">
        <f>EscapeNew!AE20</f>
        <v>3393</v>
      </c>
      <c r="AG21" s="27">
        <f>EscapeNew!AF20</f>
        <v>6803</v>
      </c>
      <c r="AH21" s="27">
        <f>EscapeNew!AG20</f>
        <v>1428</v>
      </c>
      <c r="AI21" s="27">
        <f>EscapeNew!AH20</f>
        <v>4670</v>
      </c>
      <c r="AJ21" s="27">
        <f>EscapeNew!AI20</f>
        <v>2310</v>
      </c>
      <c r="AK21" s="27">
        <f>EscapeNew!AJ20</f>
        <v>6915</v>
      </c>
      <c r="AL21" s="27">
        <f>EscapeNew!AK20</f>
        <v>4200</v>
      </c>
      <c r="AM21" s="27">
        <f>EscapeNew!AL20</f>
        <v>1021</v>
      </c>
      <c r="AN21" s="27">
        <f>EscapeNew!AM20</f>
        <v>1117</v>
      </c>
      <c r="AO21" s="27">
        <f>EscapeNew!AN20</f>
        <v>5183</v>
      </c>
      <c r="AP21" s="27">
        <f>EscapeNew!AO20</f>
        <v>8291</v>
      </c>
      <c r="AQ21" s="27">
        <f>EscapeNew!AP20</f>
        <v>3141</v>
      </c>
      <c r="AR21" s="27">
        <f>EscapeNew!AQ20</f>
        <v>505</v>
      </c>
      <c r="AS21" s="27">
        <f>EscapeNew!AR20</f>
        <v>1673</v>
      </c>
      <c r="AT21" s="27">
        <f>EscapeNew!AS20/StockList!F20</f>
        <v>2900</v>
      </c>
      <c r="AU21" s="27">
        <f>EscapeNew!AT20/StockList!G20</f>
        <v>1800</v>
      </c>
      <c r="AV21" s="27">
        <f>EscapeNew!AU20</f>
        <v>2770</v>
      </c>
      <c r="AW21" s="27">
        <f>EscapeNew!AV20</f>
        <v>4076</v>
      </c>
      <c r="AX21" s="27">
        <f t="shared" si="0"/>
        <v>2909.2954545454545</v>
      </c>
    </row>
    <row r="22" spans="1:50" ht="9" customHeight="1" x14ac:dyDescent="0.2">
      <c r="A22" s="18" t="s">
        <v>192</v>
      </c>
      <c r="B22" s="45">
        <v>20</v>
      </c>
      <c r="C22" s="43">
        <v>2</v>
      </c>
      <c r="D22" s="45">
        <v>2</v>
      </c>
      <c r="E22" s="18" t="str">
        <f>EscapeNew!D21</f>
        <v>Summer 5.2</v>
      </c>
      <c r="F22" s="27">
        <f>EscapeNew!E21</f>
        <v>75</v>
      </c>
      <c r="G22" s="27">
        <f>EscapeNew!F21</f>
        <v>50</v>
      </c>
      <c r="H22" s="27">
        <f>EscapeNew!G21</f>
        <v>25</v>
      </c>
      <c r="I22" s="27">
        <f>EscapeNew!H21</f>
        <v>12.52847538704591</v>
      </c>
      <c r="J22" s="27">
        <f>EscapeNew!I21</f>
        <v>0</v>
      </c>
      <c r="K22" s="27">
        <f>EscapeNew!J21</f>
        <v>0</v>
      </c>
      <c r="L22" s="27">
        <f>EscapeNew!K21</f>
        <v>30</v>
      </c>
      <c r="M22" s="27">
        <f>EscapeNew!L21</f>
        <v>75</v>
      </c>
      <c r="N22" s="27">
        <f>EscapeNew!M21</f>
        <v>50</v>
      </c>
      <c r="O22" s="27">
        <f>EscapeNew!N21</f>
        <v>50</v>
      </c>
      <c r="P22" s="27">
        <f>EscapeNew!O21</f>
        <v>14.091452492167232</v>
      </c>
      <c r="Q22" s="27">
        <f>EscapeNew!P21</f>
        <v>0</v>
      </c>
      <c r="R22" s="27">
        <f>EscapeNew!Q21</f>
        <v>23.277280332758405</v>
      </c>
      <c r="S22" s="27">
        <f>EscapeNew!R21</f>
        <v>31.126825173021565</v>
      </c>
      <c r="T22" s="27">
        <f>EscapeNew!S21</f>
        <v>17.302544316442443</v>
      </c>
      <c r="U22" s="27">
        <f>EscapeNew!T21</f>
        <v>10</v>
      </c>
      <c r="V22" s="27">
        <f>EscapeNew!U21</f>
        <v>24.248577843299113</v>
      </c>
      <c r="W22" s="27">
        <f>EscapeNew!V21</f>
        <v>20</v>
      </c>
      <c r="X22" s="27">
        <f>EscapeNew!W21</f>
        <v>34.488481523788174</v>
      </c>
      <c r="Y22" s="27">
        <f>EscapeNew!X21</f>
        <v>15</v>
      </c>
      <c r="Z22" s="27">
        <f>EscapeNew!Y21</f>
        <v>18</v>
      </c>
      <c r="AA22" s="27">
        <f>EscapeNew!Z21</f>
        <v>27.630111523155428</v>
      </c>
      <c r="AB22" s="27">
        <f>EscapeNew!AA21</f>
        <v>31.221496881708713</v>
      </c>
      <c r="AC22" s="27">
        <f>EscapeNew!AB21</f>
        <v>0</v>
      </c>
      <c r="AD22" s="27">
        <f>EscapeNew!AC21</f>
        <v>0.01</v>
      </c>
      <c r="AE22" s="27">
        <f>EscapeNew!AD21</f>
        <v>5</v>
      </c>
      <c r="AF22" s="27">
        <f>EscapeNew!AE21</f>
        <v>231</v>
      </c>
      <c r="AG22" s="27">
        <f>EscapeNew!AF21</f>
        <v>0</v>
      </c>
      <c r="AH22" s="27">
        <f>EscapeNew!AG21</f>
        <v>0</v>
      </c>
      <c r="AI22" s="27">
        <f>EscapeNew!AH21</f>
        <v>2</v>
      </c>
      <c r="AJ22" s="27">
        <f>EscapeNew!AI21</f>
        <v>3</v>
      </c>
      <c r="AK22" s="27">
        <f>EscapeNew!AJ21</f>
        <v>7</v>
      </c>
      <c r="AL22" s="27">
        <f>EscapeNew!AK21</f>
        <v>3</v>
      </c>
      <c r="AM22" s="27">
        <f>EscapeNew!AL21</f>
        <v>0</v>
      </c>
      <c r="AN22" s="27">
        <f>EscapeNew!AM21</f>
        <v>0</v>
      </c>
      <c r="AO22" s="27">
        <f>EscapeNew!AN21</f>
        <v>15</v>
      </c>
      <c r="AP22" s="27">
        <f>EscapeNew!AO21</f>
        <v>6</v>
      </c>
      <c r="AQ22" s="27">
        <f>EscapeNew!AP21</f>
        <v>3</v>
      </c>
      <c r="AR22" s="27">
        <f>EscapeNew!AQ21</f>
        <v>2</v>
      </c>
      <c r="AS22" s="27">
        <f>EscapeNew!AR21</f>
        <v>2</v>
      </c>
      <c r="AT22" s="27">
        <f>EscapeNew!AS21/StockList!F21</f>
        <v>0</v>
      </c>
      <c r="AU22" s="27">
        <f>EscapeNew!AT21/StockList!G21</f>
        <v>0</v>
      </c>
      <c r="AV22" s="27">
        <f>EscapeNew!AU21</f>
        <v>2</v>
      </c>
      <c r="AW22" s="27">
        <f>EscapeNew!AV21</f>
        <v>2</v>
      </c>
      <c r="AX22" s="27">
        <f t="shared" si="0"/>
        <v>20.839210124395155</v>
      </c>
    </row>
    <row r="23" spans="1:50" ht="9" customHeight="1" x14ac:dyDescent="0.2">
      <c r="A23" s="18" t="s">
        <v>149</v>
      </c>
      <c r="B23" s="45">
        <v>21</v>
      </c>
      <c r="C23" s="43">
        <v>3</v>
      </c>
      <c r="D23" s="45">
        <v>1</v>
      </c>
      <c r="E23" s="18" t="str">
        <f>EscapeNew!D22</f>
        <v>Spring 5.2</v>
      </c>
      <c r="F23" s="27">
        <f>EscapeNew!E22</f>
        <v>75</v>
      </c>
      <c r="G23" s="27">
        <f>EscapeNew!F22</f>
        <v>50</v>
      </c>
      <c r="H23" s="27">
        <f>EscapeNew!G22</f>
        <v>32</v>
      </c>
      <c r="I23" s="27">
        <f>EscapeNew!H22</f>
        <v>65</v>
      </c>
      <c r="J23" s="27">
        <f>EscapeNew!I22</f>
        <v>50</v>
      </c>
      <c r="K23" s="27">
        <f>EscapeNew!J22</f>
        <v>300</v>
      </c>
      <c r="L23" s="27">
        <f>EscapeNew!K22</f>
        <v>300</v>
      </c>
      <c r="M23" s="27">
        <f>EscapeNew!L22</f>
        <v>300</v>
      </c>
      <c r="N23" s="27">
        <f>EscapeNew!M22</f>
        <v>500</v>
      </c>
      <c r="O23" s="27">
        <f>EscapeNew!N22</f>
        <v>300</v>
      </c>
      <c r="P23" s="27">
        <f>EscapeNew!O22</f>
        <v>200</v>
      </c>
      <c r="Q23" s="27">
        <f>EscapeNew!P22</f>
        <v>75</v>
      </c>
      <c r="R23" s="27">
        <f>EscapeNew!Q22</f>
        <v>200</v>
      </c>
      <c r="S23" s="27">
        <f>EscapeNew!R22</f>
        <v>10</v>
      </c>
      <c r="T23" s="27">
        <f>EscapeNew!S22</f>
        <v>20</v>
      </c>
      <c r="U23" s="27">
        <f>EscapeNew!T22</f>
        <v>200</v>
      </c>
      <c r="V23" s="27">
        <f>EscapeNew!U22</f>
        <v>125</v>
      </c>
      <c r="W23" s="27">
        <f>EscapeNew!V22</f>
        <v>167</v>
      </c>
      <c r="X23" s="27">
        <f>EscapeNew!W22</f>
        <v>67</v>
      </c>
      <c r="Y23" s="27">
        <f>EscapeNew!X22</f>
        <v>191</v>
      </c>
      <c r="Z23" s="27">
        <f>EscapeNew!Y22</f>
        <v>171</v>
      </c>
      <c r="AA23" s="27">
        <f>EscapeNew!Z22</f>
        <v>160</v>
      </c>
      <c r="AB23" s="27">
        <f>EscapeNew!AA22</f>
        <v>275</v>
      </c>
      <c r="AC23" s="27">
        <f>EscapeNew!AB22</f>
        <v>292</v>
      </c>
      <c r="AD23" s="27">
        <f>EscapeNew!AC22</f>
        <v>276.98760852571439</v>
      </c>
      <c r="AE23" s="27">
        <f>EscapeNew!AD22</f>
        <v>182.85300154367368</v>
      </c>
      <c r="AF23" s="27">
        <f>EscapeNew!AE22</f>
        <v>252</v>
      </c>
      <c r="AG23" s="27">
        <f>EscapeNew!AF22</f>
        <v>118</v>
      </c>
      <c r="AH23" s="27">
        <f>EscapeNew!AG22</f>
        <v>49</v>
      </c>
      <c r="AI23" s="27">
        <f>EscapeNew!AH22</f>
        <v>295</v>
      </c>
      <c r="AJ23" s="27">
        <f>EscapeNew!AI22</f>
        <v>166</v>
      </c>
      <c r="AK23" s="27">
        <f>EscapeNew!AJ22</f>
        <v>274</v>
      </c>
      <c r="AL23" s="27">
        <f>EscapeNew!AK22</f>
        <v>114</v>
      </c>
      <c r="AM23" s="27">
        <f>EscapeNew!AL22</f>
        <v>77</v>
      </c>
      <c r="AN23" s="27">
        <f>EscapeNew!AM22</f>
        <v>158</v>
      </c>
      <c r="AO23" s="27">
        <f>EscapeNew!AN22</f>
        <v>125</v>
      </c>
      <c r="AP23" s="27">
        <f>EscapeNew!AO22</f>
        <v>117</v>
      </c>
      <c r="AQ23" s="27">
        <f>EscapeNew!AP22</f>
        <v>49</v>
      </c>
      <c r="AR23" s="27">
        <f>EscapeNew!AQ22</f>
        <v>31</v>
      </c>
      <c r="AS23" s="27">
        <f>EscapeNew!AR22</f>
        <v>63</v>
      </c>
      <c r="AT23" s="27">
        <f>EscapeNew!AS22/StockList!F22</f>
        <v>195</v>
      </c>
      <c r="AU23" s="27">
        <f>EscapeNew!AT22/StockList!G22</f>
        <v>135.26228017410193</v>
      </c>
      <c r="AV23" s="27">
        <f>EscapeNew!AU22</f>
        <v>74</v>
      </c>
      <c r="AW23" s="27">
        <f>EscapeNew!AV22</f>
        <v>152</v>
      </c>
      <c r="AX23" s="27">
        <f t="shared" si="0"/>
        <v>159.75233841462477</v>
      </c>
    </row>
    <row r="24" spans="1:50" ht="9" customHeight="1" x14ac:dyDescent="0.2">
      <c r="A24" s="18" t="s">
        <v>134</v>
      </c>
      <c r="B24" s="45">
        <v>22</v>
      </c>
      <c r="C24" s="43">
        <v>3</v>
      </c>
      <c r="D24" s="45">
        <v>1</v>
      </c>
      <c r="E24" s="18" t="str">
        <f>EscapeNew!D23</f>
        <v>Spring 5.2</v>
      </c>
      <c r="F24" s="27">
        <f>EscapeNew!E23</f>
        <v>200</v>
      </c>
      <c r="G24" s="27">
        <f>EscapeNew!F23</f>
        <v>200</v>
      </c>
      <c r="H24" s="27">
        <f>EscapeNew!G23</f>
        <v>150</v>
      </c>
      <c r="I24" s="27">
        <f>EscapeNew!H23</f>
        <v>150</v>
      </c>
      <c r="J24" s="27">
        <f>EscapeNew!I23</f>
        <v>75</v>
      </c>
      <c r="K24" s="27">
        <f>EscapeNew!J23</f>
        <v>150</v>
      </c>
      <c r="L24" s="27">
        <f>EscapeNew!K23</f>
        <v>175</v>
      </c>
      <c r="M24" s="27">
        <f>EscapeNew!L23</f>
        <v>150</v>
      </c>
      <c r="N24" s="27">
        <f>EscapeNew!M23</f>
        <v>175</v>
      </c>
      <c r="O24" s="27">
        <f>EscapeNew!N23</f>
        <v>250</v>
      </c>
      <c r="P24" s="27">
        <f>EscapeNew!O23</f>
        <v>50</v>
      </c>
      <c r="Q24" s="27">
        <f>EscapeNew!P23</f>
        <v>425</v>
      </c>
      <c r="R24" s="27">
        <f>EscapeNew!Q23</f>
        <v>150</v>
      </c>
      <c r="S24" s="27">
        <f>EscapeNew!R23</f>
        <v>150</v>
      </c>
      <c r="T24" s="27">
        <f>EscapeNew!S23</f>
        <v>25</v>
      </c>
      <c r="U24" s="27">
        <f>EscapeNew!T23</f>
        <v>119</v>
      </c>
      <c r="V24" s="27">
        <f>EscapeNew!U23</f>
        <v>200</v>
      </c>
      <c r="W24" s="27">
        <f>EscapeNew!V23</f>
        <v>320</v>
      </c>
      <c r="X24" s="27">
        <f>EscapeNew!W23</f>
        <v>186</v>
      </c>
      <c r="Y24" s="27">
        <f>EscapeNew!X23</f>
        <v>39</v>
      </c>
      <c r="Z24" s="27">
        <f>EscapeNew!Y23</f>
        <v>115</v>
      </c>
      <c r="AA24" s="27">
        <f>EscapeNew!Z23</f>
        <v>20</v>
      </c>
      <c r="AB24" s="27">
        <f>EscapeNew!AA23</f>
        <v>150.75180389630515</v>
      </c>
      <c r="AC24" s="27">
        <f>EscapeNew!AB23</f>
        <v>229</v>
      </c>
      <c r="AD24" s="27">
        <f>EscapeNew!AC23</f>
        <v>243.11767390096676</v>
      </c>
      <c r="AE24" s="27">
        <f>EscapeNew!AD23</f>
        <v>106</v>
      </c>
      <c r="AF24" s="27">
        <f>EscapeNew!AE23</f>
        <v>203</v>
      </c>
      <c r="AG24" s="27">
        <f>EscapeNew!AF23</f>
        <v>168</v>
      </c>
      <c r="AH24" s="27">
        <f>EscapeNew!AG23</f>
        <v>78</v>
      </c>
      <c r="AI24" s="27">
        <f>EscapeNew!AH23</f>
        <v>123</v>
      </c>
      <c r="AJ24" s="27">
        <f>EscapeNew!AI23</f>
        <v>171</v>
      </c>
      <c r="AK24" s="27">
        <f>EscapeNew!AJ23</f>
        <v>91</v>
      </c>
      <c r="AL24" s="27">
        <f>EscapeNew!AK23</f>
        <v>128</v>
      </c>
      <c r="AM24" s="27">
        <f>EscapeNew!AL23</f>
        <v>43</v>
      </c>
      <c r="AN24" s="27">
        <f>EscapeNew!AM23</f>
        <v>100</v>
      </c>
      <c r="AO24" s="27">
        <f>EscapeNew!AN23</f>
        <v>125</v>
      </c>
      <c r="AP24" s="27">
        <f>EscapeNew!AO23</f>
        <v>417</v>
      </c>
      <c r="AQ24" s="27">
        <f>EscapeNew!AP23</f>
        <v>57</v>
      </c>
      <c r="AR24" s="27">
        <f>EscapeNew!AQ23</f>
        <v>6</v>
      </c>
      <c r="AS24" s="27">
        <f>EscapeNew!AR23</f>
        <v>20</v>
      </c>
      <c r="AT24" s="27">
        <f>EscapeNew!AS23/StockList!F23</f>
        <v>90</v>
      </c>
      <c r="AU24" s="27">
        <f>EscapeNew!AT23/StockList!G23</f>
        <v>15.384615384615383</v>
      </c>
      <c r="AV24" s="27">
        <f>EscapeNew!AU23</f>
        <v>38</v>
      </c>
      <c r="AW24" s="27">
        <f>EscapeNew!AV23</f>
        <v>24</v>
      </c>
      <c r="AX24" s="27">
        <f t="shared" si="0"/>
        <v>138.64213848140653</v>
      </c>
    </row>
    <row r="25" spans="1:50" ht="9" customHeight="1" x14ac:dyDescent="0.2">
      <c r="A25" s="44" t="s">
        <v>121</v>
      </c>
      <c r="B25" s="45">
        <v>23</v>
      </c>
      <c r="C25" s="43">
        <v>3</v>
      </c>
      <c r="D25" s="45">
        <v>1</v>
      </c>
      <c r="E25" s="18" t="str">
        <f>EscapeNew!D24</f>
        <v>Spring 5.2</v>
      </c>
      <c r="F25" s="27">
        <f>EscapeNew!E24</f>
        <v>305.43077430605587</v>
      </c>
      <c r="G25" s="27">
        <f>EscapeNew!F24</f>
        <v>355.80430079899639</v>
      </c>
      <c r="H25" s="27">
        <f>EscapeNew!G24</f>
        <v>233.73074341761057</v>
      </c>
      <c r="I25" s="27">
        <f>EscapeNew!H24</f>
        <v>297.18970139002499</v>
      </c>
      <c r="J25" s="27">
        <f>EscapeNew!I24</f>
        <v>451.00995748271458</v>
      </c>
      <c r="K25" s="27">
        <f>EscapeNew!J24</f>
        <v>582.19123792942412</v>
      </c>
      <c r="L25" s="27">
        <f>EscapeNew!K24</f>
        <v>863.05199808413533</v>
      </c>
      <c r="M25" s="27">
        <f>EscapeNew!L24</f>
        <v>1070.4684844144383</v>
      </c>
      <c r="N25" s="27">
        <f>EscapeNew!M24</f>
        <v>1050.2521963231782</v>
      </c>
      <c r="O25" s="27">
        <f>EscapeNew!N24</f>
        <v>904.34458415285758</v>
      </c>
      <c r="P25" s="27">
        <f>EscapeNew!O24</f>
        <v>671.58394390315914</v>
      </c>
      <c r="Q25" s="27">
        <f>EscapeNew!P24</f>
        <v>841.40130580257983</v>
      </c>
      <c r="R25" s="27">
        <f>EscapeNew!Q24</f>
        <v>597.18229501054611</v>
      </c>
      <c r="S25" s="27">
        <f>EscapeNew!R24</f>
        <v>747.55413590800003</v>
      </c>
      <c r="T25" s="27">
        <f>EscapeNew!S24</f>
        <v>749.41834789585516</v>
      </c>
      <c r="U25" s="27">
        <f>EscapeNew!T24</f>
        <v>1087.9326887281845</v>
      </c>
      <c r="V25" s="27">
        <f>EscapeNew!U24</f>
        <v>832.18919716813969</v>
      </c>
      <c r="W25" s="27">
        <f>EscapeNew!V24</f>
        <v>658.89285708544344</v>
      </c>
      <c r="X25" s="27">
        <f>EscapeNew!W24</f>
        <v>753.4559247700679</v>
      </c>
      <c r="Y25" s="27">
        <f>EscapeNew!X24</f>
        <v>641.84356315812693</v>
      </c>
      <c r="Z25" s="27">
        <f>EscapeNew!Y24</f>
        <v>739.49349331206724</v>
      </c>
      <c r="AA25" s="27">
        <f>EscapeNew!Z24</f>
        <v>392.99999999999989</v>
      </c>
      <c r="AB25" s="27">
        <f>EscapeNew!AA24</f>
        <v>723.99999999999989</v>
      </c>
      <c r="AC25" s="27">
        <f>EscapeNew!AB24</f>
        <v>674.99999999999989</v>
      </c>
      <c r="AD25" s="27">
        <f>EscapeNew!AC24</f>
        <v>1708.9999999999995</v>
      </c>
      <c r="AE25" s="27">
        <f>EscapeNew!AD24</f>
        <v>558.99999999999989</v>
      </c>
      <c r="AF25" s="27">
        <f>EscapeNew!AE24</f>
        <v>257.99999999999994</v>
      </c>
      <c r="AG25" s="27">
        <f>EscapeNew!AF24</f>
        <v>341.99999999999994</v>
      </c>
      <c r="AH25" s="27">
        <f>EscapeNew!AG24</f>
        <v>233.99999999999994</v>
      </c>
      <c r="AI25" s="27">
        <f>EscapeNew!AH24</f>
        <v>395.99999999999989</v>
      </c>
      <c r="AJ25" s="27">
        <f>EscapeNew!AI24</f>
        <v>480.99999999999989</v>
      </c>
      <c r="AK25" s="27">
        <f>EscapeNew!AJ24</f>
        <v>576.99999999999989</v>
      </c>
      <c r="AL25" s="27">
        <f>EscapeNew!AK24</f>
        <v>371.99999999999994</v>
      </c>
      <c r="AM25" s="27">
        <f>EscapeNew!AL24</f>
        <v>387.99999999999989</v>
      </c>
      <c r="AN25" s="27">
        <f>EscapeNew!AM24</f>
        <v>455.99999999999989</v>
      </c>
      <c r="AO25" s="27">
        <f>EscapeNew!AN24</f>
        <v>1060.9999999999998</v>
      </c>
      <c r="AP25" s="27">
        <f>EscapeNew!AO24</f>
        <v>610.99999999999989</v>
      </c>
      <c r="AQ25" s="27">
        <f>EscapeNew!AP24</f>
        <v>299.99999999999994</v>
      </c>
      <c r="AR25" s="27">
        <f>EscapeNew!AQ24</f>
        <v>191.75112605449206</v>
      </c>
      <c r="AS25" s="27">
        <f>EscapeNew!AR24</f>
        <v>288.99999999999994</v>
      </c>
      <c r="AT25" s="27">
        <f>EscapeNew!AS24/StockList!F24</f>
        <v>294.99999999999989</v>
      </c>
      <c r="AU25" s="27">
        <f>EscapeNew!AT24/StockList!G24</f>
        <v>635.89743589743568</v>
      </c>
      <c r="AV25" s="27">
        <f>EscapeNew!AU24</f>
        <v>870.99999999999977</v>
      </c>
      <c r="AW25" s="27">
        <f>EscapeNew!AV24</f>
        <v>512.99999999999989</v>
      </c>
      <c r="AX25" s="27">
        <f t="shared" si="0"/>
        <v>608.31977938621674</v>
      </c>
    </row>
    <row r="26" spans="1:50" ht="9" customHeight="1" x14ac:dyDescent="0.2">
      <c r="A26" s="18" t="s">
        <v>143</v>
      </c>
      <c r="B26" s="41">
        <v>24</v>
      </c>
      <c r="C26" s="43">
        <v>3</v>
      </c>
      <c r="D26" s="41">
        <v>1</v>
      </c>
      <c r="E26" s="18" t="str">
        <f>EscapeNew!D25</f>
        <v>Spring 5.2</v>
      </c>
      <c r="F26" s="27">
        <f>EscapeNew!E25</f>
        <v>200</v>
      </c>
      <c r="G26" s="27">
        <f>EscapeNew!F25</f>
        <v>300</v>
      </c>
      <c r="H26" s="27">
        <f>EscapeNew!G25</f>
        <v>300</v>
      </c>
      <c r="I26" s="27">
        <f>EscapeNew!H25</f>
        <v>325</v>
      </c>
      <c r="J26" s="27">
        <f>EscapeNew!I25</f>
        <v>900</v>
      </c>
      <c r="K26" s="27">
        <f>EscapeNew!J25</f>
        <v>900</v>
      </c>
      <c r="L26" s="27">
        <f>EscapeNew!K25</f>
        <v>1500</v>
      </c>
      <c r="M26" s="27">
        <f>EscapeNew!L25</f>
        <v>1473</v>
      </c>
      <c r="N26" s="27">
        <f>EscapeNew!M25</f>
        <v>2700</v>
      </c>
      <c r="O26" s="77">
        <v>1193</v>
      </c>
      <c r="P26" s="27">
        <f>EscapeNew!O25</f>
        <v>800</v>
      </c>
      <c r="Q26" s="27">
        <f>EscapeNew!P25</f>
        <v>1000</v>
      </c>
      <c r="R26" s="27">
        <f>EscapeNew!Q25</f>
        <v>1000</v>
      </c>
      <c r="S26" s="27">
        <f>EscapeNew!R25</f>
        <v>2200</v>
      </c>
      <c r="T26" s="27">
        <f>EscapeNew!S25</f>
        <v>4470</v>
      </c>
      <c r="U26" s="27">
        <f>EscapeNew!T25</f>
        <v>4690</v>
      </c>
      <c r="V26" s="27">
        <f>EscapeNew!U25</f>
        <v>2100</v>
      </c>
      <c r="W26" s="27">
        <f>EscapeNew!V25</f>
        <v>1900</v>
      </c>
      <c r="X26" s="27">
        <f>EscapeNew!W25</f>
        <v>3329</v>
      </c>
      <c r="Y26" s="27">
        <f>EscapeNew!X25</f>
        <v>2026</v>
      </c>
      <c r="Z26" s="27">
        <f>EscapeNew!Y25</f>
        <v>709</v>
      </c>
      <c r="AA26" s="27">
        <f>EscapeNew!Z25</f>
        <v>1208</v>
      </c>
      <c r="AB26" s="27">
        <f>EscapeNew!AA25</f>
        <v>788</v>
      </c>
      <c r="AC26" s="27">
        <f>EscapeNew!AB25</f>
        <v>1348</v>
      </c>
      <c r="AD26" s="27">
        <f>EscapeNew!AC25</f>
        <v>1572.0109251075955</v>
      </c>
      <c r="AE26" s="27">
        <f>EscapeNew!AD25</f>
        <v>1235</v>
      </c>
      <c r="AF26" s="27">
        <f>EscapeNew!AE25</f>
        <v>559</v>
      </c>
      <c r="AG26" s="27">
        <f>EscapeNew!AF25</f>
        <v>749.10617074259062</v>
      </c>
      <c r="AH26" s="27">
        <f>EscapeNew!AG25</f>
        <v>393</v>
      </c>
      <c r="AI26" s="27">
        <f>EscapeNew!AH25</f>
        <v>225</v>
      </c>
      <c r="AJ26" s="27">
        <f>EscapeNew!AI25</f>
        <v>535</v>
      </c>
      <c r="AK26" s="27">
        <f>EscapeNew!AJ25</f>
        <v>833</v>
      </c>
      <c r="AL26" s="27">
        <f>EscapeNew!AK25</f>
        <v>376</v>
      </c>
      <c r="AM26" s="27">
        <f>EscapeNew!AL25</f>
        <v>518.611964360255</v>
      </c>
      <c r="AN26" s="27">
        <f>EscapeNew!AM25</f>
        <v>537.81981489211637</v>
      </c>
      <c r="AO26" s="27">
        <f>EscapeNew!AN25</f>
        <v>930.06434154275757</v>
      </c>
      <c r="AP26" s="27">
        <f>EscapeNew!AO25</f>
        <v>654.07785758496095</v>
      </c>
      <c r="AQ26" s="27">
        <f>EscapeNew!AP25</f>
        <v>363</v>
      </c>
      <c r="AR26" s="27">
        <f>EscapeNew!AQ25</f>
        <v>157</v>
      </c>
      <c r="AS26" s="27">
        <f>EscapeNew!AR25</f>
        <v>182.98004980352079</v>
      </c>
      <c r="AT26" s="27">
        <f>EscapeNew!AS25/StockList!F25</f>
        <v>440</v>
      </c>
      <c r="AU26" s="27">
        <f>EscapeNew!AT25/StockList!G25</f>
        <v>419.23076923076923</v>
      </c>
      <c r="AV26" s="27">
        <f>EscapeNew!AU25</f>
        <v>393</v>
      </c>
      <c r="AW26" s="27">
        <f>EscapeNew!AV25</f>
        <v>533</v>
      </c>
      <c r="AX26" s="27">
        <f t="shared" si="0"/>
        <v>1112.8386793923762</v>
      </c>
    </row>
    <row r="27" spans="1:50" ht="9" customHeight="1" x14ac:dyDescent="0.2">
      <c r="A27" s="18" t="s">
        <v>180</v>
      </c>
      <c r="B27" s="41">
        <v>25</v>
      </c>
      <c r="C27" s="43">
        <v>4</v>
      </c>
      <c r="D27" s="41">
        <v>2</v>
      </c>
      <c r="E27" s="18" t="str">
        <f>EscapeNew!D26</f>
        <v>Summer 5.2</v>
      </c>
      <c r="F27" s="27">
        <f>EscapeNew!E26</f>
        <v>900</v>
      </c>
      <c r="G27" s="27">
        <f>EscapeNew!F26</f>
        <v>1000</v>
      </c>
      <c r="H27" s="27">
        <f>EscapeNew!G26</f>
        <v>800</v>
      </c>
      <c r="I27" s="27">
        <f>EscapeNew!H26</f>
        <v>1000</v>
      </c>
      <c r="J27" s="27">
        <f>EscapeNew!I26</f>
        <v>1500</v>
      </c>
      <c r="K27" s="27">
        <f>EscapeNew!J26</f>
        <v>1800</v>
      </c>
      <c r="L27" s="27">
        <f>EscapeNew!K26</f>
        <v>2000</v>
      </c>
      <c r="M27" s="27">
        <f>EscapeNew!L26</f>
        <v>9000</v>
      </c>
      <c r="N27" s="27">
        <f>EscapeNew!M26</f>
        <v>4756</v>
      </c>
      <c r="O27" s="27">
        <f>EscapeNew!N26</f>
        <v>6300</v>
      </c>
      <c r="P27" s="27">
        <f>EscapeNew!O26</f>
        <v>3000</v>
      </c>
      <c r="Q27" s="27">
        <f>EscapeNew!P26</f>
        <v>6195</v>
      </c>
      <c r="R27" s="27">
        <f>EscapeNew!Q26</f>
        <v>4984</v>
      </c>
      <c r="S27" s="27">
        <f>EscapeNew!R26</f>
        <v>3551</v>
      </c>
      <c r="T27" s="27">
        <f>EscapeNew!S26</f>
        <v>5086</v>
      </c>
      <c r="U27" s="27">
        <f>EscapeNew!T26</f>
        <v>1746</v>
      </c>
      <c r="V27" s="27">
        <f>EscapeNew!U26</f>
        <v>3232</v>
      </c>
      <c r="W27" s="27">
        <f>EscapeNew!V26</f>
        <v>3538</v>
      </c>
      <c r="X27" s="27">
        <f>EscapeNew!W26</f>
        <v>3662</v>
      </c>
      <c r="Y27" s="27">
        <f>EscapeNew!X26</f>
        <v>5191</v>
      </c>
      <c r="Z27" s="27">
        <f>EscapeNew!Y26</f>
        <v>1770</v>
      </c>
      <c r="AA27" s="27">
        <f>EscapeNew!Z26</f>
        <v>1778</v>
      </c>
      <c r="AB27" s="27">
        <f>EscapeNew!AA26</f>
        <v>2418</v>
      </c>
      <c r="AC27" s="27">
        <f>EscapeNew!AB26</f>
        <v>5514</v>
      </c>
      <c r="AD27" s="27">
        <f>EscapeNew!AC26</f>
        <v>5265</v>
      </c>
      <c r="AE27" s="27">
        <f>EscapeNew!AD26</f>
        <v>2945</v>
      </c>
      <c r="AF27" s="27">
        <f>EscapeNew!AE26</f>
        <v>3173</v>
      </c>
      <c r="AG27" s="27">
        <f>EscapeNew!AF26</f>
        <v>2665</v>
      </c>
      <c r="AH27" s="27">
        <f>EscapeNew!AG26</f>
        <v>1773</v>
      </c>
      <c r="AI27" s="27">
        <f>EscapeNew!AH26</f>
        <v>1383</v>
      </c>
      <c r="AJ27" s="27">
        <f>EscapeNew!AI26</f>
        <v>1875</v>
      </c>
      <c r="AK27" s="27">
        <f>EscapeNew!AJ26</f>
        <v>2319</v>
      </c>
      <c r="AL27" s="27">
        <f>EscapeNew!AK26</f>
        <v>1428</v>
      </c>
      <c r="AM27" s="27">
        <f>EscapeNew!AL26</f>
        <v>1560</v>
      </c>
      <c r="AN27" s="27">
        <f>EscapeNew!AM26</f>
        <v>2579</v>
      </c>
      <c r="AO27" s="27">
        <f>EscapeNew!AN26</f>
        <v>1859</v>
      </c>
      <c r="AP27" s="27">
        <f>EscapeNew!AO26</f>
        <v>3882</v>
      </c>
      <c r="AQ27" s="27">
        <f>EscapeNew!AP26</f>
        <v>1021</v>
      </c>
      <c r="AR27" s="27">
        <f>EscapeNew!AQ26</f>
        <v>503</v>
      </c>
      <c r="AS27" s="27">
        <f>EscapeNew!AR26</f>
        <v>512</v>
      </c>
      <c r="AT27" s="27">
        <f>EscapeNew!AS26/StockList!F26</f>
        <v>342</v>
      </c>
      <c r="AU27" s="27">
        <f>EscapeNew!AT26/StockList!G26</f>
        <v>289</v>
      </c>
      <c r="AV27" s="27">
        <f>EscapeNew!AU26</f>
        <v>1560</v>
      </c>
      <c r="AW27" s="27">
        <f>EscapeNew!AV26</f>
        <v>1637</v>
      </c>
      <c r="AX27" s="27">
        <f t="shared" si="0"/>
        <v>2711.159090909091</v>
      </c>
    </row>
    <row r="28" spans="1:50" ht="9" customHeight="1" x14ac:dyDescent="0.2">
      <c r="A28" s="44" t="s">
        <v>133</v>
      </c>
      <c r="B28" s="45">
        <v>26</v>
      </c>
      <c r="C28" s="43">
        <v>4</v>
      </c>
      <c r="D28" s="45">
        <v>2</v>
      </c>
      <c r="E28" s="18" t="str">
        <f>EscapeNew!D27</f>
        <v>Summer 5.2</v>
      </c>
      <c r="F28" s="27">
        <f>EscapeNew!E27</f>
        <v>375.04881072357756</v>
      </c>
      <c r="G28" s="27">
        <f>EscapeNew!F27</f>
        <v>498.23659338097002</v>
      </c>
      <c r="H28" s="27">
        <f>EscapeNew!G27</f>
        <v>300</v>
      </c>
      <c r="I28" s="27">
        <f>EscapeNew!H27</f>
        <v>400</v>
      </c>
      <c r="J28" s="27">
        <f>EscapeNew!I27</f>
        <v>700</v>
      </c>
      <c r="K28" s="27">
        <f>EscapeNew!J27</f>
        <v>600</v>
      </c>
      <c r="L28" s="27">
        <f>EscapeNew!K27</f>
        <v>1150</v>
      </c>
      <c r="M28" s="27">
        <f>EscapeNew!L27</f>
        <v>1400</v>
      </c>
      <c r="N28" s="27">
        <f>EscapeNew!M27</f>
        <v>1179</v>
      </c>
      <c r="O28" s="27">
        <f>EscapeNew!N27</f>
        <v>1981</v>
      </c>
      <c r="P28" s="27">
        <f>EscapeNew!O27</f>
        <v>1160</v>
      </c>
      <c r="Q28" s="27">
        <f>EscapeNew!P27</f>
        <v>2500</v>
      </c>
      <c r="R28" s="27">
        <f>EscapeNew!Q27</f>
        <v>1782</v>
      </c>
      <c r="S28" s="27">
        <f>EscapeNew!R27</f>
        <v>1069</v>
      </c>
      <c r="T28" s="27">
        <f>EscapeNew!S27</f>
        <v>2480</v>
      </c>
      <c r="U28" s="27">
        <f>EscapeNew!T27</f>
        <v>2010</v>
      </c>
      <c r="V28" s="27">
        <f>EscapeNew!U27</f>
        <v>817</v>
      </c>
      <c r="W28" s="27">
        <f>EscapeNew!V27</f>
        <v>1850</v>
      </c>
      <c r="X28" s="27">
        <f>EscapeNew!W27</f>
        <v>1800</v>
      </c>
      <c r="Y28" s="27">
        <f>EscapeNew!X27</f>
        <v>480</v>
      </c>
      <c r="Z28" s="27">
        <f>EscapeNew!Y27</f>
        <v>364</v>
      </c>
      <c r="AA28" s="27">
        <f>EscapeNew!Z27</f>
        <v>382</v>
      </c>
      <c r="AB28" s="27">
        <f>EscapeNew!AA27</f>
        <v>503</v>
      </c>
      <c r="AC28" s="27">
        <f>EscapeNew!AB27</f>
        <v>1097</v>
      </c>
      <c r="AD28" s="27">
        <f>EscapeNew!AC27</f>
        <v>2198</v>
      </c>
      <c r="AE28" s="27">
        <f>EscapeNew!AD27</f>
        <v>289</v>
      </c>
      <c r="AF28" s="27">
        <f>EscapeNew!AE27</f>
        <v>526</v>
      </c>
      <c r="AG28" s="27">
        <f>EscapeNew!AF27</f>
        <v>949</v>
      </c>
      <c r="AH28" s="27">
        <f>EscapeNew!AG27</f>
        <v>546</v>
      </c>
      <c r="AI28" s="27">
        <f>EscapeNew!AH27</f>
        <v>449</v>
      </c>
      <c r="AJ28" s="27">
        <f>EscapeNew!AI27</f>
        <v>877</v>
      </c>
      <c r="AK28" s="27">
        <f>EscapeNew!AJ27</f>
        <v>852</v>
      </c>
      <c r="AL28" s="27">
        <f>EscapeNew!AK27</f>
        <v>408</v>
      </c>
      <c r="AM28" s="27">
        <f>EscapeNew!AL27</f>
        <v>238</v>
      </c>
      <c r="AN28" s="27">
        <f>EscapeNew!AM27</f>
        <v>537</v>
      </c>
      <c r="AO28" s="27">
        <f>EscapeNew!AN27</f>
        <v>242</v>
      </c>
      <c r="AP28" s="27">
        <f>EscapeNew!AO27</f>
        <v>518</v>
      </c>
      <c r="AQ28" s="27">
        <f>EscapeNew!AP27</f>
        <v>145</v>
      </c>
      <c r="AR28" s="27">
        <f>EscapeNew!AQ27</f>
        <v>138</v>
      </c>
      <c r="AS28" s="27">
        <f>EscapeNew!AR27</f>
        <v>214</v>
      </c>
      <c r="AT28" s="27">
        <f>EscapeNew!AS27/StockList!F27</f>
        <v>58</v>
      </c>
      <c r="AU28" s="27">
        <f>EscapeNew!AT27/StockList!G27</f>
        <v>245</v>
      </c>
      <c r="AV28" s="27">
        <f>EscapeNew!AU27</f>
        <v>160</v>
      </c>
      <c r="AW28" s="27">
        <f>EscapeNew!AV27</f>
        <v>700</v>
      </c>
      <c r="AX28" s="27">
        <f t="shared" si="0"/>
        <v>844.68830463873974</v>
      </c>
    </row>
    <row r="29" spans="1:50" ht="9" customHeight="1" x14ac:dyDescent="0.2">
      <c r="A29" s="18" t="s">
        <v>156</v>
      </c>
      <c r="B29" s="41">
        <v>27</v>
      </c>
      <c r="C29" s="43">
        <v>4</v>
      </c>
      <c r="D29" s="41">
        <v>1</v>
      </c>
      <c r="E29" s="18" t="str">
        <f>EscapeNew!D28</f>
        <v>Spring 5.2</v>
      </c>
      <c r="F29" s="27">
        <f>EscapeNew!E28</f>
        <v>350</v>
      </c>
      <c r="G29" s="27">
        <f>EscapeNew!F28</f>
        <v>350</v>
      </c>
      <c r="H29" s="27">
        <f>EscapeNew!G28</f>
        <v>200</v>
      </c>
      <c r="I29" s="27">
        <f>EscapeNew!H28</f>
        <v>365</v>
      </c>
      <c r="J29" s="27">
        <f>EscapeNew!I28</f>
        <v>300</v>
      </c>
      <c r="K29" s="27">
        <f>EscapeNew!J28</f>
        <v>250</v>
      </c>
      <c r="L29" s="27">
        <f>EscapeNew!K28</f>
        <v>250</v>
      </c>
      <c r="M29" s="27">
        <f>EscapeNew!L28</f>
        <v>250</v>
      </c>
      <c r="N29" s="27">
        <f>EscapeNew!M28</f>
        <v>250</v>
      </c>
      <c r="O29" s="27">
        <f>EscapeNew!N28</f>
        <v>250</v>
      </c>
      <c r="P29" s="27">
        <f>EscapeNew!O28</f>
        <v>400</v>
      </c>
      <c r="Q29" s="27">
        <f>EscapeNew!P28</f>
        <v>1000</v>
      </c>
      <c r="R29" s="27">
        <f>EscapeNew!Q28</f>
        <v>500</v>
      </c>
      <c r="S29" s="27">
        <f>EscapeNew!R28</f>
        <v>400</v>
      </c>
      <c r="T29" s="27">
        <f>EscapeNew!S28</f>
        <v>200</v>
      </c>
      <c r="U29" s="27">
        <f>EscapeNew!T28</f>
        <v>4154</v>
      </c>
      <c r="V29" s="27">
        <f>EscapeNew!U28</f>
        <v>185</v>
      </c>
      <c r="W29" s="27">
        <f>EscapeNew!V28</f>
        <v>400</v>
      </c>
      <c r="X29" s="27">
        <f>EscapeNew!W28</f>
        <v>115</v>
      </c>
      <c r="Y29" s="27">
        <f>EscapeNew!X28</f>
        <v>22</v>
      </c>
      <c r="Z29" s="27">
        <f>EscapeNew!Y28</f>
        <v>22</v>
      </c>
      <c r="AA29" s="27">
        <f>EscapeNew!Z28</f>
        <v>174</v>
      </c>
      <c r="AB29" s="27">
        <f>EscapeNew!AA28</f>
        <v>281</v>
      </c>
      <c r="AC29" s="27">
        <f>EscapeNew!AB28</f>
        <v>380</v>
      </c>
      <c r="AD29" s="27">
        <f>EscapeNew!AC28</f>
        <v>245</v>
      </c>
      <c r="AE29" s="27">
        <f>EscapeNew!AD28</f>
        <v>375</v>
      </c>
      <c r="AF29" s="27">
        <f>EscapeNew!AE28</f>
        <v>509</v>
      </c>
      <c r="AG29" s="27">
        <f>EscapeNew!AF28</f>
        <v>344</v>
      </c>
      <c r="AH29" s="27">
        <f>EscapeNew!AG28</f>
        <v>51</v>
      </c>
      <c r="AI29" s="27">
        <f>EscapeNew!AH28</f>
        <v>102</v>
      </c>
      <c r="AJ29" s="27">
        <f>EscapeNew!AI28</f>
        <v>209</v>
      </c>
      <c r="AK29" s="27">
        <f>EscapeNew!AJ28</f>
        <v>237</v>
      </c>
      <c r="AL29" s="27">
        <f>EscapeNew!AK28</f>
        <v>143</v>
      </c>
      <c r="AM29" s="27">
        <f>EscapeNew!AL28</f>
        <v>46</v>
      </c>
      <c r="AN29" s="27">
        <f>EscapeNew!AM28</f>
        <v>268</v>
      </c>
      <c r="AO29" s="27">
        <f>EscapeNew!AN28</f>
        <v>192</v>
      </c>
      <c r="AP29" s="27">
        <f>EscapeNew!AO28</f>
        <v>334</v>
      </c>
      <c r="AQ29" s="27">
        <f>EscapeNew!AP28</f>
        <v>225</v>
      </c>
      <c r="AR29" s="27">
        <f>EscapeNew!AQ28</f>
        <v>71</v>
      </c>
      <c r="AS29" s="27">
        <f>EscapeNew!AR28</f>
        <v>25</v>
      </c>
      <c r="AT29" s="27">
        <f>EscapeNew!AS28/StockList!F28</f>
        <v>170</v>
      </c>
      <c r="AU29" s="27">
        <f>EscapeNew!AT28/StockList!G28</f>
        <v>215.38461538461539</v>
      </c>
      <c r="AV29" s="27">
        <f>EscapeNew!AU28</f>
        <v>260</v>
      </c>
      <c r="AW29" s="27">
        <f>EscapeNew!AV28</f>
        <v>60</v>
      </c>
      <c r="AX29" s="27">
        <f t="shared" si="0"/>
        <v>343.84965034965035</v>
      </c>
    </row>
    <row r="30" spans="1:50" ht="9" customHeight="1" x14ac:dyDescent="0.2">
      <c r="A30" s="18" t="s">
        <v>137</v>
      </c>
      <c r="B30" s="41">
        <v>28</v>
      </c>
      <c r="C30" s="43">
        <v>5</v>
      </c>
      <c r="D30" s="41">
        <v>2</v>
      </c>
      <c r="E30" s="18" t="str">
        <f>EscapeNew!D29</f>
        <v>Summer 5.2</v>
      </c>
      <c r="F30" s="27">
        <f>EscapeNew!E29</f>
        <v>3831.1237744396649</v>
      </c>
      <c r="G30" s="27">
        <f>EscapeNew!F29</f>
        <v>5704.4886810593553</v>
      </c>
      <c r="H30" s="27">
        <f>EscapeNew!G29</f>
        <v>4163.8111419203742</v>
      </c>
      <c r="I30" s="27">
        <f>EscapeNew!H29</f>
        <v>6032.5337529639182</v>
      </c>
      <c r="J30" s="27">
        <f>EscapeNew!I29</f>
        <v>6795.6154421331294</v>
      </c>
      <c r="K30" s="27">
        <f>EscapeNew!J29</f>
        <v>4826.2800525873326</v>
      </c>
      <c r="L30" s="27">
        <f>EscapeNew!K29</f>
        <v>5156.2323955272295</v>
      </c>
      <c r="M30" s="27">
        <f>EscapeNew!L29</f>
        <v>8574.4125418265558</v>
      </c>
      <c r="N30" s="27">
        <f>EscapeNew!M29</f>
        <v>10036.934761628918</v>
      </c>
      <c r="O30" s="27">
        <f>EscapeNew!N29</f>
        <v>9000.8228696970473</v>
      </c>
      <c r="P30" s="27">
        <f>EscapeNew!O29</f>
        <v>3497.3256254231114</v>
      </c>
      <c r="Q30" s="27">
        <f>EscapeNew!P29</f>
        <v>7625.1620006159419</v>
      </c>
      <c r="R30" s="27">
        <f>EscapeNew!Q29</f>
        <v>8313.3740977256948</v>
      </c>
      <c r="S30" s="27">
        <f>EscapeNew!R29</f>
        <v>12357.84129262898</v>
      </c>
      <c r="T30" s="27">
        <f>EscapeNew!S29</f>
        <v>7168.432287944599</v>
      </c>
      <c r="U30" s="27">
        <f>EscapeNew!T29</f>
        <v>6430.8179517910394</v>
      </c>
      <c r="V30" s="27">
        <f>EscapeNew!U29</f>
        <v>11602.577040346574</v>
      </c>
      <c r="W30" s="27">
        <f>EscapeNew!V29</f>
        <v>18543.121611770104</v>
      </c>
      <c r="X30" s="27">
        <f>EscapeNew!W29</f>
        <v>17774.665333490073</v>
      </c>
      <c r="Y30" s="27">
        <f>EscapeNew!X29</f>
        <v>15952.177823879336</v>
      </c>
      <c r="Z30" s="27">
        <f>EscapeNew!Y29</f>
        <v>9950.9951635797024</v>
      </c>
      <c r="AA30" s="27">
        <f>EscapeNew!Z29</f>
        <v>10220.553451266927</v>
      </c>
      <c r="AB30" s="27">
        <f>EscapeNew!AA29</f>
        <v>12062.102313296544</v>
      </c>
      <c r="AC30" s="27">
        <f>EscapeNew!AB29</f>
        <v>12207.329581974198</v>
      </c>
      <c r="AD30" s="27">
        <f>EscapeNew!AC29</f>
        <v>23406.667025882842</v>
      </c>
      <c r="AE30" s="27">
        <f>EscapeNew!AD29</f>
        <v>17790.507945602505</v>
      </c>
      <c r="AF30" s="27">
        <f>EscapeNew!AE29</f>
        <v>8602.8156344052077</v>
      </c>
      <c r="AG30" s="27">
        <f>EscapeNew!AF29</f>
        <v>5924.3499920078057</v>
      </c>
      <c r="AH30" s="27">
        <f>EscapeNew!AG29</f>
        <v>5008.9515815796549</v>
      </c>
      <c r="AI30" s="27">
        <f>EscapeNew!AH29</f>
        <v>5907.9524914131198</v>
      </c>
      <c r="AJ30" s="27">
        <f>EscapeNew!AI29</f>
        <v>9708.0886386865441</v>
      </c>
      <c r="AK30" s="27">
        <f>EscapeNew!AJ29</f>
        <v>7490</v>
      </c>
      <c r="AL30" s="27">
        <f>EscapeNew!AK29</f>
        <v>8396</v>
      </c>
      <c r="AM30" s="27">
        <f>EscapeNew!AL29</f>
        <v>4255</v>
      </c>
      <c r="AN30" s="27">
        <f>EscapeNew!AM29</f>
        <v>4200</v>
      </c>
      <c r="AO30" s="27">
        <f>EscapeNew!AN29</f>
        <v>13350</v>
      </c>
      <c r="AP30" s="27">
        <f>EscapeNew!AO29</f>
        <v>10985</v>
      </c>
      <c r="AQ30" s="27">
        <f>EscapeNew!AP29</f>
        <v>4174</v>
      </c>
      <c r="AR30" s="27">
        <f>EscapeNew!AQ29</f>
        <v>3680</v>
      </c>
      <c r="AS30" s="27">
        <f>EscapeNew!AR29</f>
        <v>2263</v>
      </c>
      <c r="AT30" s="27">
        <f>EscapeNew!AS29/StockList!F29</f>
        <v>5095.0404275511364</v>
      </c>
      <c r="AU30" s="27">
        <f>EscapeNew!AT29/StockList!G29</f>
        <v>6322</v>
      </c>
      <c r="AV30" s="27">
        <f>EscapeNew!AU29</f>
        <v>5473</v>
      </c>
      <c r="AW30" s="27">
        <f>EscapeNew!AV29</f>
        <v>13695</v>
      </c>
      <c r="AX30" s="27">
        <f t="shared" si="0"/>
        <v>8717.1841983328432</v>
      </c>
    </row>
    <row r="31" spans="1:50" ht="9" customHeight="1" x14ac:dyDescent="0.2">
      <c r="A31" s="18" t="s">
        <v>136</v>
      </c>
      <c r="B31" s="41">
        <v>29</v>
      </c>
      <c r="C31" s="43">
        <v>5</v>
      </c>
      <c r="D31" s="41">
        <v>1</v>
      </c>
      <c r="E31" s="18" t="str">
        <f>EscapeNew!D30</f>
        <v>Spring 5.2</v>
      </c>
      <c r="F31" s="27">
        <f>EscapeNew!E30</f>
        <v>141.36459446288262</v>
      </c>
      <c r="G31" s="27">
        <f>EscapeNew!F30</f>
        <v>164.67931499331684</v>
      </c>
      <c r="H31" s="27">
        <f>EscapeNew!G30</f>
        <v>108.17918342317962</v>
      </c>
      <c r="I31" s="27">
        <f>EscapeNew!H30</f>
        <v>137.55032285465768</v>
      </c>
      <c r="J31" s="27">
        <f>EscapeNew!I30</f>
        <v>208.74399406255824</v>
      </c>
      <c r="K31" s="27">
        <f>EscapeNew!J30</f>
        <v>269.45951480078099</v>
      </c>
      <c r="L31" s="27">
        <f>EscapeNew!K30</f>
        <v>399.45220316041127</v>
      </c>
      <c r="M31" s="27">
        <f>EscapeNew!L30</f>
        <v>495.45218070562737</v>
      </c>
      <c r="N31" s="27">
        <f>EscapeNew!M30</f>
        <v>486.09533912979424</v>
      </c>
      <c r="O31" s="27">
        <f>EscapeNew!N30</f>
        <v>418.56393051398618</v>
      </c>
      <c r="P31" s="27">
        <f>EscapeNew!O30</f>
        <v>310.83374651213416</v>
      </c>
      <c r="Q31" s="27">
        <f>EscapeNew!P30</f>
        <v>389.43146657557764</v>
      </c>
      <c r="R31" s="27">
        <f>EscapeNew!Q30</f>
        <v>276.39792730900842</v>
      </c>
      <c r="S31" s="27">
        <f>EscapeNew!R30</f>
        <v>345.99554515024448</v>
      </c>
      <c r="T31" s="27">
        <f>EscapeNew!S30</f>
        <v>346.85837101399295</v>
      </c>
      <c r="U31" s="27">
        <f>EscapeNew!T30</f>
        <v>503.53525670227128</v>
      </c>
      <c r="V31" s="27">
        <f>EscapeNew!U30</f>
        <v>289</v>
      </c>
      <c r="W31" s="27">
        <f>EscapeNew!V30</f>
        <v>732</v>
      </c>
      <c r="X31" s="27">
        <f>EscapeNew!W30</f>
        <v>358</v>
      </c>
      <c r="Y31" s="27">
        <f>EscapeNew!X30</f>
        <v>589</v>
      </c>
      <c r="Z31" s="27">
        <f>EscapeNew!Y30</f>
        <v>277</v>
      </c>
      <c r="AA31" s="27">
        <f>EscapeNew!Z30</f>
        <v>229</v>
      </c>
      <c r="AB31" s="27">
        <f>EscapeNew!AA30</f>
        <v>243</v>
      </c>
      <c r="AC31" s="27">
        <f>EscapeNew!AB30</f>
        <v>520</v>
      </c>
      <c r="AD31" s="27">
        <f>EscapeNew!AC30</f>
        <v>686</v>
      </c>
      <c r="AE31" s="27">
        <f>EscapeNew!AD30</f>
        <v>220</v>
      </c>
      <c r="AF31" s="27">
        <f>EscapeNew!AE30</f>
        <v>102</v>
      </c>
      <c r="AG31" s="27">
        <f>EscapeNew!AF30</f>
        <v>160</v>
      </c>
      <c r="AH31" s="27">
        <f>EscapeNew!AG30</f>
        <v>89</v>
      </c>
      <c r="AI31" s="27">
        <f>EscapeNew!AH30</f>
        <v>240</v>
      </c>
      <c r="AJ31" s="27">
        <f>EscapeNew!AI30</f>
        <v>243</v>
      </c>
      <c r="AK31" s="27">
        <f>EscapeNew!AJ30</f>
        <v>171</v>
      </c>
      <c r="AL31" s="27">
        <f>EscapeNew!AK30</f>
        <v>66</v>
      </c>
      <c r="AM31" s="27">
        <f>EscapeNew!AL30</f>
        <v>82</v>
      </c>
      <c r="AN31" s="27">
        <f>EscapeNew!AM30</f>
        <v>223</v>
      </c>
      <c r="AO31" s="27">
        <f>EscapeNew!AN30</f>
        <v>392</v>
      </c>
      <c r="AP31" s="27">
        <f>EscapeNew!AO30</f>
        <v>215</v>
      </c>
      <c r="AQ31" s="27">
        <f>EscapeNew!AP30</f>
        <v>115</v>
      </c>
      <c r="AR31" s="27">
        <f>EscapeNew!AQ30</f>
        <v>88.749472721213294</v>
      </c>
      <c r="AS31" s="27">
        <f>EscapeNew!AR30</f>
        <v>63</v>
      </c>
      <c r="AT31" s="27">
        <f>EscapeNew!AS30/StockList!F30</f>
        <v>75</v>
      </c>
      <c r="AU31" s="27">
        <f>EscapeNew!AT30/StockList!G30</f>
        <v>52.564102564102562</v>
      </c>
      <c r="AV31" s="27">
        <f>EscapeNew!AU30</f>
        <v>194</v>
      </c>
      <c r="AW31" s="27">
        <f>EscapeNew!AV30</f>
        <v>268</v>
      </c>
      <c r="AX31" s="27">
        <f t="shared" si="0"/>
        <v>272.38423787853952</v>
      </c>
    </row>
    <row r="32" spans="1:50" ht="9" customHeight="1" x14ac:dyDescent="0.2">
      <c r="A32" s="18" t="s">
        <v>135</v>
      </c>
      <c r="B32" s="41">
        <v>30</v>
      </c>
      <c r="C32" s="43">
        <v>5</v>
      </c>
      <c r="D32" s="41">
        <v>1</v>
      </c>
      <c r="E32" s="18" t="str">
        <f>EscapeNew!D31</f>
        <v>Spring 5.2</v>
      </c>
      <c r="F32" s="27">
        <f>EscapeNew!E31</f>
        <v>2344.1481038356224</v>
      </c>
      <c r="G32" s="27">
        <f>EscapeNew!F31</f>
        <v>2187.8715635799144</v>
      </c>
      <c r="H32" s="27">
        <f>EscapeNew!G31</f>
        <v>937.65924153424896</v>
      </c>
      <c r="I32" s="27">
        <f>EscapeNew!H31</f>
        <v>859.52097140639489</v>
      </c>
      <c r="J32" s="27">
        <f>EscapeNew!I31</f>
        <v>1562.7654025570816</v>
      </c>
      <c r="K32" s="27">
        <f>EscapeNew!J31</f>
        <v>1484.6271324292275</v>
      </c>
      <c r="L32" s="27">
        <f>EscapeNew!K31</f>
        <v>2344.1481038356224</v>
      </c>
      <c r="M32" s="27">
        <f>EscapeNew!L31</f>
        <v>5157.1258284383694</v>
      </c>
      <c r="N32" s="27">
        <f>EscapeNew!M31</f>
        <v>5938.5085297169098</v>
      </c>
      <c r="O32" s="27">
        <f>EscapeNew!N31</f>
        <v>5771.0300227196485</v>
      </c>
      <c r="P32" s="27">
        <f>EscapeNew!O31</f>
        <v>4063.1900466484121</v>
      </c>
      <c r="Q32" s="27">
        <f>EscapeNew!P31</f>
        <v>4219.46658690412</v>
      </c>
      <c r="R32" s="27">
        <f>EscapeNew!Q31</f>
        <v>4907.0833640292367</v>
      </c>
      <c r="S32" s="27">
        <f>EscapeNew!R31</f>
        <v>3885.0347907569048</v>
      </c>
      <c r="T32" s="27">
        <f>EscapeNew!S31</f>
        <v>5157.1258284383694</v>
      </c>
      <c r="U32" s="27">
        <f>EscapeNew!T31</f>
        <v>10633.055798998383</v>
      </c>
      <c r="V32" s="27">
        <f>EscapeNew!U31</f>
        <v>5847.8681363685992</v>
      </c>
      <c r="W32" s="27">
        <f>EscapeNew!V31</f>
        <v>3570.9189448429315</v>
      </c>
      <c r="X32" s="27">
        <f>EscapeNew!W31</f>
        <v>6251.0616102283266</v>
      </c>
      <c r="Y32" s="27">
        <f>EscapeNew!X31</f>
        <v>2281.6374877333392</v>
      </c>
      <c r="Z32" s="27">
        <f>EscapeNew!Y31</f>
        <v>4525.7686058053087</v>
      </c>
      <c r="AA32" s="27">
        <f>EscapeNew!Z31</f>
        <v>4642.9760109970894</v>
      </c>
      <c r="AB32" s="27">
        <f>EscapeNew!AA31</f>
        <v>2459.7927436248465</v>
      </c>
      <c r="AC32" s="27">
        <f>EscapeNew!AB31</f>
        <v>3269.3052221494149</v>
      </c>
      <c r="AD32" s="27">
        <f>EscapeNew!AC31</f>
        <v>5307.1513070838491</v>
      </c>
      <c r="AE32" s="27">
        <f>EscapeNew!AD31</f>
        <v>1662.7823883207348</v>
      </c>
      <c r="AF32" s="27">
        <f>EscapeNew!AE31</f>
        <v>2358.2129924586361</v>
      </c>
      <c r="AG32" s="27">
        <f>EscapeNew!AF31</f>
        <v>1604.9600684261229</v>
      </c>
      <c r="AH32" s="27">
        <f>EscapeNew!AG31</f>
        <v>562.5955449205494</v>
      </c>
      <c r="AI32" s="27">
        <f>EscapeNew!AH31</f>
        <v>2363</v>
      </c>
      <c r="AJ32" s="27">
        <f>EscapeNew!AI31</f>
        <v>1097</v>
      </c>
      <c r="AK32" s="27">
        <f>EscapeNew!AJ31</f>
        <v>2648.8873573342535</v>
      </c>
      <c r="AL32" s="27">
        <f>EscapeNew!AK31</f>
        <v>1178.3251135280395</v>
      </c>
      <c r="AM32" s="27">
        <f>EscapeNew!AL31</f>
        <v>1111</v>
      </c>
      <c r="AN32" s="27">
        <f>EscapeNew!AM31</f>
        <v>1267.4027414737932</v>
      </c>
      <c r="AO32" s="27">
        <f>EscapeNew!AN31</f>
        <v>9023.4074343645898</v>
      </c>
      <c r="AP32" s="27">
        <f>EscapeNew!AO31</f>
        <v>4139.7655513737091</v>
      </c>
      <c r="AQ32" s="27">
        <f>EscapeNew!AP31</f>
        <v>1228.3336064098662</v>
      </c>
      <c r="AR32" s="27">
        <f>EscapeNew!AQ31</f>
        <v>629.79445723050389</v>
      </c>
      <c r="AS32" s="27">
        <f>EscapeNew!AR31</f>
        <v>1195.5155329561674</v>
      </c>
      <c r="AT32" s="27">
        <f>EscapeNew!AS31/StockList!F31</f>
        <v>2789.5362435643906</v>
      </c>
      <c r="AU32" s="27">
        <f>EscapeNew!AT31/StockList!G31</f>
        <v>4207.6923076923076</v>
      </c>
      <c r="AV32" s="27">
        <f>EscapeNew!AU31</f>
        <v>2438</v>
      </c>
      <c r="AW32" s="27">
        <f>EscapeNew!AV31</f>
        <v>4126</v>
      </c>
      <c r="AX32" s="27">
        <f t="shared" si="0"/>
        <v>3300.9330164708149</v>
      </c>
    </row>
    <row r="33" spans="1:50" ht="9" customHeight="1" x14ac:dyDescent="0.2">
      <c r="A33" s="44" t="s">
        <v>148</v>
      </c>
      <c r="B33" s="41">
        <v>31</v>
      </c>
      <c r="C33" s="43">
        <v>5</v>
      </c>
      <c r="D33" s="45">
        <v>1</v>
      </c>
      <c r="E33" s="18" t="str">
        <f>EscapeNew!D32</f>
        <v>Summer 5.2</v>
      </c>
      <c r="F33" s="27">
        <f>EscapeNew!E32</f>
        <v>200</v>
      </c>
      <c r="G33" s="27">
        <f>EscapeNew!F32</f>
        <v>250</v>
      </c>
      <c r="H33" s="27">
        <f>EscapeNew!G32</f>
        <v>200</v>
      </c>
      <c r="I33" s="27">
        <f>EscapeNew!H32</f>
        <v>297.82406237939517</v>
      </c>
      <c r="J33" s="27">
        <f>EscapeNew!I32</f>
        <v>330.84823070810614</v>
      </c>
      <c r="K33" s="27">
        <f>EscapeNew!J32</f>
        <v>300</v>
      </c>
      <c r="L33" s="27">
        <f>EscapeNew!K32</f>
        <v>400</v>
      </c>
      <c r="M33" s="27">
        <f>EscapeNew!L32</f>
        <v>400</v>
      </c>
      <c r="N33" s="27">
        <f>EscapeNew!M32</f>
        <v>450</v>
      </c>
      <c r="O33" s="27">
        <f>EscapeNew!N32</f>
        <v>300</v>
      </c>
      <c r="P33" s="27">
        <f>EscapeNew!O32</f>
        <v>200</v>
      </c>
      <c r="Q33" s="27">
        <f>EscapeNew!P32</f>
        <v>250</v>
      </c>
      <c r="R33" s="27">
        <f>EscapeNew!Q32</f>
        <v>600</v>
      </c>
      <c r="S33" s="27">
        <f>EscapeNew!R32</f>
        <v>540</v>
      </c>
      <c r="T33" s="27">
        <f>EscapeNew!S32</f>
        <v>450</v>
      </c>
      <c r="U33" s="27">
        <f>EscapeNew!T32</f>
        <v>508</v>
      </c>
      <c r="V33" s="27">
        <f>EscapeNew!U32</f>
        <v>786</v>
      </c>
      <c r="W33" s="27">
        <f>EscapeNew!V32</f>
        <v>1250</v>
      </c>
      <c r="X33" s="27">
        <f>EscapeNew!W32</f>
        <v>806</v>
      </c>
      <c r="Y33" s="27">
        <f>EscapeNew!X32</f>
        <v>651</v>
      </c>
      <c r="Z33" s="27">
        <f>EscapeNew!Y32</f>
        <v>417</v>
      </c>
      <c r="AA33" s="27">
        <f>EscapeNew!Z32</f>
        <v>493</v>
      </c>
      <c r="AB33" s="27">
        <f>EscapeNew!AA32</f>
        <v>458</v>
      </c>
      <c r="AC33" s="27">
        <f>EscapeNew!AB32</f>
        <v>420</v>
      </c>
      <c r="AD33" s="27">
        <f>EscapeNew!AC32</f>
        <v>1038</v>
      </c>
      <c r="AE33" s="27">
        <f>EscapeNew!AD32</f>
        <v>828</v>
      </c>
      <c r="AF33" s="27">
        <f>EscapeNew!AE32</f>
        <v>463.79687696999065</v>
      </c>
      <c r="AG33" s="27">
        <f>EscapeNew!AF32</f>
        <v>650.74132518349927</v>
      </c>
      <c r="AH33" s="27">
        <f>EscapeNew!AG32</f>
        <v>268.86922206181458</v>
      </c>
      <c r="AI33" s="27">
        <f>EscapeNew!AH32</f>
        <v>413.08640041931199</v>
      </c>
      <c r="AJ33" s="27">
        <f>EscapeNew!AI32</f>
        <v>531.72245770673896</v>
      </c>
      <c r="AK33" s="27">
        <f>EscapeNew!AJ32</f>
        <v>1085</v>
      </c>
      <c r="AL33" s="27">
        <f>EscapeNew!AK32</f>
        <v>399.57635945003403</v>
      </c>
      <c r="AM33" s="27">
        <f>EscapeNew!AL32</f>
        <v>214.98891614332715</v>
      </c>
      <c r="AN33" s="27">
        <f>EscapeNew!AM32</f>
        <v>292.65205371907649</v>
      </c>
      <c r="AO33" s="27">
        <f>EscapeNew!AN32</f>
        <v>528.19809712565711</v>
      </c>
      <c r="AP33" s="27">
        <f>EscapeNew!AO32</f>
        <v>1052</v>
      </c>
      <c r="AQ33" s="27">
        <f>EscapeNew!AP32</f>
        <v>205</v>
      </c>
      <c r="AR33" s="27">
        <f>EscapeNew!AQ32</f>
        <v>48</v>
      </c>
      <c r="AS33" s="27">
        <f>EscapeNew!AR32</f>
        <v>94</v>
      </c>
      <c r="AT33" s="27">
        <f>EscapeNew!AS32/StockList!F32</f>
        <v>290</v>
      </c>
      <c r="AU33" s="27">
        <f>EscapeNew!AT32/StockList!G32</f>
        <v>485</v>
      </c>
      <c r="AV33" s="27">
        <f>EscapeNew!AU32</f>
        <v>118</v>
      </c>
      <c r="AW33" s="27">
        <f>EscapeNew!AV32</f>
        <v>402</v>
      </c>
      <c r="AX33" s="27">
        <f t="shared" si="0"/>
        <v>462.87054549697609</v>
      </c>
    </row>
    <row r="34" spans="1:50" ht="9" customHeight="1" x14ac:dyDescent="0.2">
      <c r="A34" s="44" t="s">
        <v>195</v>
      </c>
      <c r="B34" s="41">
        <v>32</v>
      </c>
      <c r="C34" s="43">
        <v>5</v>
      </c>
      <c r="D34" s="45">
        <v>2</v>
      </c>
      <c r="E34" s="18" t="str">
        <f>EscapeNew!D33</f>
        <v>Summer 5.2</v>
      </c>
      <c r="F34" s="27">
        <f>EscapeNew!E33</f>
        <v>1E-3</v>
      </c>
      <c r="G34" s="27">
        <f>EscapeNew!F33</f>
        <v>1E-3</v>
      </c>
      <c r="H34" s="27">
        <f>EscapeNew!G33</f>
        <v>1E-3</v>
      </c>
      <c r="I34" s="27">
        <f>EscapeNew!H33</f>
        <v>1E-3</v>
      </c>
      <c r="J34" s="27">
        <f>EscapeNew!I33</f>
        <v>1E-3</v>
      </c>
      <c r="K34" s="27">
        <f>EscapeNew!J33</f>
        <v>1E-3</v>
      </c>
      <c r="L34" s="27">
        <f>EscapeNew!K33</f>
        <v>1E-3</v>
      </c>
      <c r="M34" s="27">
        <f>EscapeNew!L33</f>
        <v>1E-3</v>
      </c>
      <c r="N34" s="27">
        <f>EscapeNew!M33</f>
        <v>1E-3</v>
      </c>
      <c r="O34" s="27">
        <f>EscapeNew!N33</f>
        <v>1E-3</v>
      </c>
      <c r="P34" s="27">
        <f>EscapeNew!O33</f>
        <v>1E-3</v>
      </c>
      <c r="Q34" s="27">
        <f>EscapeNew!P33</f>
        <v>1E-3</v>
      </c>
      <c r="R34" s="27">
        <f>EscapeNew!Q33</f>
        <v>1E-3</v>
      </c>
      <c r="S34" s="27">
        <f>EscapeNew!R33</f>
        <v>1E-3</v>
      </c>
      <c r="T34" s="27">
        <f>EscapeNew!S33</f>
        <v>1E-3</v>
      </c>
      <c r="U34" s="27">
        <f>EscapeNew!T33</f>
        <v>1E-3</v>
      </c>
      <c r="V34" s="27">
        <f>EscapeNew!U33</f>
        <v>1E-3</v>
      </c>
      <c r="W34" s="27">
        <f>EscapeNew!V33</f>
        <v>1E-3</v>
      </c>
      <c r="X34" s="27">
        <f>EscapeNew!W33</f>
        <v>1E-3</v>
      </c>
      <c r="Y34" s="27">
        <f>EscapeNew!X33</f>
        <v>1E-3</v>
      </c>
      <c r="Z34" s="27">
        <f>EscapeNew!Y33</f>
        <v>1E-3</v>
      </c>
      <c r="AA34" s="27">
        <f>EscapeNew!Z33</f>
        <v>410</v>
      </c>
      <c r="AB34" s="27">
        <f>EscapeNew!AA33</f>
        <v>677</v>
      </c>
      <c r="AC34" s="27">
        <f>EscapeNew!AB33</f>
        <v>0.01</v>
      </c>
      <c r="AD34" s="27">
        <f>EscapeNew!AC33</f>
        <v>1E-3</v>
      </c>
      <c r="AE34" s="27">
        <f>EscapeNew!AD33</f>
        <v>473</v>
      </c>
      <c r="AF34" s="27">
        <f>EscapeNew!AE33</f>
        <v>449</v>
      </c>
      <c r="AG34" s="27">
        <f>EscapeNew!AF33</f>
        <v>968</v>
      </c>
      <c r="AH34" s="27">
        <f>EscapeNew!AG33</f>
        <v>156.04718410310136</v>
      </c>
      <c r="AI34" s="27">
        <f>EscapeNew!AH33</f>
        <v>399</v>
      </c>
      <c r="AJ34" s="27">
        <f>EscapeNew!AI33</f>
        <v>1175</v>
      </c>
      <c r="AK34" s="27">
        <f>EscapeNew!AJ33</f>
        <v>542</v>
      </c>
      <c r="AL34" s="27">
        <f>EscapeNew!AK33</f>
        <v>1291</v>
      </c>
      <c r="AM34" s="27">
        <f>EscapeNew!AL33</f>
        <v>124.77595881104985</v>
      </c>
      <c r="AN34" s="27">
        <f>EscapeNew!AM33</f>
        <v>169.85034045418635</v>
      </c>
      <c r="AO34" s="27">
        <f>EscapeNew!AN33</f>
        <v>306.55731092242871</v>
      </c>
      <c r="AP34" s="27">
        <f>EscapeNew!AO33</f>
        <v>789</v>
      </c>
      <c r="AQ34" s="27">
        <f>EscapeNew!AP33</f>
        <v>343</v>
      </c>
      <c r="AR34" s="27">
        <f>EscapeNew!AQ33</f>
        <v>538</v>
      </c>
      <c r="AS34" s="27">
        <f>EscapeNew!AR33</f>
        <v>1095</v>
      </c>
      <c r="AT34" s="27">
        <f>EscapeNew!AS33/StockList!F33</f>
        <v>522</v>
      </c>
      <c r="AU34" s="27">
        <f>EscapeNew!AT33/StockList!G33</f>
        <v>1376</v>
      </c>
      <c r="AV34" s="27">
        <f>EscapeNew!AU33</f>
        <v>211.56993386603924</v>
      </c>
      <c r="AW34" s="27">
        <f>EscapeNew!AV33</f>
        <v>379.64686822281925</v>
      </c>
      <c r="AX34" s="27">
        <f t="shared" si="0"/>
        <v>281.71544537226424</v>
      </c>
    </row>
    <row r="35" spans="1:50" ht="9" customHeight="1" x14ac:dyDescent="0.2">
      <c r="A35" s="18" t="s">
        <v>132</v>
      </c>
      <c r="B35" s="41">
        <v>33</v>
      </c>
      <c r="C35" s="43">
        <v>6</v>
      </c>
      <c r="D35" s="41">
        <v>1</v>
      </c>
      <c r="E35" s="18" t="str">
        <f>EscapeNew!D34</f>
        <v>Spring 5.2</v>
      </c>
      <c r="F35" s="27">
        <f>EscapeNew!E34</f>
        <v>200</v>
      </c>
      <c r="G35" s="27">
        <f>EscapeNew!F34</f>
        <v>75</v>
      </c>
      <c r="H35" s="27">
        <f>EscapeNew!G34</f>
        <v>400</v>
      </c>
      <c r="I35" s="27">
        <f>EscapeNew!H34</f>
        <v>80</v>
      </c>
      <c r="J35" s="27">
        <f>EscapeNew!I34</f>
        <v>210</v>
      </c>
      <c r="K35" s="27">
        <f>EscapeNew!J34</f>
        <v>582</v>
      </c>
      <c r="L35" s="27">
        <f>EscapeNew!K34</f>
        <v>956</v>
      </c>
      <c r="M35" s="27">
        <f>EscapeNew!L34</f>
        <v>836</v>
      </c>
      <c r="N35" s="27">
        <f>EscapeNew!M34</f>
        <v>600</v>
      </c>
      <c r="O35" s="27">
        <f>EscapeNew!N34</f>
        <v>638</v>
      </c>
      <c r="P35" s="27">
        <f>EscapeNew!O34</f>
        <v>750</v>
      </c>
      <c r="Q35" s="27">
        <f>EscapeNew!P34</f>
        <v>375</v>
      </c>
      <c r="R35" s="27">
        <f>EscapeNew!Q34</f>
        <v>198</v>
      </c>
      <c r="S35" s="27">
        <f>EscapeNew!R34</f>
        <v>897</v>
      </c>
      <c r="T35" s="27">
        <f>EscapeNew!S34</f>
        <v>950</v>
      </c>
      <c r="U35" s="27">
        <f>EscapeNew!T34</f>
        <v>615</v>
      </c>
      <c r="V35" s="27">
        <f>EscapeNew!U34</f>
        <v>865</v>
      </c>
      <c r="W35" s="27">
        <f>EscapeNew!V34</f>
        <v>1887</v>
      </c>
      <c r="X35" s="27">
        <f>EscapeNew!W34</f>
        <v>1968</v>
      </c>
      <c r="Y35" s="27">
        <f>EscapeNew!X34</f>
        <v>488</v>
      </c>
      <c r="Z35" s="27">
        <f>EscapeNew!Y34</f>
        <v>906</v>
      </c>
      <c r="AA35" s="27">
        <f>EscapeNew!Z34</f>
        <v>769</v>
      </c>
      <c r="AB35" s="27">
        <f>EscapeNew!AA34</f>
        <v>198</v>
      </c>
      <c r="AC35" s="27">
        <f>EscapeNew!AB34</f>
        <v>969</v>
      </c>
      <c r="AD35" s="27">
        <f>EscapeNew!AC34</f>
        <v>920.14201554531712</v>
      </c>
      <c r="AE35" s="27">
        <f>EscapeNew!AD34</f>
        <v>1115</v>
      </c>
      <c r="AF35" s="27">
        <f>EscapeNew!AE34</f>
        <v>228</v>
      </c>
      <c r="AG35" s="27">
        <f>EscapeNew!AF34</f>
        <v>109</v>
      </c>
      <c r="AH35" s="27">
        <f>EscapeNew!AG34</f>
        <v>138</v>
      </c>
      <c r="AI35" s="27">
        <f>EscapeNew!AH34</f>
        <v>112</v>
      </c>
      <c r="AJ35" s="27">
        <f>EscapeNew!AI34</f>
        <v>11</v>
      </c>
      <c r="AK35" s="27">
        <f>EscapeNew!AJ34</f>
        <v>51</v>
      </c>
      <c r="AL35" s="27">
        <f>EscapeNew!AK34</f>
        <v>81</v>
      </c>
      <c r="AM35" s="27">
        <f>EscapeNew!AL34</f>
        <v>436</v>
      </c>
      <c r="AN35" s="27">
        <f>EscapeNew!AM34</f>
        <v>140</v>
      </c>
      <c r="AO35" s="27">
        <f>EscapeNew!AN34</f>
        <v>947</v>
      </c>
      <c r="AP35" s="27">
        <f>EscapeNew!AO34</f>
        <v>481</v>
      </c>
      <c r="AQ35" s="27">
        <f>EscapeNew!AP34</f>
        <v>276.45916562343837</v>
      </c>
      <c r="AR35" s="27">
        <f>EscapeNew!AQ34</f>
        <v>405</v>
      </c>
      <c r="AS35" s="27">
        <f>EscapeNew!AR34</f>
        <v>53</v>
      </c>
      <c r="AT35" s="27">
        <f>EscapeNew!AS34/StockList!F34</f>
        <v>111</v>
      </c>
      <c r="AU35" s="27">
        <f>EscapeNew!AT34/StockList!G34</f>
        <v>53</v>
      </c>
      <c r="AV35" s="27">
        <f>EscapeNew!AU34</f>
        <v>345</v>
      </c>
      <c r="AW35" s="27">
        <f>EscapeNew!AV34</f>
        <v>534</v>
      </c>
      <c r="AX35" s="27">
        <f t="shared" si="0"/>
        <v>521.78639048110801</v>
      </c>
    </row>
    <row r="36" spans="1:50" ht="9" customHeight="1" x14ac:dyDescent="0.2">
      <c r="A36" s="18" t="s">
        <v>179</v>
      </c>
      <c r="B36" s="41">
        <v>34</v>
      </c>
      <c r="C36" s="43">
        <v>6</v>
      </c>
      <c r="D36" s="41">
        <v>2</v>
      </c>
      <c r="E36" s="18" t="str">
        <f>EscapeNew!D35</f>
        <v>Summer 5.2</v>
      </c>
      <c r="F36" s="27">
        <f>EscapeNew!E35</f>
        <v>100</v>
      </c>
      <c r="G36" s="27">
        <f>EscapeNew!F35</f>
        <v>75</v>
      </c>
      <c r="H36" s="27">
        <f>EscapeNew!G35</f>
        <v>100</v>
      </c>
      <c r="I36" s="27">
        <f>EscapeNew!H35</f>
        <v>150</v>
      </c>
      <c r="J36" s="27">
        <f>EscapeNew!I35</f>
        <v>70</v>
      </c>
      <c r="K36" s="27">
        <f>EscapeNew!J35</f>
        <v>138</v>
      </c>
      <c r="L36" s="27">
        <f>EscapeNew!K35</f>
        <v>225</v>
      </c>
      <c r="M36" s="27">
        <f>EscapeNew!L35</f>
        <v>98</v>
      </c>
      <c r="N36" s="27">
        <f>EscapeNew!M35</f>
        <v>50</v>
      </c>
      <c r="O36" s="27">
        <f>EscapeNew!N35</f>
        <v>125</v>
      </c>
      <c r="P36" s="27">
        <f>EscapeNew!O35</f>
        <v>330</v>
      </c>
      <c r="Q36" s="27">
        <f>EscapeNew!P35</f>
        <v>175</v>
      </c>
      <c r="R36" s="27">
        <f>EscapeNew!Q35</f>
        <v>135.45027980647129</v>
      </c>
      <c r="S36" s="27">
        <f>EscapeNew!R35</f>
        <v>50</v>
      </c>
      <c r="T36" s="27">
        <f>EscapeNew!S35</f>
        <v>330</v>
      </c>
      <c r="U36" s="27">
        <f>EscapeNew!T35</f>
        <v>36</v>
      </c>
      <c r="V36" s="27">
        <f>EscapeNew!U35</f>
        <v>10</v>
      </c>
      <c r="W36" s="27">
        <f>EscapeNew!V35</f>
        <v>300</v>
      </c>
      <c r="X36" s="27">
        <f>EscapeNew!W35</f>
        <v>32</v>
      </c>
      <c r="Y36" s="27">
        <f>EscapeNew!X35</f>
        <v>171.08334354200329</v>
      </c>
      <c r="Z36" s="27">
        <f>EscapeNew!Y35</f>
        <v>120.34212353448413</v>
      </c>
      <c r="AA36" s="27">
        <f>EscapeNew!Z35</f>
        <v>46</v>
      </c>
      <c r="AB36" s="27">
        <f>EscapeNew!AA35</f>
        <v>248</v>
      </c>
      <c r="AC36" s="27">
        <f>EscapeNew!AB35</f>
        <v>445</v>
      </c>
      <c r="AD36" s="27">
        <f>EscapeNew!AC35</f>
        <v>158</v>
      </c>
      <c r="AE36" s="27">
        <f>EscapeNew!AD35</f>
        <v>103</v>
      </c>
      <c r="AF36" s="27">
        <f>EscapeNew!AE35</f>
        <v>83</v>
      </c>
      <c r="AG36" s="27">
        <f>EscapeNew!AF35</f>
        <v>245</v>
      </c>
      <c r="AH36" s="27">
        <f>EscapeNew!AG35</f>
        <v>51</v>
      </c>
      <c r="AI36" s="27">
        <f>EscapeNew!AH35</f>
        <v>217</v>
      </c>
      <c r="AJ36" s="27">
        <f>EscapeNew!AI35</f>
        <v>74</v>
      </c>
      <c r="AK36" s="27">
        <f>EscapeNew!AJ35</f>
        <v>123</v>
      </c>
      <c r="AL36" s="27">
        <f>EscapeNew!AK35</f>
        <v>65</v>
      </c>
      <c r="AM36" s="27">
        <f>EscapeNew!AL35</f>
        <v>37</v>
      </c>
      <c r="AN36" s="27">
        <f>EscapeNew!AM35</f>
        <v>34</v>
      </c>
      <c r="AO36" s="27">
        <f>EscapeNew!AN35</f>
        <v>77</v>
      </c>
      <c r="AP36" s="27">
        <f>EscapeNew!AO35</f>
        <v>83</v>
      </c>
      <c r="AQ36" s="27">
        <f>EscapeNew!AP35</f>
        <v>12</v>
      </c>
      <c r="AR36" s="27">
        <f>EscapeNew!AQ35</f>
        <v>20</v>
      </c>
      <c r="AS36" s="27">
        <f>EscapeNew!AR35</f>
        <v>35</v>
      </c>
      <c r="AT36" s="27">
        <f>EscapeNew!AS35/StockList!F35</f>
        <v>229</v>
      </c>
      <c r="AU36" s="27">
        <f>EscapeNew!AT35/StockList!G35</f>
        <v>42</v>
      </c>
      <c r="AV36" s="27">
        <f>EscapeNew!AU35</f>
        <v>28</v>
      </c>
      <c r="AW36" s="27">
        <f>EscapeNew!AV35</f>
        <v>70</v>
      </c>
      <c r="AX36" s="27">
        <f t="shared" si="0"/>
        <v>121.4971760655218</v>
      </c>
    </row>
    <row r="37" spans="1:50" ht="9" customHeight="1" x14ac:dyDescent="0.2">
      <c r="A37" s="18" t="s">
        <v>183</v>
      </c>
      <c r="B37" s="41">
        <v>35</v>
      </c>
      <c r="C37" s="43">
        <v>6</v>
      </c>
      <c r="D37" s="41">
        <v>2</v>
      </c>
      <c r="E37" s="18" t="str">
        <f>EscapeNew!D36</f>
        <v>Summer 5.2</v>
      </c>
      <c r="F37" s="27">
        <f>EscapeNew!E36</f>
        <v>20</v>
      </c>
      <c r="G37" s="27">
        <f>EscapeNew!F36</f>
        <v>75</v>
      </c>
      <c r="H37" s="27">
        <f>EscapeNew!G36</f>
        <v>30</v>
      </c>
      <c r="I37" s="27">
        <f>EscapeNew!H36</f>
        <v>50</v>
      </c>
      <c r="J37" s="27">
        <f>EscapeNew!I36</f>
        <v>24</v>
      </c>
      <c r="K37" s="27">
        <f>EscapeNew!J36</f>
        <v>157</v>
      </c>
      <c r="L37" s="27">
        <f>EscapeNew!K36</f>
        <v>114</v>
      </c>
      <c r="M37" s="27">
        <f>EscapeNew!L36</f>
        <v>105</v>
      </c>
      <c r="N37" s="27">
        <f>EscapeNew!M36</f>
        <v>65</v>
      </c>
      <c r="O37" s="27">
        <f>EscapeNew!N36</f>
        <v>75</v>
      </c>
      <c r="P37" s="27">
        <f>EscapeNew!O36</f>
        <v>115</v>
      </c>
      <c r="Q37" s="27">
        <f>EscapeNew!P36</f>
        <v>60</v>
      </c>
      <c r="R37" s="27">
        <f>EscapeNew!Q36</f>
        <v>35</v>
      </c>
      <c r="S37" s="27">
        <f>EscapeNew!R36</f>
        <v>58.786622175202503</v>
      </c>
      <c r="T37" s="27">
        <f>EscapeNew!S36</f>
        <v>150</v>
      </c>
      <c r="U37" s="27">
        <f>EscapeNew!T36</f>
        <v>69</v>
      </c>
      <c r="V37" s="27">
        <f>EscapeNew!U36</f>
        <v>45.796253746929608</v>
      </c>
      <c r="W37" s="27">
        <f>EscapeNew!V36</f>
        <v>66.716737935226789</v>
      </c>
      <c r="X37" s="27">
        <f>EscapeNew!W36</f>
        <v>65.135500375176122</v>
      </c>
      <c r="Y37" s="27">
        <f>EscapeNew!X36</f>
        <v>55.526939883690112</v>
      </c>
      <c r="Z37" s="27">
        <f>EscapeNew!Y36</f>
        <v>39.058330990207295</v>
      </c>
      <c r="AA37" s="27">
        <f>EscapeNew!Z36</f>
        <v>46</v>
      </c>
      <c r="AB37" s="27">
        <f>EscapeNew!AA36</f>
        <v>9</v>
      </c>
      <c r="AC37" s="27">
        <f>EscapeNew!AB36</f>
        <v>6</v>
      </c>
      <c r="AD37" s="27">
        <f>EscapeNew!AC36</f>
        <v>5</v>
      </c>
      <c r="AE37" s="27">
        <f>EscapeNew!AD36</f>
        <v>51.310893228557795</v>
      </c>
      <c r="AF37" s="27">
        <f>EscapeNew!AE36</f>
        <v>0.01</v>
      </c>
      <c r="AG37" s="27">
        <f>EscapeNew!AF36</f>
        <v>0.01</v>
      </c>
      <c r="AH37" s="27">
        <f>EscapeNew!AG36</f>
        <v>0.01</v>
      </c>
      <c r="AI37" s="27">
        <f>EscapeNew!AH36</f>
        <v>0.01</v>
      </c>
      <c r="AJ37" s="27">
        <f>EscapeNew!AI36</f>
        <v>0.01</v>
      </c>
      <c r="AK37" s="27">
        <f>EscapeNew!AJ36</f>
        <v>0</v>
      </c>
      <c r="AL37" s="27">
        <f>EscapeNew!AK36</f>
        <v>31.745480646283436</v>
      </c>
      <c r="AM37" s="27">
        <f>EscapeNew!AL36</f>
        <v>8</v>
      </c>
      <c r="AN37" s="27">
        <f>EscapeNew!AM36</f>
        <v>2</v>
      </c>
      <c r="AO37" s="27">
        <f>EscapeNew!AN36</f>
        <v>0.01</v>
      </c>
      <c r="AP37" s="27">
        <f>EscapeNew!AO36</f>
        <v>57.479344598262273</v>
      </c>
      <c r="AQ37" s="27">
        <f>EscapeNew!AP36</f>
        <v>19.120064731988421</v>
      </c>
      <c r="AR37" s="27">
        <f>EscapeNew!AQ36</f>
        <v>8</v>
      </c>
      <c r="AS37" s="27">
        <f>EscapeNew!AR36</f>
        <v>0</v>
      </c>
      <c r="AT37" s="27">
        <f>EscapeNew!AS36/StockList!F36</f>
        <v>18</v>
      </c>
      <c r="AU37" s="27">
        <f>EscapeNew!AT36/StockList!G36</f>
        <v>29.440951143314344</v>
      </c>
      <c r="AV37" s="27">
        <f>EscapeNew!AU36</f>
        <v>28.961511638234583</v>
      </c>
      <c r="AW37" s="27">
        <f>EscapeNew!AV36</f>
        <v>0</v>
      </c>
      <c r="AX37" s="27">
        <f t="shared" si="0"/>
        <v>40.798605252115294</v>
      </c>
    </row>
    <row r="38" spans="1:50" ht="9" customHeight="1" x14ac:dyDescent="0.2">
      <c r="A38" s="18" t="s">
        <v>165</v>
      </c>
      <c r="B38" s="41">
        <v>36</v>
      </c>
      <c r="C38" s="43">
        <v>7</v>
      </c>
      <c r="D38" s="41">
        <v>2</v>
      </c>
      <c r="E38" s="18" t="str">
        <f>EscapeNew!D37</f>
        <v>Summer 5.2</v>
      </c>
      <c r="F38" s="27">
        <f>EscapeNew!E37</f>
        <v>260</v>
      </c>
      <c r="G38" s="27">
        <f>EscapeNew!F37</f>
        <v>150</v>
      </c>
      <c r="H38" s="27">
        <f>EscapeNew!G37</f>
        <v>200</v>
      </c>
      <c r="I38" s="27">
        <f>EscapeNew!H37</f>
        <v>250</v>
      </c>
      <c r="J38" s="27">
        <f>EscapeNew!I37</f>
        <v>300</v>
      </c>
      <c r="K38" s="27">
        <f>EscapeNew!J37</f>
        <v>400</v>
      </c>
      <c r="L38" s="27">
        <f>EscapeNew!K37</f>
        <v>250</v>
      </c>
      <c r="M38" s="27">
        <f>EscapeNew!L37</f>
        <v>500</v>
      </c>
      <c r="N38" s="27">
        <f>EscapeNew!M37</f>
        <v>300</v>
      </c>
      <c r="O38" s="27">
        <f>EscapeNew!N37</f>
        <v>700</v>
      </c>
      <c r="P38" s="27">
        <f>EscapeNew!O37</f>
        <v>180</v>
      </c>
      <c r="Q38" s="27">
        <f>EscapeNew!P37</f>
        <v>500</v>
      </c>
      <c r="R38" s="27">
        <f>EscapeNew!Q37</f>
        <v>20</v>
      </c>
      <c r="S38" s="27">
        <f>EscapeNew!R37</f>
        <v>250</v>
      </c>
      <c r="T38" s="27">
        <f>EscapeNew!S37</f>
        <v>100</v>
      </c>
      <c r="U38" s="27">
        <f>EscapeNew!T37</f>
        <v>180</v>
      </c>
      <c r="V38" s="27">
        <f>EscapeNew!U37</f>
        <v>130</v>
      </c>
      <c r="W38" s="27">
        <f>EscapeNew!V37</f>
        <v>415</v>
      </c>
      <c r="X38" s="27">
        <f>EscapeNew!W37</f>
        <v>260</v>
      </c>
      <c r="Y38" s="27">
        <f>EscapeNew!X37</f>
        <v>341</v>
      </c>
      <c r="Z38" s="27">
        <f>EscapeNew!Y37</f>
        <v>91</v>
      </c>
      <c r="AA38" s="27">
        <f>EscapeNew!Z37</f>
        <v>245</v>
      </c>
      <c r="AB38" s="27">
        <f>EscapeNew!AA37</f>
        <v>172</v>
      </c>
      <c r="AC38" s="27">
        <f>EscapeNew!AB37</f>
        <v>166</v>
      </c>
      <c r="AD38" s="27">
        <f>EscapeNew!AC37</f>
        <v>929</v>
      </c>
      <c r="AE38" s="27">
        <f>EscapeNew!AD37</f>
        <v>317</v>
      </c>
      <c r="AF38" s="27">
        <f>EscapeNew!AE37</f>
        <v>269</v>
      </c>
      <c r="AG38" s="27">
        <f>EscapeNew!AF37</f>
        <v>217</v>
      </c>
      <c r="AH38" s="27">
        <f>EscapeNew!AG37</f>
        <v>74</v>
      </c>
      <c r="AI38" s="27">
        <f>EscapeNew!AH37</f>
        <v>52</v>
      </c>
      <c r="AJ38" s="27">
        <f>EscapeNew!AI37</f>
        <v>214</v>
      </c>
      <c r="AK38" s="27">
        <f>EscapeNew!AJ37</f>
        <v>6</v>
      </c>
      <c r="AL38" s="27">
        <f>EscapeNew!AK37</f>
        <v>65</v>
      </c>
      <c r="AM38" s="27">
        <f>EscapeNew!AL37</f>
        <v>46</v>
      </c>
      <c r="AN38" s="27">
        <f>EscapeNew!AM37</f>
        <v>38</v>
      </c>
      <c r="AO38" s="27">
        <f>EscapeNew!AN37</f>
        <v>62</v>
      </c>
      <c r="AP38" s="27">
        <f>EscapeNew!AO37</f>
        <v>105</v>
      </c>
      <c r="AQ38" s="27">
        <f>EscapeNew!AP37</f>
        <v>2</v>
      </c>
      <c r="AR38" s="27">
        <f>EscapeNew!AQ37</f>
        <v>2</v>
      </c>
      <c r="AS38" s="27">
        <f>EscapeNew!AR37</f>
        <v>0</v>
      </c>
      <c r="AT38" s="27">
        <f>EscapeNew!AS37/StockList!F37</f>
        <v>26</v>
      </c>
      <c r="AU38" s="27">
        <f>EscapeNew!AT37/StockList!G37</f>
        <v>17</v>
      </c>
      <c r="AV38" s="27">
        <f>EscapeNew!AU37</f>
        <v>35</v>
      </c>
      <c r="AW38" s="27">
        <f>EscapeNew!AV37</f>
        <v>18</v>
      </c>
      <c r="AX38" s="27">
        <f t="shared" si="0"/>
        <v>201.22727272727272</v>
      </c>
    </row>
    <row r="39" spans="1:50" ht="9" customHeight="1" x14ac:dyDescent="0.2">
      <c r="A39" s="18" t="s">
        <v>141</v>
      </c>
      <c r="B39" s="41">
        <v>37</v>
      </c>
      <c r="C39" s="43">
        <v>7</v>
      </c>
      <c r="D39" s="41">
        <v>2</v>
      </c>
      <c r="E39" s="18" t="str">
        <f>EscapeNew!D38</f>
        <v>Summer 5.2</v>
      </c>
      <c r="F39" s="27">
        <f>EscapeNew!E38</f>
        <v>1500</v>
      </c>
      <c r="G39" s="27">
        <f>EscapeNew!F38</f>
        <v>2500</v>
      </c>
      <c r="H39" s="27">
        <f>EscapeNew!G38</f>
        <v>3000</v>
      </c>
      <c r="I39" s="27">
        <f>EscapeNew!H38</f>
        <v>3000</v>
      </c>
      <c r="J39" s="27">
        <f>EscapeNew!I38</f>
        <v>4000</v>
      </c>
      <c r="K39" s="27">
        <f>EscapeNew!J38</f>
        <v>2800</v>
      </c>
      <c r="L39" s="27">
        <f>EscapeNew!K38</f>
        <v>3800</v>
      </c>
      <c r="M39" s="27">
        <f>EscapeNew!L38</f>
        <v>6070</v>
      </c>
      <c r="N39" s="27">
        <f>EscapeNew!M38</f>
        <v>3516</v>
      </c>
      <c r="O39" s="27">
        <f>EscapeNew!N38</f>
        <v>6740</v>
      </c>
      <c r="P39" s="27">
        <f>EscapeNew!O38</f>
        <v>2491</v>
      </c>
      <c r="Q39" s="27">
        <f>EscapeNew!P38</f>
        <v>7320</v>
      </c>
      <c r="R39" s="27">
        <f>EscapeNew!Q38</f>
        <v>2444</v>
      </c>
      <c r="S39" s="27">
        <f>EscapeNew!R38</f>
        <v>2370</v>
      </c>
      <c r="T39" s="27">
        <f>EscapeNew!S38</f>
        <v>2700</v>
      </c>
      <c r="U39" s="27">
        <f>EscapeNew!T38</f>
        <v>5450</v>
      </c>
      <c r="V39" s="27">
        <f>EscapeNew!U38</f>
        <v>5100</v>
      </c>
      <c r="W39" s="27">
        <f>EscapeNew!V38</f>
        <v>7780</v>
      </c>
      <c r="X39" s="27">
        <f>EscapeNew!W38</f>
        <v>7830</v>
      </c>
      <c r="Y39" s="27">
        <f>EscapeNew!X38</f>
        <v>7007</v>
      </c>
      <c r="Z39" s="27">
        <f>EscapeNew!Y38</f>
        <v>3837</v>
      </c>
      <c r="AA39" s="27">
        <f>EscapeNew!Z38</f>
        <v>4563</v>
      </c>
      <c r="AB39" s="27">
        <f>EscapeNew!AA38</f>
        <v>3588</v>
      </c>
      <c r="AC39" s="27">
        <f>EscapeNew!AB38</f>
        <v>5689</v>
      </c>
      <c r="AD39" s="27">
        <f>EscapeNew!AC38</f>
        <v>6234</v>
      </c>
      <c r="AE39" s="27">
        <f>EscapeNew!AD38</f>
        <v>4622</v>
      </c>
      <c r="AF39" s="27">
        <f>EscapeNew!AE38</f>
        <v>3519</v>
      </c>
      <c r="AG39" s="27">
        <f>EscapeNew!AF38</f>
        <v>3768</v>
      </c>
      <c r="AH39" s="27">
        <f>EscapeNew!AG38</f>
        <v>1895</v>
      </c>
      <c r="AI39" s="27">
        <f>EscapeNew!AH38</f>
        <v>3307</v>
      </c>
      <c r="AJ39" s="27">
        <f>EscapeNew!AI38</f>
        <v>5980</v>
      </c>
      <c r="AK39" s="27">
        <f>EscapeNew!AJ38</f>
        <v>1102</v>
      </c>
      <c r="AL39" s="27">
        <f>EscapeNew!AK38</f>
        <v>1198</v>
      </c>
      <c r="AM39" s="27">
        <f>EscapeNew!AL38</f>
        <v>1988</v>
      </c>
      <c r="AN39" s="27">
        <f>EscapeNew!AM38</f>
        <v>2163</v>
      </c>
      <c r="AO39" s="27">
        <f>EscapeNew!AN38</f>
        <v>2769</v>
      </c>
      <c r="AP39" s="27">
        <f>EscapeNew!AO38</f>
        <v>5194</v>
      </c>
      <c r="AQ39" s="27">
        <f>EscapeNew!AP38</f>
        <v>697</v>
      </c>
      <c r="AR39" s="27">
        <f>EscapeNew!AQ38</f>
        <v>1406</v>
      </c>
      <c r="AS39" s="27">
        <f>EscapeNew!AR38</f>
        <v>514</v>
      </c>
      <c r="AT39" s="27">
        <f>EscapeNew!AS38/StockList!F38</f>
        <v>783</v>
      </c>
      <c r="AU39" s="27">
        <f>EscapeNew!AT38/StockList!G38</f>
        <v>3532</v>
      </c>
      <c r="AV39" s="27">
        <f>EscapeNew!AU38</f>
        <v>3780</v>
      </c>
      <c r="AW39" s="27">
        <f>EscapeNew!AV38</f>
        <v>5580</v>
      </c>
      <c r="AX39" s="27">
        <f t="shared" si="0"/>
        <v>3752.8636363636365</v>
      </c>
    </row>
    <row r="40" spans="1:50" ht="9" customHeight="1" x14ac:dyDescent="0.2">
      <c r="A40" s="18" t="s">
        <v>150</v>
      </c>
      <c r="B40" s="41">
        <v>38</v>
      </c>
      <c r="C40" s="43">
        <v>7</v>
      </c>
      <c r="D40" s="41">
        <v>1</v>
      </c>
      <c r="E40" s="18" t="str">
        <f>EscapeNew!D39</f>
        <v>Spring 5.2</v>
      </c>
      <c r="F40" s="27">
        <f>EscapeNew!E39</f>
        <v>425</v>
      </c>
      <c r="G40" s="27">
        <f>EscapeNew!F39</f>
        <v>600</v>
      </c>
      <c r="H40" s="27">
        <f>EscapeNew!G39</f>
        <v>1000</v>
      </c>
      <c r="I40" s="27">
        <f>EscapeNew!H39</f>
        <v>850</v>
      </c>
      <c r="J40" s="27">
        <f>EscapeNew!I39</f>
        <v>700</v>
      </c>
      <c r="K40" s="27">
        <f>EscapeNew!J39</f>
        <v>1500</v>
      </c>
      <c r="L40" s="27">
        <f>EscapeNew!K39</f>
        <v>1300</v>
      </c>
      <c r="M40" s="27">
        <f>EscapeNew!L39</f>
        <v>1499</v>
      </c>
      <c r="N40" s="27">
        <f>EscapeNew!M39</f>
        <v>1542</v>
      </c>
      <c r="O40" s="27">
        <f>EscapeNew!N39</f>
        <v>1857</v>
      </c>
      <c r="P40" s="27">
        <f>EscapeNew!O39</f>
        <v>1141</v>
      </c>
      <c r="Q40" s="27">
        <f>EscapeNew!P39</f>
        <v>1100</v>
      </c>
      <c r="R40" s="27">
        <f>EscapeNew!Q39</f>
        <v>460</v>
      </c>
      <c r="S40" s="27">
        <f>EscapeNew!R39</f>
        <v>630</v>
      </c>
      <c r="T40" s="27">
        <f>EscapeNew!S39</f>
        <v>1300</v>
      </c>
      <c r="U40" s="27">
        <f>EscapeNew!T39</f>
        <v>1841</v>
      </c>
      <c r="V40" s="27">
        <f>EscapeNew!U39</f>
        <v>810</v>
      </c>
      <c r="W40" s="27">
        <f>EscapeNew!V39</f>
        <v>1569</v>
      </c>
      <c r="X40" s="27">
        <f>EscapeNew!W39</f>
        <v>725</v>
      </c>
      <c r="Y40" s="27">
        <f>EscapeNew!X39</f>
        <v>369</v>
      </c>
      <c r="Z40" s="27">
        <f>EscapeNew!Y39</f>
        <v>524</v>
      </c>
      <c r="AA40" s="27">
        <f>EscapeNew!Z39</f>
        <v>1511</v>
      </c>
      <c r="AB40" s="27">
        <f>EscapeNew!AA39</f>
        <v>1121</v>
      </c>
      <c r="AC40" s="27">
        <f>EscapeNew!AB39</f>
        <v>480</v>
      </c>
      <c r="AD40" s="27">
        <f>EscapeNew!AC39</f>
        <v>45</v>
      </c>
      <c r="AE40" s="27">
        <f>EscapeNew!AD39</f>
        <v>538</v>
      </c>
      <c r="AF40" s="27">
        <f>EscapeNew!AE39</f>
        <v>189</v>
      </c>
      <c r="AG40" s="27">
        <f>EscapeNew!AF39</f>
        <v>198</v>
      </c>
      <c r="AH40" s="27">
        <f>EscapeNew!AG39</f>
        <v>38</v>
      </c>
      <c r="AI40" s="27">
        <f>EscapeNew!AH39</f>
        <v>97</v>
      </c>
      <c r="AJ40" s="27">
        <f>EscapeNew!AI39</f>
        <v>91</v>
      </c>
      <c r="AK40" s="27">
        <f>EscapeNew!AJ39</f>
        <v>72</v>
      </c>
      <c r="AL40" s="27">
        <f>EscapeNew!AK39</f>
        <v>91</v>
      </c>
      <c r="AM40" s="27">
        <f>EscapeNew!AL39</f>
        <v>91</v>
      </c>
      <c r="AN40" s="27">
        <f>EscapeNew!AM39</f>
        <v>17</v>
      </c>
      <c r="AO40" s="27">
        <f>EscapeNew!AN39</f>
        <v>62</v>
      </c>
      <c r="AP40" s="27">
        <f>EscapeNew!AO39</f>
        <v>58</v>
      </c>
      <c r="AQ40" s="27">
        <f>EscapeNew!AP39</f>
        <v>40</v>
      </c>
      <c r="AR40" s="27">
        <f>EscapeNew!AQ39</f>
        <v>20</v>
      </c>
      <c r="AS40" s="27">
        <f>EscapeNew!AR39</f>
        <v>9</v>
      </c>
      <c r="AT40" s="27">
        <f>EscapeNew!AS39/StockList!F39</f>
        <v>149</v>
      </c>
      <c r="AU40" s="27">
        <f>EscapeNew!AT39/StockList!G39</f>
        <v>111</v>
      </c>
      <c r="AV40" s="27">
        <f>EscapeNew!AU39</f>
        <v>32</v>
      </c>
      <c r="AW40" s="27">
        <f>EscapeNew!AV39</f>
        <v>109</v>
      </c>
      <c r="AX40" s="27">
        <f t="shared" si="0"/>
        <v>611.61363636363637</v>
      </c>
    </row>
    <row r="41" spans="1:50" ht="9" customHeight="1" x14ac:dyDescent="0.2">
      <c r="A41" s="18" t="s">
        <v>181</v>
      </c>
      <c r="B41" s="41">
        <v>39</v>
      </c>
      <c r="C41" s="43">
        <v>7</v>
      </c>
      <c r="D41" s="41">
        <v>2</v>
      </c>
      <c r="E41" s="18" t="str">
        <f>EscapeNew!D40</f>
        <v>Summer 5.2</v>
      </c>
      <c r="F41" s="27">
        <f>EscapeNew!E40</f>
        <v>175</v>
      </c>
      <c r="G41" s="27">
        <f>EscapeNew!F40</f>
        <v>200</v>
      </c>
      <c r="H41" s="27">
        <f>EscapeNew!G40</f>
        <v>200</v>
      </c>
      <c r="I41" s="27">
        <f>EscapeNew!H40</f>
        <v>375</v>
      </c>
      <c r="J41" s="27">
        <f>EscapeNew!I40</f>
        <v>175</v>
      </c>
      <c r="K41" s="27">
        <f>EscapeNew!J40</f>
        <v>500</v>
      </c>
      <c r="L41" s="27">
        <f>EscapeNew!K40</f>
        <v>525</v>
      </c>
      <c r="M41" s="27">
        <f>EscapeNew!L40</f>
        <v>700</v>
      </c>
      <c r="N41" s="27">
        <f>EscapeNew!M40</f>
        <v>650</v>
      </c>
      <c r="O41" s="27">
        <f>EscapeNew!N40</f>
        <v>800</v>
      </c>
      <c r="P41" s="27">
        <f>EscapeNew!O40</f>
        <v>812</v>
      </c>
      <c r="Q41" s="27">
        <f>EscapeNew!P40</f>
        <v>550</v>
      </c>
      <c r="R41" s="27">
        <f>EscapeNew!Q40</f>
        <v>446</v>
      </c>
      <c r="S41" s="27">
        <f>EscapeNew!R40</f>
        <v>280</v>
      </c>
      <c r="T41" s="27">
        <f>EscapeNew!S40</f>
        <v>190</v>
      </c>
      <c r="U41" s="27">
        <f>EscapeNew!T40</f>
        <v>1028</v>
      </c>
      <c r="V41" s="27">
        <f>EscapeNew!U40</f>
        <v>1371</v>
      </c>
      <c r="W41" s="27">
        <f>EscapeNew!V40</f>
        <v>870</v>
      </c>
      <c r="X41" s="27">
        <f>EscapeNew!W40</f>
        <v>1230</v>
      </c>
      <c r="Y41" s="27">
        <f>EscapeNew!X40</f>
        <v>405</v>
      </c>
      <c r="Z41" s="27">
        <f>EscapeNew!Y40</f>
        <v>1095</v>
      </c>
      <c r="AA41" s="27">
        <f>EscapeNew!Z40</f>
        <v>936</v>
      </c>
      <c r="AB41" s="27">
        <f>EscapeNew!AA40</f>
        <v>237</v>
      </c>
      <c r="AC41" s="27">
        <f>EscapeNew!AB40</f>
        <v>443</v>
      </c>
      <c r="AD41" s="27">
        <f>EscapeNew!AC40</f>
        <v>311</v>
      </c>
      <c r="AE41" s="27">
        <f>EscapeNew!AD40</f>
        <v>741</v>
      </c>
      <c r="AF41" s="27">
        <f>EscapeNew!AE40</f>
        <v>132</v>
      </c>
      <c r="AG41" s="27">
        <f>EscapeNew!AF40</f>
        <v>152</v>
      </c>
      <c r="AH41" s="27">
        <f>EscapeNew!AG40</f>
        <v>38</v>
      </c>
      <c r="AI41" s="27">
        <f>EscapeNew!AH40</f>
        <v>395</v>
      </c>
      <c r="AJ41" s="27">
        <f>EscapeNew!AI40</f>
        <v>194</v>
      </c>
      <c r="AK41" s="27">
        <f>EscapeNew!AJ40</f>
        <v>128</v>
      </c>
      <c r="AL41" s="27">
        <f>EscapeNew!AK40</f>
        <v>37</v>
      </c>
      <c r="AM41" s="27">
        <f>EscapeNew!AL40</f>
        <v>166</v>
      </c>
      <c r="AN41" s="27">
        <f>EscapeNew!AM40</f>
        <v>134</v>
      </c>
      <c r="AO41" s="27">
        <f>EscapeNew!AN40</f>
        <v>203</v>
      </c>
      <c r="AP41" s="27">
        <f>EscapeNew!AO40</f>
        <v>134</v>
      </c>
      <c r="AQ41" s="27">
        <f>EscapeNew!AP40</f>
        <v>35</v>
      </c>
      <c r="AR41" s="27">
        <f>EscapeNew!AQ40</f>
        <v>29</v>
      </c>
      <c r="AS41" s="27">
        <f>EscapeNew!AR40</f>
        <v>95</v>
      </c>
      <c r="AT41" s="27">
        <f>EscapeNew!AS40/StockList!F40</f>
        <v>106</v>
      </c>
      <c r="AU41" s="27">
        <f>EscapeNew!AT40/StockList!G40</f>
        <v>122</v>
      </c>
      <c r="AV41" s="27">
        <f>EscapeNew!AU40</f>
        <v>106</v>
      </c>
      <c r="AW41" s="27">
        <f>EscapeNew!AV40</f>
        <v>146</v>
      </c>
      <c r="AX41" s="27">
        <f t="shared" si="0"/>
        <v>399.93181818181819</v>
      </c>
    </row>
    <row r="42" spans="1:50" ht="9" customHeight="1" x14ac:dyDescent="0.2">
      <c r="A42" s="44" t="s">
        <v>127</v>
      </c>
      <c r="B42" s="41">
        <v>40</v>
      </c>
      <c r="C42" s="43">
        <v>7</v>
      </c>
      <c r="D42" s="45">
        <v>2</v>
      </c>
      <c r="E42" s="18" t="str">
        <f>EscapeNew!D41</f>
        <v>Summer 5.2</v>
      </c>
      <c r="F42" s="27">
        <f>EscapeNew!E41</f>
        <v>15</v>
      </c>
      <c r="G42" s="27">
        <f>EscapeNew!F41</f>
        <v>15</v>
      </c>
      <c r="H42" s="27">
        <f>EscapeNew!G41</f>
        <v>100</v>
      </c>
      <c r="I42" s="27">
        <f>EscapeNew!H41</f>
        <v>0</v>
      </c>
      <c r="J42" s="27">
        <f>EscapeNew!I41</f>
        <v>65</v>
      </c>
      <c r="K42" s="27">
        <f>EscapeNew!J41</f>
        <v>75</v>
      </c>
      <c r="L42" s="27">
        <f>EscapeNew!K41</f>
        <v>50</v>
      </c>
      <c r="M42" s="27">
        <f>EscapeNew!L41</f>
        <v>5</v>
      </c>
      <c r="N42" s="27">
        <f>EscapeNew!M41</f>
        <v>50</v>
      </c>
      <c r="O42" s="27">
        <f>EscapeNew!N41</f>
        <v>100</v>
      </c>
      <c r="P42" s="27">
        <f>EscapeNew!O41</f>
        <v>260</v>
      </c>
      <c r="Q42" s="27">
        <f>EscapeNew!P41</f>
        <v>100</v>
      </c>
      <c r="R42" s="27">
        <f>EscapeNew!Q41</f>
        <v>50</v>
      </c>
      <c r="S42" s="27">
        <f>EscapeNew!R41</f>
        <v>175.57765523910055</v>
      </c>
      <c r="T42" s="27">
        <f>EscapeNew!S41</f>
        <v>50</v>
      </c>
      <c r="U42" s="27">
        <f>EscapeNew!T41</f>
        <v>44</v>
      </c>
      <c r="V42" s="27">
        <f>EscapeNew!U41</f>
        <v>21</v>
      </c>
      <c r="W42" s="27">
        <f>EscapeNew!V41</f>
        <v>5</v>
      </c>
      <c r="X42" s="27">
        <f>EscapeNew!W41</f>
        <v>194.53981204456886</v>
      </c>
      <c r="Y42" s="27">
        <f>EscapeNew!X41</f>
        <v>165.84198150260912</v>
      </c>
      <c r="Z42" s="27">
        <f>EscapeNew!Y41</f>
        <v>116.65528514931502</v>
      </c>
      <c r="AA42" s="27">
        <f>EscapeNew!Z41</f>
        <v>77</v>
      </c>
      <c r="AB42" s="27">
        <f>EscapeNew!AA41</f>
        <v>362</v>
      </c>
      <c r="AC42" s="27">
        <f>EscapeNew!AB41</f>
        <v>377</v>
      </c>
      <c r="AD42" s="27">
        <f>EscapeNew!AC41</f>
        <v>131</v>
      </c>
      <c r="AE42" s="27">
        <f>EscapeNew!AD41</f>
        <v>306</v>
      </c>
      <c r="AF42" s="27">
        <f>EscapeNew!AE41</f>
        <v>220</v>
      </c>
      <c r="AG42" s="27">
        <f>EscapeNew!AF41</f>
        <v>215</v>
      </c>
      <c r="AH42" s="27">
        <f>EscapeNew!AG41</f>
        <v>100</v>
      </c>
      <c r="AI42" s="27">
        <f>EscapeNew!AH41</f>
        <v>101</v>
      </c>
      <c r="AJ42" s="27">
        <f>EscapeNew!AI41</f>
        <v>37</v>
      </c>
      <c r="AK42" s="27">
        <f>EscapeNew!AJ41</f>
        <v>132</v>
      </c>
      <c r="AL42" s="27">
        <f>EscapeNew!AK41</f>
        <v>112</v>
      </c>
      <c r="AM42" s="27">
        <f>EscapeNew!AL41</f>
        <v>192</v>
      </c>
      <c r="AN42" s="27">
        <f>EscapeNew!AM41</f>
        <v>115</v>
      </c>
      <c r="AO42" s="27">
        <f>EscapeNew!AN41</f>
        <v>132</v>
      </c>
      <c r="AP42" s="27">
        <f>EscapeNew!AO41</f>
        <v>149</v>
      </c>
      <c r="AQ42" s="27">
        <f>EscapeNew!AP41</f>
        <v>62</v>
      </c>
      <c r="AR42" s="27">
        <f>EscapeNew!AQ41</f>
        <v>11</v>
      </c>
      <c r="AS42" s="27">
        <f>EscapeNew!AR41</f>
        <v>60</v>
      </c>
      <c r="AT42" s="27">
        <f>EscapeNew!AS41/StockList!F41</f>
        <v>89</v>
      </c>
      <c r="AU42" s="27">
        <f>EscapeNew!AT41/StockList!G41</f>
        <v>329</v>
      </c>
      <c r="AV42" s="27">
        <f>EscapeNew!AU41</f>
        <v>29</v>
      </c>
      <c r="AW42" s="27">
        <f>EscapeNew!AV41</f>
        <v>309</v>
      </c>
      <c r="AX42" s="27">
        <f t="shared" si="0"/>
        <v>120.55942577126349</v>
      </c>
    </row>
    <row r="43" spans="1:50" ht="9" customHeight="1" x14ac:dyDescent="0.2">
      <c r="A43" s="18" t="s">
        <v>162</v>
      </c>
      <c r="B43" s="41">
        <v>41</v>
      </c>
      <c r="C43" s="43">
        <v>7</v>
      </c>
      <c r="D43" s="41">
        <v>3</v>
      </c>
      <c r="E43" s="18" t="str">
        <f>EscapeNew!D42</f>
        <v>Spring 4.2</v>
      </c>
      <c r="F43" s="27">
        <f>EscapeNew!E42</f>
        <v>20</v>
      </c>
      <c r="G43" s="27">
        <f>EscapeNew!F42</f>
        <v>45</v>
      </c>
      <c r="H43" s="27">
        <f>EscapeNew!G42</f>
        <v>110</v>
      </c>
      <c r="I43" s="27">
        <f>EscapeNew!H42</f>
        <v>150</v>
      </c>
      <c r="J43" s="27">
        <f>EscapeNew!I42</f>
        <v>20</v>
      </c>
      <c r="K43" s="27">
        <f>EscapeNew!J42</f>
        <v>100</v>
      </c>
      <c r="L43" s="27">
        <f>EscapeNew!K42</f>
        <v>250</v>
      </c>
      <c r="M43" s="27">
        <f>EscapeNew!L42</f>
        <v>150</v>
      </c>
      <c r="N43" s="27">
        <f>EscapeNew!M42</f>
        <v>25</v>
      </c>
      <c r="O43" s="27">
        <f>EscapeNew!N42</f>
        <v>80</v>
      </c>
      <c r="P43" s="27">
        <f>EscapeNew!O42</f>
        <v>325</v>
      </c>
      <c r="Q43" s="27">
        <f>EscapeNew!P42</f>
        <v>50</v>
      </c>
      <c r="R43" s="27">
        <f>EscapeNew!Q42</f>
        <v>10</v>
      </c>
      <c r="S43" s="27">
        <f>EscapeNew!R42</f>
        <v>6</v>
      </c>
      <c r="T43" s="27">
        <f>EscapeNew!S42</f>
        <v>20</v>
      </c>
      <c r="U43" s="27">
        <f>EscapeNew!T42</f>
        <v>510</v>
      </c>
      <c r="V43" s="27">
        <f>EscapeNew!U42</f>
        <v>800</v>
      </c>
      <c r="W43" s="27">
        <f>EscapeNew!V42</f>
        <v>420</v>
      </c>
      <c r="X43" s="27">
        <f>EscapeNew!W42</f>
        <v>480</v>
      </c>
      <c r="Y43" s="27">
        <f>EscapeNew!X42</f>
        <v>158</v>
      </c>
      <c r="Z43" s="27">
        <f>EscapeNew!Y42</f>
        <v>183</v>
      </c>
      <c r="AA43" s="27">
        <f>EscapeNew!Z42</f>
        <v>611</v>
      </c>
      <c r="AB43" s="27">
        <f>EscapeNew!AA42</f>
        <v>349</v>
      </c>
      <c r="AC43" s="27">
        <f>EscapeNew!AB42</f>
        <v>481</v>
      </c>
      <c r="AD43" s="27">
        <f>EscapeNew!AC42</f>
        <v>198</v>
      </c>
      <c r="AE43" s="27">
        <f>EscapeNew!AD42</f>
        <v>105</v>
      </c>
      <c r="AF43" s="27">
        <f>EscapeNew!AE42</f>
        <v>40</v>
      </c>
      <c r="AG43" s="27">
        <f>EscapeNew!AF42</f>
        <v>315</v>
      </c>
      <c r="AH43" s="27">
        <f>EscapeNew!AG42</f>
        <v>18</v>
      </c>
      <c r="AI43" s="27">
        <f>EscapeNew!AH42</f>
        <v>95</v>
      </c>
      <c r="AJ43" s="27">
        <f>EscapeNew!AI42</f>
        <v>6</v>
      </c>
      <c r="AK43" s="27">
        <f>EscapeNew!AJ42</f>
        <v>154</v>
      </c>
      <c r="AL43" s="27">
        <f>EscapeNew!AK42</f>
        <v>72</v>
      </c>
      <c r="AM43" s="27">
        <f>EscapeNew!AL42</f>
        <v>189</v>
      </c>
      <c r="AN43" s="27">
        <f>EscapeNew!AM42</f>
        <v>117</v>
      </c>
      <c r="AO43" s="27">
        <f>EscapeNew!AN42</f>
        <v>289</v>
      </c>
      <c r="AP43" s="27">
        <f>EscapeNew!AO42</f>
        <v>80</v>
      </c>
      <c r="AQ43" s="27">
        <f>EscapeNew!AP42</f>
        <v>155</v>
      </c>
      <c r="AR43" s="27">
        <f>EscapeNew!AQ42</f>
        <v>25</v>
      </c>
      <c r="AS43" s="27">
        <f>EscapeNew!AR42</f>
        <v>45</v>
      </c>
      <c r="AT43" s="27">
        <f>EscapeNew!AS42/StockList!F42</f>
        <v>89</v>
      </c>
      <c r="AU43" s="27">
        <f>EscapeNew!AT42/StockList!G42</f>
        <v>106</v>
      </c>
      <c r="AV43" s="27">
        <f>EscapeNew!AU42</f>
        <v>137</v>
      </c>
      <c r="AW43" s="27">
        <f>EscapeNew!AV42</f>
        <v>69</v>
      </c>
      <c r="AX43" s="27">
        <f t="shared" si="0"/>
        <v>174.02272727272728</v>
      </c>
    </row>
    <row r="44" spans="1:50" ht="9" customHeight="1" x14ac:dyDescent="0.2">
      <c r="A44" s="18" t="s">
        <v>176</v>
      </c>
      <c r="B44" s="41">
        <v>42</v>
      </c>
      <c r="C44" s="43">
        <v>7</v>
      </c>
      <c r="D44" s="41">
        <v>2</v>
      </c>
      <c r="E44" s="18" t="str">
        <f>EscapeNew!D43</f>
        <v>Summer 5.2</v>
      </c>
      <c r="F44" s="27">
        <f>EscapeNew!E43</f>
        <v>1200</v>
      </c>
      <c r="G44" s="27">
        <f>EscapeNew!F43</f>
        <v>750</v>
      </c>
      <c r="H44" s="27">
        <f>EscapeNew!G43</f>
        <v>2250</v>
      </c>
      <c r="I44" s="27">
        <f>EscapeNew!H43</f>
        <v>2500</v>
      </c>
      <c r="J44" s="27">
        <f>EscapeNew!I43</f>
        <v>2500</v>
      </c>
      <c r="K44" s="27">
        <f>EscapeNew!J43</f>
        <v>1200</v>
      </c>
      <c r="L44" s="27">
        <f>EscapeNew!K43</f>
        <v>1500</v>
      </c>
      <c r="M44" s="27">
        <f>EscapeNew!L43</f>
        <v>2652</v>
      </c>
      <c r="N44" s="27">
        <f>EscapeNew!M43</f>
        <v>2743</v>
      </c>
      <c r="O44" s="27">
        <f>EscapeNew!N43</f>
        <v>2258</v>
      </c>
      <c r="P44" s="27">
        <f>EscapeNew!O43</f>
        <v>1578</v>
      </c>
      <c r="Q44" s="27">
        <f>EscapeNew!P43</f>
        <v>1500</v>
      </c>
      <c r="R44" s="27">
        <f>EscapeNew!Q43</f>
        <v>2183</v>
      </c>
      <c r="S44" s="27">
        <f>EscapeNew!R43</f>
        <v>2020</v>
      </c>
      <c r="T44" s="27">
        <f>EscapeNew!S43</f>
        <v>2400</v>
      </c>
      <c r="U44" s="27">
        <f>EscapeNew!T43</f>
        <v>4164</v>
      </c>
      <c r="V44" s="27">
        <f>EscapeNew!U43</f>
        <v>2829.9768330713709</v>
      </c>
      <c r="W44" s="27">
        <f>EscapeNew!V43</f>
        <v>2375</v>
      </c>
      <c r="X44" s="27">
        <f>EscapeNew!W43</f>
        <v>2130</v>
      </c>
      <c r="Y44" s="27">
        <f>EscapeNew!X43</f>
        <v>2156</v>
      </c>
      <c r="Z44" s="27">
        <f>EscapeNew!Y43</f>
        <v>3375</v>
      </c>
      <c r="AA44" s="27">
        <f>EscapeNew!Z43</f>
        <v>11678</v>
      </c>
      <c r="AB44" s="27">
        <f>EscapeNew!AA43</f>
        <v>11959</v>
      </c>
      <c r="AC44" s="27">
        <f>EscapeNew!AB43</f>
        <v>2669</v>
      </c>
      <c r="AD44" s="27">
        <f>EscapeNew!AC43</f>
        <v>1989</v>
      </c>
      <c r="AE44" s="27">
        <f>EscapeNew!AD43</f>
        <v>2040</v>
      </c>
      <c r="AF44" s="27">
        <f>EscapeNew!AE43</f>
        <v>990</v>
      </c>
      <c r="AG44" s="27">
        <f>EscapeNew!AF43</f>
        <v>8088</v>
      </c>
      <c r="AH44" s="27">
        <f>EscapeNew!AG43</f>
        <v>1320.0067107511259</v>
      </c>
      <c r="AI44" s="27">
        <f>EscapeNew!AH43</f>
        <v>1304</v>
      </c>
      <c r="AJ44" s="27">
        <f>EscapeNew!AI43</f>
        <v>2610.4780868842313</v>
      </c>
      <c r="AK44" s="27">
        <f>EscapeNew!AJ43</f>
        <v>406</v>
      </c>
      <c r="AL44" s="27">
        <f>EscapeNew!AK43</f>
        <v>803</v>
      </c>
      <c r="AM44" s="27">
        <f>EscapeNew!AL43</f>
        <v>238</v>
      </c>
      <c r="AN44" s="27">
        <f>EscapeNew!AM43</f>
        <v>770</v>
      </c>
      <c r="AO44" s="27">
        <f>EscapeNew!AN43</f>
        <v>412</v>
      </c>
      <c r="AP44" s="27">
        <f>EscapeNew!AO43</f>
        <v>4659</v>
      </c>
      <c r="AQ44" s="27">
        <f>EscapeNew!AP43</f>
        <v>340</v>
      </c>
      <c r="AR44" s="27">
        <f>EscapeNew!AQ43</f>
        <v>383</v>
      </c>
      <c r="AS44" s="27">
        <f>EscapeNew!AR43</f>
        <v>164</v>
      </c>
      <c r="AT44" s="27">
        <f>EscapeNew!AS43/StockList!F43</f>
        <v>211</v>
      </c>
      <c r="AU44" s="27">
        <f>EscapeNew!AT43/StockList!G43</f>
        <v>1307</v>
      </c>
      <c r="AV44" s="27">
        <f>EscapeNew!AU43</f>
        <v>1789.6749249369718</v>
      </c>
      <c r="AW44" s="27">
        <f>EscapeNew!AV43</f>
        <v>3211.4415691004451</v>
      </c>
      <c r="AX44" s="27">
        <f t="shared" si="0"/>
        <v>2400.1267755623671</v>
      </c>
    </row>
    <row r="45" spans="1:50" ht="9" customHeight="1" x14ac:dyDescent="0.2">
      <c r="A45" s="44" t="s">
        <v>120</v>
      </c>
      <c r="B45" s="41">
        <v>43</v>
      </c>
      <c r="C45" s="43">
        <v>8</v>
      </c>
      <c r="D45" s="45">
        <v>3</v>
      </c>
      <c r="E45" s="18" t="str">
        <f>EscapeNew!D44</f>
        <v>Spring 4.2</v>
      </c>
      <c r="F45" s="27">
        <f>EscapeNew!E44</f>
        <v>69.168149466192176</v>
      </c>
      <c r="G45" s="27">
        <f>EscapeNew!F44</f>
        <v>69.168149466192176</v>
      </c>
      <c r="H45" s="27">
        <f>EscapeNew!G44</f>
        <v>55.334519572953738</v>
      </c>
      <c r="I45" s="27">
        <f>EscapeNew!H44</f>
        <v>13.833629893238435</v>
      </c>
      <c r="J45" s="27">
        <f>EscapeNew!I44</f>
        <v>13.833629893238435</v>
      </c>
      <c r="K45" s="27">
        <f>EscapeNew!J44</f>
        <v>138.33629893238435</v>
      </c>
      <c r="L45" s="27">
        <f>EscapeNew!K44</f>
        <v>276.6725978647687</v>
      </c>
      <c r="M45" s="27">
        <f>EscapeNew!L44</f>
        <v>318.17348754448398</v>
      </c>
      <c r="N45" s="27">
        <f>EscapeNew!M44</f>
        <v>0</v>
      </c>
      <c r="O45" s="27">
        <f>EscapeNew!N44</f>
        <v>69.168149466192176</v>
      </c>
      <c r="P45" s="27">
        <f>EscapeNew!O44</f>
        <v>262.83896797153028</v>
      </c>
      <c r="Q45" s="27">
        <f>EscapeNew!P44</f>
        <v>276.6725978647687</v>
      </c>
      <c r="R45" s="27">
        <f>EscapeNew!Q44</f>
        <v>249.00533807829183</v>
      </c>
      <c r="S45" s="27">
        <f>EscapeNew!R44</f>
        <v>110.66903914590748</v>
      </c>
      <c r="T45" s="27">
        <f>EscapeNew!S44</f>
        <v>345.84074733096088</v>
      </c>
      <c r="U45" s="27">
        <f>EscapeNew!T44</f>
        <v>276.6725978647687</v>
      </c>
      <c r="V45" s="27">
        <f>EscapeNew!U44</f>
        <v>353.06215596330276</v>
      </c>
      <c r="W45" s="27">
        <f>EscapeNew!V44</f>
        <v>550.00000000000011</v>
      </c>
      <c r="X45" s="27">
        <f>EscapeNew!W44</f>
        <v>93.503447722899296</v>
      </c>
      <c r="Y45" s="27">
        <f>EscapeNew!X44</f>
        <v>167.00000000000003</v>
      </c>
      <c r="Z45" s="27">
        <f>EscapeNew!Y44</f>
        <v>398.89082525112576</v>
      </c>
      <c r="AA45" s="27">
        <f>EscapeNew!Z44</f>
        <v>91.000000000000014</v>
      </c>
      <c r="AB45" s="27">
        <f>EscapeNew!AA44</f>
        <v>459.00000000000006</v>
      </c>
      <c r="AC45" s="27">
        <f>EscapeNew!AB44</f>
        <v>245.00000000000003</v>
      </c>
      <c r="AD45" s="27">
        <f>EscapeNew!AC44</f>
        <v>207.00000000000003</v>
      </c>
      <c r="AE45" s="27">
        <f>EscapeNew!AD44</f>
        <v>175.00000000000003</v>
      </c>
      <c r="AF45" s="27">
        <f>EscapeNew!AE44</f>
        <v>180.00000000000003</v>
      </c>
      <c r="AG45" s="27">
        <f>EscapeNew!AF44</f>
        <v>276.00000000000006</v>
      </c>
      <c r="AH45" s="27">
        <f>EscapeNew!AG44</f>
        <v>5.0000000000000009</v>
      </c>
      <c r="AI45" s="27">
        <f>EscapeNew!AH44</f>
        <v>77.000000000000014</v>
      </c>
      <c r="AJ45" s="27">
        <f>EscapeNew!AI44</f>
        <v>28.000000000000004</v>
      </c>
      <c r="AK45" s="27">
        <f>EscapeNew!AJ44</f>
        <v>202.00000000000003</v>
      </c>
      <c r="AL45" s="27">
        <f>EscapeNew!AK44</f>
        <v>8</v>
      </c>
      <c r="AM45" s="27">
        <f>EscapeNew!AL44</f>
        <v>14.000000000000002</v>
      </c>
      <c r="AN45" s="27">
        <f>EscapeNew!AM44</f>
        <v>195.00000000000003</v>
      </c>
      <c r="AO45" s="27">
        <f>EscapeNew!AN44</f>
        <v>96.000000000000014</v>
      </c>
      <c r="AP45" s="27">
        <f>EscapeNew!AO44</f>
        <v>144.00000000000003</v>
      </c>
      <c r="AQ45" s="27">
        <f>EscapeNew!AP44</f>
        <v>6.0000000000000009</v>
      </c>
      <c r="AR45" s="27">
        <f>EscapeNew!AQ44</f>
        <v>17.000000000000004</v>
      </c>
      <c r="AS45" s="27">
        <f>EscapeNew!AR44</f>
        <v>11.000000000000002</v>
      </c>
      <c r="AT45" s="27">
        <f>EscapeNew!AS44/StockList!F44</f>
        <v>7.0000000000000009</v>
      </c>
      <c r="AU45" s="27">
        <f>EscapeNew!AT44/StockList!G44</f>
        <v>122.14345779233642</v>
      </c>
      <c r="AV45" s="27">
        <f>EscapeNew!AU44</f>
        <v>0</v>
      </c>
      <c r="AW45" s="27">
        <f>EscapeNew!AV44</f>
        <v>25.000000000000004</v>
      </c>
      <c r="AX45" s="27">
        <f t="shared" si="0"/>
        <v>152.22699516103492</v>
      </c>
    </row>
    <row r="46" spans="1:50" ht="9" customHeight="1" x14ac:dyDescent="0.2">
      <c r="A46" s="44" t="s">
        <v>168</v>
      </c>
      <c r="B46" s="41">
        <v>44</v>
      </c>
      <c r="C46" s="43">
        <v>8</v>
      </c>
      <c r="D46" s="45">
        <v>4</v>
      </c>
      <c r="E46" s="18" t="str">
        <f>EscapeNew!D45</f>
        <v>Summer 4.1</v>
      </c>
      <c r="F46" s="27">
        <f>EscapeNew!E45</f>
        <v>689.37785651803858</v>
      </c>
      <c r="G46" s="27">
        <f>EscapeNew!F45</f>
        <v>689.37785651803858</v>
      </c>
      <c r="H46" s="27">
        <f>EscapeNew!G45</f>
        <v>689.37785651803858</v>
      </c>
      <c r="I46" s="27">
        <f>EscapeNew!H45</f>
        <v>689.37785651803858</v>
      </c>
      <c r="J46" s="27">
        <f>EscapeNew!I45</f>
        <v>426.26581142709978</v>
      </c>
      <c r="K46" s="27">
        <f>EscapeNew!J45</f>
        <v>948.08896061752603</v>
      </c>
      <c r="L46" s="27">
        <f>EscapeNew!K45</f>
        <v>1204.1153910842427</v>
      </c>
      <c r="M46" s="27">
        <f>EscapeNew!L45</f>
        <v>1556.3988304094689</v>
      </c>
      <c r="N46" s="27">
        <f>EscapeNew!M45</f>
        <v>2562.7452013876273</v>
      </c>
      <c r="O46" s="27">
        <f>EscapeNew!N45</f>
        <v>2421.3895694367229</v>
      </c>
      <c r="P46" s="27">
        <f>EscapeNew!O45</f>
        <v>2496.8439060320079</v>
      </c>
      <c r="Q46" s="27">
        <f>EscapeNew!P45</f>
        <v>5406.1227366196954</v>
      </c>
      <c r="R46" s="27">
        <f>EscapeNew!Q45</f>
        <v>6594.7752829671035</v>
      </c>
      <c r="S46" s="27">
        <f>EscapeNew!R45</f>
        <v>6574.7752829671035</v>
      </c>
      <c r="T46" s="27">
        <f>EscapeNew!S45</f>
        <v>3407.4658966367738</v>
      </c>
      <c r="U46" s="27">
        <f>EscapeNew!T45</f>
        <v>5281.1227366196954</v>
      </c>
      <c r="V46" s="27">
        <f>EscapeNew!U45</f>
        <v>4035.8236993381379</v>
      </c>
      <c r="W46" s="27">
        <f>EscapeNew!V45</f>
        <v>6445.7752829671035</v>
      </c>
      <c r="X46" s="27">
        <f>EscapeNew!W45</f>
        <v>4952.2215787978694</v>
      </c>
      <c r="Y46" s="27">
        <f>EscapeNew!X45</f>
        <v>5795.7394106830116</v>
      </c>
      <c r="Z46" s="27">
        <f>EscapeNew!Y45</f>
        <v>3275.1299297183227</v>
      </c>
      <c r="AA46" s="27">
        <f>EscapeNew!Z45</f>
        <v>3487.8039346411824</v>
      </c>
      <c r="AB46" s="27">
        <f>EscapeNew!AA45</f>
        <v>3800.2278288763368</v>
      </c>
      <c r="AC46" s="27">
        <f>EscapeNew!AB45</f>
        <v>7387.5778900788655</v>
      </c>
      <c r="AD46" s="27">
        <f>EscapeNew!AC45</f>
        <v>6187.0732209632479</v>
      </c>
      <c r="AE46" s="27">
        <f>EscapeNew!AD45</f>
        <v>1983.9654264484204</v>
      </c>
      <c r="AF46" s="27">
        <f>EscapeNew!AE45</f>
        <v>2554.7107487586172</v>
      </c>
      <c r="AG46" s="27">
        <f>EscapeNew!AF45</f>
        <v>5239</v>
      </c>
      <c r="AH46" s="27">
        <f>EscapeNew!AG45</f>
        <v>1230</v>
      </c>
      <c r="AI46" s="27">
        <f>EscapeNew!AH45</f>
        <v>1777</v>
      </c>
      <c r="AJ46" s="27">
        <f>EscapeNew!AI45</f>
        <v>1799</v>
      </c>
      <c r="AK46" s="27">
        <f>EscapeNew!AJ45</f>
        <v>5117</v>
      </c>
      <c r="AL46" s="27">
        <f>EscapeNew!AK45</f>
        <v>1117</v>
      </c>
      <c r="AM46" s="27">
        <f>EscapeNew!AL45</f>
        <v>359</v>
      </c>
      <c r="AN46" s="27">
        <f>EscapeNew!AM45</f>
        <v>2393</v>
      </c>
      <c r="AO46" s="27">
        <f>EscapeNew!AN45</f>
        <v>2274</v>
      </c>
      <c r="AP46" s="27">
        <f>EscapeNew!AO45</f>
        <v>3151.8831486136241</v>
      </c>
      <c r="AQ46" s="27">
        <f>EscapeNew!AP45</f>
        <v>570.41445536496781</v>
      </c>
      <c r="AR46" s="27">
        <f>EscapeNew!AQ45</f>
        <v>896</v>
      </c>
      <c r="AS46" s="27">
        <f>EscapeNew!AR45</f>
        <v>2213</v>
      </c>
      <c r="AT46" s="27">
        <f>EscapeNew!AS45/StockList!F45</f>
        <v>2168</v>
      </c>
      <c r="AU46" s="27">
        <f>EscapeNew!AT45/StockList!G45</f>
        <v>2180</v>
      </c>
      <c r="AV46" s="27">
        <f>EscapeNew!AU45</f>
        <v>2028</v>
      </c>
      <c r="AW46" s="27">
        <f>EscapeNew!AV45</f>
        <v>1835</v>
      </c>
      <c r="AX46" s="27">
        <f t="shared" si="0"/>
        <v>2906.612899716521</v>
      </c>
    </row>
    <row r="47" spans="1:50" ht="9" customHeight="1" x14ac:dyDescent="0.2">
      <c r="A47" s="44" t="s">
        <v>163</v>
      </c>
      <c r="B47" s="41">
        <v>45</v>
      </c>
      <c r="C47" s="43">
        <v>8</v>
      </c>
      <c r="D47" s="45">
        <v>4</v>
      </c>
      <c r="E47" s="18" t="str">
        <f>EscapeNew!D46</f>
        <v>Summer 4.1</v>
      </c>
      <c r="F47" s="27">
        <f>EscapeNew!E46</f>
        <v>16453.490138332458</v>
      </c>
      <c r="G47" s="27">
        <f>EscapeNew!F46</f>
        <v>5722.5817857792035</v>
      </c>
      <c r="H47" s="27">
        <f>EscapeNew!G46</f>
        <v>8247.7248755065393</v>
      </c>
      <c r="I47" s="27">
        <f>EscapeNew!H46</f>
        <v>2894.0016513637815</v>
      </c>
      <c r="J47" s="27">
        <f>EscapeNew!I46</f>
        <v>5396</v>
      </c>
      <c r="K47" s="27">
        <f>EscapeNew!J46</f>
        <v>7582</v>
      </c>
      <c r="L47" s="27">
        <f>EscapeNew!K46</f>
        <v>10539</v>
      </c>
      <c r="M47" s="27">
        <f>EscapeNew!L46</f>
        <v>20762.996806371386</v>
      </c>
      <c r="N47" s="27">
        <f>EscapeNew!M46</f>
        <v>16851.490138332458</v>
      </c>
      <c r="O47" s="27">
        <f>EscapeNew!N46</f>
        <v>24624.955313719438</v>
      </c>
      <c r="P47" s="27">
        <f>EscapeNew!O46</f>
        <v>18442.260126793866</v>
      </c>
      <c r="Q47" s="27">
        <f>EscapeNew!P46</f>
        <v>22344.781229464086</v>
      </c>
      <c r="R47" s="27">
        <f>EscapeNew!Q46</f>
        <v>16621.490138332458</v>
      </c>
      <c r="S47" s="27">
        <f>EscapeNew!R46</f>
        <v>23130.627126953408</v>
      </c>
      <c r="T47" s="27">
        <f>EscapeNew!S46</f>
        <v>9415.5553073374376</v>
      </c>
      <c r="U47" s="27">
        <f>EscapeNew!T46</f>
        <v>29064.31794737744</v>
      </c>
      <c r="V47" s="27">
        <f>EscapeNew!U46</f>
        <v>16770.490138332458</v>
      </c>
      <c r="W47" s="27">
        <f>EscapeNew!V46</f>
        <v>35155.335868631308</v>
      </c>
      <c r="X47" s="27">
        <f>EscapeNew!W46</f>
        <v>22853.791506021036</v>
      </c>
      <c r="Y47" s="27">
        <f>EscapeNew!X46</f>
        <v>34643.800623849245</v>
      </c>
      <c r="Z47" s="27">
        <f>EscapeNew!Y46</f>
        <v>47660.04573773322</v>
      </c>
      <c r="AA47" s="27">
        <f>EscapeNew!Z46</f>
        <v>28061</v>
      </c>
      <c r="AB47" s="27">
        <f>EscapeNew!AA46</f>
        <v>36031.065214454575</v>
      </c>
      <c r="AC47" s="27">
        <f>EscapeNew!AB46</f>
        <v>54578</v>
      </c>
      <c r="AD47" s="27">
        <f>EscapeNew!AC46</f>
        <v>40255.703862911774</v>
      </c>
      <c r="AE47" s="27">
        <f>EscapeNew!AD46</f>
        <v>17168</v>
      </c>
      <c r="AF47" s="27">
        <f>EscapeNew!AE46</f>
        <v>18133</v>
      </c>
      <c r="AG47" s="27">
        <f>EscapeNew!AF46</f>
        <v>59328.527569860278</v>
      </c>
      <c r="AH47" s="27">
        <f>EscapeNew!AG46</f>
        <v>16168</v>
      </c>
      <c r="AI47" s="27">
        <f>EscapeNew!AH46</f>
        <v>15160.4560185185</v>
      </c>
      <c r="AJ47" s="27">
        <f>EscapeNew!AI46</f>
        <v>25530</v>
      </c>
      <c r="AK47" s="27">
        <f>EscapeNew!AJ46</f>
        <v>71682.652690934206</v>
      </c>
      <c r="AL47" s="27">
        <f>EscapeNew!AK46</f>
        <v>19218</v>
      </c>
      <c r="AM47" s="27">
        <f>EscapeNew!AL46</f>
        <v>4346</v>
      </c>
      <c r="AN47" s="27">
        <f>EscapeNew!AM46</f>
        <v>29061</v>
      </c>
      <c r="AO47" s="27">
        <f>EscapeNew!AN46</f>
        <v>44240</v>
      </c>
      <c r="AP47" s="27">
        <f>EscapeNew!AO46</f>
        <v>39716</v>
      </c>
      <c r="AQ47" s="27">
        <f>EscapeNew!AP46</f>
        <v>6735</v>
      </c>
      <c r="AR47" s="27">
        <f>EscapeNew!AQ46</f>
        <v>13731</v>
      </c>
      <c r="AS47" s="27">
        <f>EscapeNew!AR46</f>
        <v>17404</v>
      </c>
      <c r="AT47" s="27">
        <f>EscapeNew!AS46/StockList!F46</f>
        <v>29921</v>
      </c>
      <c r="AU47" s="27">
        <f>EscapeNew!AT46/StockList!G46</f>
        <v>25859</v>
      </c>
      <c r="AV47" s="27">
        <f>EscapeNew!AU46</f>
        <v>29763</v>
      </c>
      <c r="AW47" s="27">
        <f>EscapeNew!AV46</f>
        <v>34186</v>
      </c>
      <c r="AX47" s="27">
        <f t="shared" si="0"/>
        <v>24351.207768566153</v>
      </c>
    </row>
    <row r="48" spans="1:50" ht="9" customHeight="1" x14ac:dyDescent="0.2">
      <c r="A48" s="18" t="s">
        <v>147</v>
      </c>
      <c r="B48" s="41">
        <v>46</v>
      </c>
      <c r="C48" s="43">
        <v>8</v>
      </c>
      <c r="D48" s="41">
        <v>1</v>
      </c>
      <c r="E48" s="18" t="str">
        <f>EscapeNew!D47</f>
        <v>Spring 5.2</v>
      </c>
      <c r="F48" s="27">
        <f>EscapeNew!E47</f>
        <v>300</v>
      </c>
      <c r="G48" s="27">
        <f>EscapeNew!F47</f>
        <v>250</v>
      </c>
      <c r="H48" s="27">
        <f>EscapeNew!G47</f>
        <v>250</v>
      </c>
      <c r="I48" s="27">
        <f>EscapeNew!H47</f>
        <v>400</v>
      </c>
      <c r="J48" s="27">
        <f>EscapeNew!I47</f>
        <v>250</v>
      </c>
      <c r="K48" s="27">
        <f>EscapeNew!J47</f>
        <v>775</v>
      </c>
      <c r="L48" s="27">
        <f>EscapeNew!K47</f>
        <v>1250</v>
      </c>
      <c r="M48" s="27">
        <f>EscapeNew!L47</f>
        <v>1295</v>
      </c>
      <c r="N48" s="27">
        <f>EscapeNew!M47</f>
        <v>1175</v>
      </c>
      <c r="O48" s="27">
        <f>EscapeNew!N47</f>
        <v>1259</v>
      </c>
      <c r="P48" s="27">
        <f>EscapeNew!O47</f>
        <v>1004</v>
      </c>
      <c r="Q48" s="27">
        <f>EscapeNew!P47</f>
        <v>1477</v>
      </c>
      <c r="R48" s="27">
        <f>EscapeNew!Q47</f>
        <v>907</v>
      </c>
      <c r="S48" s="27">
        <f>EscapeNew!R47</f>
        <v>1474</v>
      </c>
      <c r="T48" s="27">
        <f>EscapeNew!S47</f>
        <v>1192</v>
      </c>
      <c r="U48" s="27">
        <f>EscapeNew!T47</f>
        <v>1200</v>
      </c>
      <c r="V48" s="27">
        <f>EscapeNew!U47</f>
        <v>700</v>
      </c>
      <c r="W48" s="27">
        <f>EscapeNew!V47</f>
        <v>780</v>
      </c>
      <c r="X48" s="27">
        <f>EscapeNew!W47</f>
        <v>915</v>
      </c>
      <c r="Y48" s="27">
        <f>EscapeNew!X47</f>
        <v>1004.1682930949113</v>
      </c>
      <c r="Z48" s="27">
        <f>EscapeNew!Y47</f>
        <v>624</v>
      </c>
      <c r="AA48" s="27">
        <f>EscapeNew!Z47</f>
        <v>1085</v>
      </c>
      <c r="AB48" s="27">
        <f>EscapeNew!AA47</f>
        <v>1397</v>
      </c>
      <c r="AC48" s="27">
        <f>EscapeNew!AB47</f>
        <v>1458</v>
      </c>
      <c r="AD48" s="27">
        <f>EscapeNew!AC47</f>
        <v>1583</v>
      </c>
      <c r="AE48" s="27">
        <f>EscapeNew!AD47</f>
        <v>867</v>
      </c>
      <c r="AF48" s="27">
        <f>EscapeNew!AE47</f>
        <v>427</v>
      </c>
      <c r="AG48" s="27">
        <f>EscapeNew!AF47</f>
        <v>521</v>
      </c>
      <c r="AH48" s="27">
        <f>EscapeNew!AG47</f>
        <v>334</v>
      </c>
      <c r="AI48" s="27">
        <f>EscapeNew!AH47</f>
        <v>655</v>
      </c>
      <c r="AJ48" s="27">
        <f>EscapeNew!AI47</f>
        <v>574</v>
      </c>
      <c r="AK48" s="27">
        <f>EscapeNew!AJ47</f>
        <v>1711</v>
      </c>
      <c r="AL48" s="27">
        <f>EscapeNew!AK47</f>
        <v>426</v>
      </c>
      <c r="AM48" s="27">
        <f>EscapeNew!AL47</f>
        <v>426</v>
      </c>
      <c r="AN48" s="27">
        <f>EscapeNew!AM47</f>
        <v>885</v>
      </c>
      <c r="AO48" s="27">
        <f>EscapeNew!AN47</f>
        <v>828</v>
      </c>
      <c r="AP48" s="27">
        <f>EscapeNew!AO47</f>
        <v>857</v>
      </c>
      <c r="AQ48" s="27">
        <f>EscapeNew!AP47</f>
        <v>268</v>
      </c>
      <c r="AR48" s="27">
        <f>EscapeNew!AQ47</f>
        <v>909</v>
      </c>
      <c r="AS48" s="27">
        <f>EscapeNew!AR47</f>
        <v>688</v>
      </c>
      <c r="AT48" s="27">
        <f>EscapeNew!AS47/StockList!F47</f>
        <v>772</v>
      </c>
      <c r="AU48" s="27">
        <f>EscapeNew!AT47/StockList!G47</f>
        <v>711</v>
      </c>
      <c r="AV48" s="27">
        <f>EscapeNew!AU47</f>
        <v>2526</v>
      </c>
      <c r="AW48" s="27">
        <f>EscapeNew!AV47</f>
        <v>669</v>
      </c>
      <c r="AX48" s="27">
        <f t="shared" si="0"/>
        <v>887.68564302488437</v>
      </c>
    </row>
    <row r="49" spans="1:50" ht="9" customHeight="1" x14ac:dyDescent="0.2">
      <c r="A49" s="18" t="s">
        <v>203</v>
      </c>
      <c r="B49" s="41">
        <v>47</v>
      </c>
      <c r="C49" s="43">
        <v>8</v>
      </c>
      <c r="D49" s="41">
        <v>1</v>
      </c>
      <c r="E49" s="18" t="str">
        <f>EscapeNew!D48</f>
        <v>Spring 5.2</v>
      </c>
      <c r="F49" s="27">
        <f>EscapeNew!E48</f>
        <v>300</v>
      </c>
      <c r="G49" s="27">
        <f>EscapeNew!F48</f>
        <v>360</v>
      </c>
      <c r="H49" s="27">
        <f>EscapeNew!G48</f>
        <v>300</v>
      </c>
      <c r="I49" s="27">
        <f>EscapeNew!H48</f>
        <v>700</v>
      </c>
      <c r="J49" s="27">
        <f>EscapeNew!I48</f>
        <v>300</v>
      </c>
      <c r="K49" s="27">
        <f>EscapeNew!J48</f>
        <v>850</v>
      </c>
      <c r="L49" s="27">
        <f>EscapeNew!K48</f>
        <v>1670</v>
      </c>
      <c r="M49" s="27">
        <f>EscapeNew!L48</f>
        <v>871</v>
      </c>
      <c r="N49" s="27">
        <f>EscapeNew!M48</f>
        <v>641</v>
      </c>
      <c r="O49" s="27">
        <f>EscapeNew!N48</f>
        <v>1252</v>
      </c>
      <c r="P49" s="27">
        <f>EscapeNew!O48</f>
        <v>1613</v>
      </c>
      <c r="Q49" s="27">
        <f>EscapeNew!P48</f>
        <v>1055</v>
      </c>
      <c r="R49" s="27">
        <f>EscapeNew!Q48</f>
        <v>643</v>
      </c>
      <c r="S49" s="27">
        <f>EscapeNew!R48</f>
        <v>300</v>
      </c>
      <c r="T49" s="27">
        <f>EscapeNew!S48</f>
        <v>2055</v>
      </c>
      <c r="U49" s="27">
        <f>EscapeNew!T48</f>
        <v>1261</v>
      </c>
      <c r="V49" s="27">
        <f>EscapeNew!U48</f>
        <v>669</v>
      </c>
      <c r="W49" s="27">
        <f>EscapeNew!V48</f>
        <v>659</v>
      </c>
      <c r="X49" s="27">
        <f>EscapeNew!W48</f>
        <v>563</v>
      </c>
      <c r="Y49" s="27">
        <f>EscapeNew!X48</f>
        <v>284</v>
      </c>
      <c r="Z49" s="27">
        <f>EscapeNew!Y48</f>
        <v>319</v>
      </c>
      <c r="AA49" s="27">
        <f>EscapeNew!Z48</f>
        <v>426</v>
      </c>
      <c r="AB49" s="27">
        <f>EscapeNew!AA48</f>
        <v>1365</v>
      </c>
      <c r="AC49" s="27">
        <f>EscapeNew!AB48</f>
        <v>971</v>
      </c>
      <c r="AD49" s="27">
        <f>EscapeNew!AC48</f>
        <v>151</v>
      </c>
      <c r="AE49" s="27">
        <f>EscapeNew!AD48</f>
        <v>395</v>
      </c>
      <c r="AF49" s="27">
        <f>EscapeNew!AE48</f>
        <v>426</v>
      </c>
      <c r="AG49" s="27">
        <f>EscapeNew!AF48</f>
        <v>618</v>
      </c>
      <c r="AH49" s="27">
        <f>EscapeNew!AG48</f>
        <v>278</v>
      </c>
      <c r="AI49" s="27">
        <f>EscapeNew!AH48</f>
        <v>554</v>
      </c>
      <c r="AJ49" s="27">
        <f>EscapeNew!AI48</f>
        <v>326</v>
      </c>
      <c r="AK49" s="27">
        <f>EscapeNew!AJ48</f>
        <v>654</v>
      </c>
      <c r="AL49" s="27">
        <f>EscapeNew!AK48</f>
        <v>174</v>
      </c>
      <c r="AM49" s="27">
        <f>EscapeNew!AL48</f>
        <v>333</v>
      </c>
      <c r="AN49" s="27">
        <f>EscapeNew!AM48</f>
        <v>679</v>
      </c>
      <c r="AO49" s="27">
        <f>EscapeNew!AN48</f>
        <v>848</v>
      </c>
      <c r="AP49" s="27">
        <f>EscapeNew!AO48</f>
        <v>181</v>
      </c>
      <c r="AQ49" s="27">
        <f>EscapeNew!AP48</f>
        <v>90</v>
      </c>
      <c r="AR49" s="27">
        <f>EscapeNew!AQ48</f>
        <v>218</v>
      </c>
      <c r="AS49" s="27">
        <f>EscapeNew!AR48</f>
        <v>179</v>
      </c>
      <c r="AT49" s="27">
        <f>EscapeNew!AS48/StockList!F48</f>
        <v>422</v>
      </c>
      <c r="AU49" s="27">
        <f>EscapeNew!AT48/StockList!G48</f>
        <v>393</v>
      </c>
      <c r="AV49" s="27">
        <f>EscapeNew!AU48</f>
        <v>457</v>
      </c>
      <c r="AW49" s="27">
        <f>EscapeNew!AV48</f>
        <v>544</v>
      </c>
      <c r="AX49" s="27">
        <f t="shared" si="0"/>
        <v>621.52272727272725</v>
      </c>
    </row>
    <row r="50" spans="1:50" ht="9" customHeight="1" x14ac:dyDescent="0.2">
      <c r="A50" s="44" t="s">
        <v>125</v>
      </c>
      <c r="B50" s="41">
        <v>48</v>
      </c>
      <c r="C50" s="43">
        <v>8</v>
      </c>
      <c r="D50" s="45">
        <v>4</v>
      </c>
      <c r="E50" s="18" t="str">
        <f>EscapeNew!D49</f>
        <v>Summer 4.1</v>
      </c>
      <c r="F50" s="27">
        <f>EscapeNew!E49</f>
        <v>1000</v>
      </c>
      <c r="G50" s="27">
        <f>EscapeNew!F49</f>
        <v>350</v>
      </c>
      <c r="H50" s="27">
        <f>EscapeNew!G49</f>
        <v>700</v>
      </c>
      <c r="I50" s="27">
        <f>EscapeNew!H49</f>
        <v>500</v>
      </c>
      <c r="J50" s="27">
        <f>EscapeNew!I49</f>
        <v>250</v>
      </c>
      <c r="K50" s="27">
        <f>EscapeNew!J49</f>
        <v>650</v>
      </c>
      <c r="L50" s="27">
        <f>EscapeNew!K49</f>
        <v>750</v>
      </c>
      <c r="M50" s="27">
        <f>EscapeNew!L49</f>
        <v>2500</v>
      </c>
      <c r="N50" s="27">
        <f>EscapeNew!M49</f>
        <v>2000</v>
      </c>
      <c r="O50" s="27">
        <f>EscapeNew!N49</f>
        <v>1600</v>
      </c>
      <c r="P50" s="27">
        <f>EscapeNew!O49</f>
        <v>1250</v>
      </c>
      <c r="Q50" s="27">
        <f>EscapeNew!P49</f>
        <v>1397</v>
      </c>
      <c r="R50" s="27">
        <f>EscapeNew!Q49</f>
        <v>2488</v>
      </c>
      <c r="S50" s="27">
        <f>EscapeNew!R49</f>
        <v>1245</v>
      </c>
      <c r="T50" s="27">
        <f>EscapeNew!S49</f>
        <v>885</v>
      </c>
      <c r="U50" s="27">
        <f>EscapeNew!T49</f>
        <v>1168</v>
      </c>
      <c r="V50" s="27">
        <f>EscapeNew!U49</f>
        <v>1900</v>
      </c>
      <c r="W50" s="27">
        <f>EscapeNew!V49</f>
        <v>2200</v>
      </c>
      <c r="X50" s="27">
        <f>EscapeNew!W49</f>
        <v>3397</v>
      </c>
      <c r="Y50" s="27">
        <f>EscapeNew!X49</f>
        <v>4182</v>
      </c>
      <c r="Z50" s="27">
        <f>EscapeNew!Y49</f>
        <v>2335</v>
      </c>
      <c r="AA50" s="27">
        <f>EscapeNew!Z49</f>
        <v>2266</v>
      </c>
      <c r="AB50" s="27">
        <f>EscapeNew!AA49</f>
        <v>5889</v>
      </c>
      <c r="AC50" s="27">
        <f>EscapeNew!AB49</f>
        <v>3090</v>
      </c>
      <c r="AD50" s="27">
        <f>EscapeNew!AC49</f>
        <v>1920</v>
      </c>
      <c r="AE50" s="27">
        <f>EscapeNew!AD49</f>
        <v>1704</v>
      </c>
      <c r="AF50" s="27">
        <f>EscapeNew!AE49</f>
        <v>3837</v>
      </c>
      <c r="AG50" s="27">
        <f>EscapeNew!AF49</f>
        <v>6344</v>
      </c>
      <c r="AH50" s="27">
        <f>EscapeNew!AG49</f>
        <v>3181</v>
      </c>
      <c r="AI50" s="27">
        <f>EscapeNew!AH49</f>
        <v>3474</v>
      </c>
      <c r="AJ50" s="27">
        <f>EscapeNew!AI49</f>
        <v>6397</v>
      </c>
      <c r="AK50" s="27">
        <f>EscapeNew!AJ49</f>
        <v>9691</v>
      </c>
      <c r="AL50" s="27">
        <f>EscapeNew!AK49</f>
        <v>4188</v>
      </c>
      <c r="AM50" s="27">
        <f>EscapeNew!AL49</f>
        <v>2835</v>
      </c>
      <c r="AN50" s="27">
        <f>EscapeNew!AM49</f>
        <v>6499</v>
      </c>
      <c r="AO50" s="27">
        <f>EscapeNew!AN49</f>
        <v>5322</v>
      </c>
      <c r="AP50" s="27">
        <f>EscapeNew!AO49</f>
        <v>12753</v>
      </c>
      <c r="AQ50" s="27">
        <f>EscapeNew!AP49</f>
        <v>3246</v>
      </c>
      <c r="AR50" s="27">
        <f>EscapeNew!AQ49</f>
        <v>4319</v>
      </c>
      <c r="AS50" s="27">
        <f>EscapeNew!AR49</f>
        <v>3406</v>
      </c>
      <c r="AT50" s="27">
        <f>EscapeNew!AS49/StockList!F49</f>
        <v>8448</v>
      </c>
      <c r="AU50" s="27">
        <f>EscapeNew!AT49/StockList!G49</f>
        <v>5252</v>
      </c>
      <c r="AV50" s="27">
        <f>EscapeNew!AU49</f>
        <v>6526</v>
      </c>
      <c r="AW50" s="27">
        <f>EscapeNew!AV49</f>
        <v>3117</v>
      </c>
      <c r="AX50" s="27">
        <f t="shared" si="0"/>
        <v>3328.431818181818</v>
      </c>
    </row>
    <row r="51" spans="1:50" ht="9" customHeight="1" x14ac:dyDescent="0.2">
      <c r="A51" s="44" t="s">
        <v>161</v>
      </c>
      <c r="B51" s="41">
        <v>49</v>
      </c>
      <c r="C51" s="43">
        <v>8</v>
      </c>
      <c r="D51" s="45">
        <v>4</v>
      </c>
      <c r="E51" s="18" t="str">
        <f>EscapeNew!D50</f>
        <v>Summer 4.1</v>
      </c>
      <c r="F51" s="27">
        <f>EscapeNew!E50</f>
        <v>700</v>
      </c>
      <c r="G51" s="27">
        <f>EscapeNew!F50</f>
        <v>400</v>
      </c>
      <c r="H51" s="27">
        <f>EscapeNew!G50</f>
        <v>400</v>
      </c>
      <c r="I51" s="27">
        <f>EscapeNew!H50</f>
        <v>100</v>
      </c>
      <c r="J51" s="27">
        <f>EscapeNew!I50</f>
        <v>100</v>
      </c>
      <c r="K51" s="27">
        <f>EscapeNew!J50</f>
        <v>250</v>
      </c>
      <c r="L51" s="27">
        <f>EscapeNew!K50</f>
        <v>450</v>
      </c>
      <c r="M51" s="27">
        <f>EscapeNew!L50</f>
        <v>350</v>
      </c>
      <c r="N51" s="27">
        <f>EscapeNew!M50</f>
        <v>200</v>
      </c>
      <c r="O51" s="27">
        <f>EscapeNew!N50</f>
        <v>400</v>
      </c>
      <c r="P51" s="27">
        <f>EscapeNew!O50</f>
        <v>400</v>
      </c>
      <c r="Q51" s="27">
        <f>EscapeNew!P50</f>
        <v>400</v>
      </c>
      <c r="R51" s="27">
        <f>EscapeNew!Q50</f>
        <v>250</v>
      </c>
      <c r="S51" s="27">
        <f>EscapeNew!R50</f>
        <v>600</v>
      </c>
      <c r="T51" s="27">
        <f>EscapeNew!S50</f>
        <v>2123.460852402151</v>
      </c>
      <c r="U51" s="27">
        <f>EscapeNew!T50</f>
        <v>491</v>
      </c>
      <c r="V51" s="27">
        <f>EscapeNew!U50</f>
        <v>150</v>
      </c>
      <c r="W51" s="27">
        <f>EscapeNew!V50</f>
        <v>3000</v>
      </c>
      <c r="X51" s="27">
        <f>EscapeNew!W50</f>
        <v>1358</v>
      </c>
      <c r="Y51" s="27">
        <f>EscapeNew!X50</f>
        <v>1246</v>
      </c>
      <c r="Z51" s="27">
        <f>EscapeNew!Y50</f>
        <v>1163</v>
      </c>
      <c r="AA51" s="27">
        <f>EscapeNew!Z50</f>
        <v>2043</v>
      </c>
      <c r="AB51" s="27">
        <f>EscapeNew!AA50</f>
        <v>9885</v>
      </c>
      <c r="AC51" s="27">
        <f>EscapeNew!AB50</f>
        <v>2799</v>
      </c>
      <c r="AD51" s="27">
        <f>EscapeNew!AC50</f>
        <v>2488</v>
      </c>
      <c r="AE51" s="27">
        <f>EscapeNew!AD50</f>
        <v>6014</v>
      </c>
      <c r="AF51" s="27">
        <f>EscapeNew!AE50</f>
        <v>9046</v>
      </c>
      <c r="AG51" s="27">
        <f>EscapeNew!AF50</f>
        <v>8590</v>
      </c>
      <c r="AH51" s="27">
        <f>EscapeNew!AG50</f>
        <v>7352</v>
      </c>
      <c r="AI51" s="27">
        <f>EscapeNew!AH50</f>
        <v>11446</v>
      </c>
      <c r="AJ51" s="27">
        <f>EscapeNew!AI50</f>
        <v>7286</v>
      </c>
      <c r="AK51" s="27">
        <f>EscapeNew!AJ50</f>
        <v>12454</v>
      </c>
      <c r="AL51" s="27">
        <f>EscapeNew!AK50</f>
        <v>16954</v>
      </c>
      <c r="AM51" s="27">
        <f>EscapeNew!AL50</f>
        <v>7196</v>
      </c>
      <c r="AN51" s="27">
        <f>EscapeNew!AM50</f>
        <v>17227</v>
      </c>
      <c r="AO51" s="27">
        <f>EscapeNew!AN50</f>
        <v>3411</v>
      </c>
      <c r="AP51" s="27">
        <f>EscapeNew!AO50</f>
        <v>25296</v>
      </c>
      <c r="AQ51" s="27">
        <f>EscapeNew!AP50</f>
        <v>20047</v>
      </c>
      <c r="AR51" s="27">
        <f>EscapeNew!AQ50</f>
        <v>22331</v>
      </c>
      <c r="AS51" s="27">
        <f>EscapeNew!AR50</f>
        <v>5577</v>
      </c>
      <c r="AT51" s="27">
        <f>EscapeNew!AS50/StockList!F50</f>
        <v>34190</v>
      </c>
      <c r="AU51" s="27">
        <f>EscapeNew!AT50/StockList!G50</f>
        <v>23054</v>
      </c>
      <c r="AV51" s="27">
        <f>EscapeNew!AU50</f>
        <v>39416</v>
      </c>
      <c r="AW51" s="27">
        <f>EscapeNew!AV50</f>
        <v>23604</v>
      </c>
      <c r="AX51" s="27">
        <f t="shared" si="0"/>
        <v>7550.8513830091397</v>
      </c>
    </row>
    <row r="52" spans="1:50" ht="9" customHeight="1" x14ac:dyDescent="0.2">
      <c r="A52" s="44" t="s">
        <v>189</v>
      </c>
      <c r="B52" s="41">
        <v>50</v>
      </c>
      <c r="C52" s="43">
        <v>8</v>
      </c>
      <c r="D52" s="45">
        <v>4</v>
      </c>
      <c r="E52" s="18" t="str">
        <f>EscapeNew!D51</f>
        <v>Summer 4.1</v>
      </c>
      <c r="F52" s="27">
        <f>EscapeNew!E51</f>
        <v>6000</v>
      </c>
      <c r="G52" s="27">
        <f>EscapeNew!F51</f>
        <v>3000</v>
      </c>
      <c r="H52" s="27">
        <f>EscapeNew!G51</f>
        <v>6000</v>
      </c>
      <c r="I52" s="27">
        <f>EscapeNew!H51</f>
        <v>3500</v>
      </c>
      <c r="J52" s="27">
        <f>EscapeNew!I51</f>
        <v>3000</v>
      </c>
      <c r="K52" s="27">
        <f>EscapeNew!J51</f>
        <v>6000</v>
      </c>
      <c r="L52" s="27">
        <f>EscapeNew!K51</f>
        <v>7000</v>
      </c>
      <c r="M52" s="27">
        <f>EscapeNew!L51</f>
        <v>6500</v>
      </c>
      <c r="N52" s="27">
        <f>EscapeNew!M51</f>
        <v>8500</v>
      </c>
      <c r="O52" s="27">
        <f>EscapeNew!N51</f>
        <v>12000</v>
      </c>
      <c r="P52" s="27">
        <f>EscapeNew!O51</f>
        <v>10000</v>
      </c>
      <c r="Q52" s="27">
        <f>EscapeNew!P51</f>
        <v>6000</v>
      </c>
      <c r="R52" s="27">
        <f>EscapeNew!Q51</f>
        <v>8000</v>
      </c>
      <c r="S52" s="27">
        <f>EscapeNew!R51</f>
        <v>12000</v>
      </c>
      <c r="T52" s="27">
        <f>EscapeNew!S51</f>
        <v>4000</v>
      </c>
      <c r="U52" s="27">
        <f>EscapeNew!T51</f>
        <v>2118</v>
      </c>
      <c r="V52" s="27">
        <f>EscapeNew!U51</f>
        <v>5500</v>
      </c>
      <c r="W52" s="27">
        <f>EscapeNew!V51</f>
        <v>21600</v>
      </c>
      <c r="X52" s="27">
        <f>EscapeNew!W51</f>
        <v>27000</v>
      </c>
      <c r="Y52" s="27">
        <f>EscapeNew!X51</f>
        <v>41306</v>
      </c>
      <c r="Z52" s="27">
        <f>EscapeNew!Y51</f>
        <v>13954</v>
      </c>
      <c r="AA52" s="27">
        <f>EscapeNew!Z51</f>
        <v>10806</v>
      </c>
      <c r="AB52" s="27">
        <f>EscapeNew!AA51</f>
        <v>22610</v>
      </c>
      <c r="AC52" s="27">
        <f>EscapeNew!AB51</f>
        <v>43804</v>
      </c>
      <c r="AD52" s="27">
        <f>EscapeNew!AC51</f>
        <v>38178</v>
      </c>
      <c r="AE52" s="27">
        <f>EscapeNew!AD51</f>
        <v>29733</v>
      </c>
      <c r="AF52" s="27">
        <f>EscapeNew!AE51</f>
        <v>61837</v>
      </c>
      <c r="AG52" s="27">
        <f>EscapeNew!AF51</f>
        <v>100384</v>
      </c>
      <c r="AH52" s="27">
        <f>EscapeNew!AG51</f>
        <v>45352</v>
      </c>
      <c r="AI52" s="27">
        <f>EscapeNew!AH51</f>
        <v>57280</v>
      </c>
      <c r="AJ52" s="27">
        <f>EscapeNew!AI51</f>
        <v>45036</v>
      </c>
      <c r="AK52" s="27">
        <f>EscapeNew!AJ51</f>
        <v>58851</v>
      </c>
      <c r="AL52" s="27">
        <f>EscapeNew!AK51</f>
        <v>84102</v>
      </c>
      <c r="AM52" s="27">
        <f>EscapeNew!AL51</f>
        <v>32952</v>
      </c>
      <c r="AN52" s="27">
        <f>EscapeNew!AM51</f>
        <v>63769</v>
      </c>
      <c r="AO52" s="27">
        <f>EscapeNew!AN51</f>
        <v>29107</v>
      </c>
      <c r="AP52" s="27">
        <f>EscapeNew!AO51</f>
        <v>96205</v>
      </c>
      <c r="AQ52" s="27">
        <f>EscapeNew!AP51</f>
        <v>62912</v>
      </c>
      <c r="AR52" s="27">
        <f>EscapeNew!AQ51</f>
        <v>43532</v>
      </c>
      <c r="AS52" s="27">
        <f>EscapeNew!AR51</f>
        <v>18340</v>
      </c>
      <c r="AT52" s="27">
        <f>EscapeNew!AS51/StockList!F51</f>
        <v>94589</v>
      </c>
      <c r="AU52" s="27">
        <f>EscapeNew!AT51/StockList!G51</f>
        <v>91590</v>
      </c>
      <c r="AV52" s="27">
        <f>EscapeNew!AU51</f>
        <v>98286</v>
      </c>
      <c r="AW52" s="27">
        <f>EscapeNew!AV51</f>
        <v>48478</v>
      </c>
      <c r="AX52" s="27">
        <f t="shared" si="0"/>
        <v>33879.795454545456</v>
      </c>
    </row>
    <row r="53" spans="1:50" ht="9" customHeight="1" x14ac:dyDescent="0.2">
      <c r="A53" s="44" t="s">
        <v>164</v>
      </c>
      <c r="B53" s="41">
        <v>51</v>
      </c>
      <c r="C53" s="43">
        <v>8</v>
      </c>
      <c r="D53" s="45">
        <v>4</v>
      </c>
      <c r="E53" s="18" t="str">
        <f>EscapeNew!D52</f>
        <v>Summer 4.1</v>
      </c>
      <c r="F53" s="27">
        <f>EscapeNew!E52</f>
        <v>3400.9344827838272</v>
      </c>
      <c r="G53" s="27">
        <f>EscapeNew!F52</f>
        <v>1400.6114975662097</v>
      </c>
      <c r="H53" s="27">
        <f>EscapeNew!G52</f>
        <v>2188.634084587407</v>
      </c>
      <c r="I53" s="27">
        <f>EscapeNew!H52</f>
        <v>1055.4962825168022</v>
      </c>
      <c r="J53" s="27">
        <f>EscapeNew!I52</f>
        <v>1258.7080810429895</v>
      </c>
      <c r="K53" s="27">
        <f>EscapeNew!J52</f>
        <v>2110.0821973988946</v>
      </c>
      <c r="L53" s="27">
        <f>EscapeNew!K52</f>
        <v>2749.2486812430861</v>
      </c>
      <c r="M53" s="27">
        <f>EscapeNew!L52</f>
        <v>4337.4353891550245</v>
      </c>
      <c r="N53" s="27">
        <f>EscapeNew!M52</f>
        <v>4110.7106414008067</v>
      </c>
      <c r="O53" s="27">
        <f>EscapeNew!N52</f>
        <v>5611.3866701840489</v>
      </c>
      <c r="P53" s="27">
        <f>EscapeNew!O52</f>
        <v>4454.7733544196499</v>
      </c>
      <c r="Q53" s="27">
        <f>EscapeNew!P52</f>
        <v>4855.1953070789896</v>
      </c>
      <c r="R53" s="27">
        <f>EscapeNew!Q52</f>
        <v>4650.4540059533247</v>
      </c>
      <c r="S53" s="27">
        <f>EscapeNew!R52</f>
        <v>5970.6793165844529</v>
      </c>
      <c r="T53" s="27">
        <f>EscapeNew!S52</f>
        <v>2735.7427177051318</v>
      </c>
      <c r="U53" s="27">
        <f>EscapeNew!T52</f>
        <v>5226.515841282092</v>
      </c>
      <c r="V53" s="27">
        <f>EscapeNew!U52</f>
        <v>3899.8986126440855</v>
      </c>
      <c r="W53" s="27">
        <f>EscapeNew!V52</f>
        <v>9365.5332070786772</v>
      </c>
      <c r="X53" s="27">
        <f>EscapeNew!W52</f>
        <v>8175.6055151302362</v>
      </c>
      <c r="Y53" s="27">
        <f>EscapeNew!X52</f>
        <v>11928.641221725613</v>
      </c>
      <c r="Z53" s="27">
        <f>EscapeNew!Y52</f>
        <v>1815</v>
      </c>
      <c r="AA53" s="27">
        <f>EscapeNew!Z52</f>
        <v>3205</v>
      </c>
      <c r="AB53" s="27">
        <f>EscapeNew!AA52</f>
        <v>6904</v>
      </c>
      <c r="AC53" s="27">
        <f>EscapeNew!AB52</f>
        <v>18927</v>
      </c>
      <c r="AD53" s="27">
        <f>EscapeNew!AC52</f>
        <v>12261.939547104917</v>
      </c>
      <c r="AE53" s="27">
        <f>EscapeNew!AD52</f>
        <v>10010</v>
      </c>
      <c r="AF53" s="27">
        <f>EscapeNew!AE52</f>
        <v>13079.66515020356</v>
      </c>
      <c r="AG53" s="27">
        <f>EscapeNew!AF52</f>
        <v>23646</v>
      </c>
      <c r="AH53" s="27">
        <f>EscapeNew!AG52</f>
        <v>8549</v>
      </c>
      <c r="AI53" s="27">
        <f>EscapeNew!AH52</f>
        <v>16898</v>
      </c>
      <c r="AJ53" s="27">
        <f>EscapeNew!AI52</f>
        <v>11821.359576065341</v>
      </c>
      <c r="AK53" s="27">
        <f>EscapeNew!AJ52</f>
        <v>12045</v>
      </c>
      <c r="AL53" s="27">
        <f>EscapeNew!AK52</f>
        <v>13783</v>
      </c>
      <c r="AM53" s="27">
        <f>EscapeNew!AL52</f>
        <v>5174</v>
      </c>
      <c r="AN53" s="27">
        <f>EscapeNew!AM52</f>
        <v>16367.643297936089</v>
      </c>
      <c r="AO53" s="27">
        <f>EscapeNew!AN52</f>
        <v>4433</v>
      </c>
      <c r="AP53" s="27">
        <f>EscapeNew!AO52</f>
        <v>13671</v>
      </c>
      <c r="AQ53" s="27">
        <f>EscapeNew!AP52</f>
        <v>5815</v>
      </c>
      <c r="AR53" s="27">
        <f>EscapeNew!AQ52</f>
        <v>11578.424381753877</v>
      </c>
      <c r="AS53" s="27">
        <f>EscapeNew!AR52</f>
        <v>9682</v>
      </c>
      <c r="AT53" s="27">
        <f>EscapeNew!AS52/StockList!F52</f>
        <v>3694</v>
      </c>
      <c r="AU53" s="27">
        <f>EscapeNew!AT52/StockList!G52</f>
        <v>20170.552754423425</v>
      </c>
      <c r="AV53" s="27">
        <f>EscapeNew!AU52</f>
        <v>23983.006044362803</v>
      </c>
      <c r="AW53" s="27">
        <f>EscapeNew!AV52</f>
        <v>15160.20334252222</v>
      </c>
      <c r="AX53" s="27">
        <f t="shared" si="0"/>
        <v>8458.1836636784883</v>
      </c>
    </row>
    <row r="54" spans="1:50" ht="9" customHeight="1" x14ac:dyDescent="0.2">
      <c r="A54" s="18" t="s">
        <v>144</v>
      </c>
      <c r="B54" s="41">
        <v>52</v>
      </c>
      <c r="C54" s="43">
        <v>9</v>
      </c>
      <c r="D54" s="41">
        <v>3</v>
      </c>
      <c r="E54" s="18" t="str">
        <f>EscapeNew!D53</f>
        <v>Spring 4.2</v>
      </c>
      <c r="F54" s="27">
        <f>EscapeNew!E53</f>
        <v>50</v>
      </c>
      <c r="G54" s="27">
        <f>EscapeNew!F53</f>
        <v>250</v>
      </c>
      <c r="H54" s="27">
        <f>EscapeNew!G53</f>
        <v>25</v>
      </c>
      <c r="I54" s="27">
        <f>EscapeNew!H53</f>
        <v>600</v>
      </c>
      <c r="J54" s="27">
        <f>EscapeNew!I53</f>
        <v>162</v>
      </c>
      <c r="K54" s="27">
        <f>EscapeNew!J53</f>
        <v>1626</v>
      </c>
      <c r="L54" s="27">
        <f>EscapeNew!K53</f>
        <v>1501</v>
      </c>
      <c r="M54" s="27">
        <f>EscapeNew!L53</f>
        <v>1026</v>
      </c>
      <c r="N54" s="27">
        <f>EscapeNew!M53</f>
        <v>541</v>
      </c>
      <c r="O54" s="27">
        <f>EscapeNew!N53</f>
        <v>1287</v>
      </c>
      <c r="P54" s="27">
        <f>EscapeNew!O53</f>
        <v>644</v>
      </c>
      <c r="Q54" s="27">
        <f>EscapeNew!P53</f>
        <v>532</v>
      </c>
      <c r="R54" s="27">
        <f>EscapeNew!Q53</f>
        <v>522</v>
      </c>
      <c r="S54" s="27">
        <f>EscapeNew!R53</f>
        <v>379</v>
      </c>
      <c r="T54" s="27">
        <f>EscapeNew!S53</f>
        <v>1708</v>
      </c>
      <c r="U54" s="27">
        <f>EscapeNew!T53</f>
        <v>1563</v>
      </c>
      <c r="V54" s="27">
        <f>EscapeNew!U53</f>
        <v>888</v>
      </c>
      <c r="W54" s="27">
        <f>EscapeNew!V53</f>
        <v>1988</v>
      </c>
      <c r="X54" s="27">
        <f>EscapeNew!W53</f>
        <v>1569</v>
      </c>
      <c r="Y54" s="27">
        <f>EscapeNew!X53</f>
        <v>765</v>
      </c>
      <c r="Z54" s="27">
        <f>EscapeNew!Y53</f>
        <v>812</v>
      </c>
      <c r="AA54" s="27">
        <f>EscapeNew!Z53</f>
        <v>715</v>
      </c>
      <c r="AB54" s="27">
        <f>EscapeNew!AA53</f>
        <v>1207</v>
      </c>
      <c r="AC54" s="27">
        <f>EscapeNew!AB53</f>
        <v>528</v>
      </c>
      <c r="AD54" s="27">
        <f>EscapeNew!AC53</f>
        <v>2044</v>
      </c>
      <c r="AE54" s="27">
        <f>EscapeNew!AD53</f>
        <v>1155</v>
      </c>
      <c r="AF54" s="27">
        <f>EscapeNew!AE53</f>
        <v>427</v>
      </c>
      <c r="AG54" s="27">
        <f>EscapeNew!AF53</f>
        <v>1237</v>
      </c>
      <c r="AH54" s="27">
        <f>EscapeNew!AG53</f>
        <v>296</v>
      </c>
      <c r="AI54" s="27">
        <f>EscapeNew!AH53</f>
        <v>1308</v>
      </c>
      <c r="AJ54" s="27">
        <f>EscapeNew!AI53</f>
        <v>189</v>
      </c>
      <c r="AK54" s="27">
        <f>EscapeNew!AJ53</f>
        <v>1120</v>
      </c>
      <c r="AL54" s="27">
        <f>EscapeNew!AK53</f>
        <v>413</v>
      </c>
      <c r="AM54" s="27">
        <f>EscapeNew!AL53</f>
        <v>948</v>
      </c>
      <c r="AN54" s="27">
        <f>EscapeNew!AM53</f>
        <v>252</v>
      </c>
      <c r="AO54" s="27">
        <f>EscapeNew!AN53</f>
        <v>2282</v>
      </c>
      <c r="AP54" s="27">
        <f>EscapeNew!AO53</f>
        <v>431</v>
      </c>
      <c r="AQ54" s="27">
        <f>EscapeNew!AP53</f>
        <v>720.2437110786525</v>
      </c>
      <c r="AR54" s="27">
        <f>EscapeNew!AQ53</f>
        <v>424.02324036821983</v>
      </c>
      <c r="AS54" s="27">
        <f>EscapeNew!AR53</f>
        <v>251</v>
      </c>
      <c r="AT54" s="27">
        <f>EscapeNew!AS53/StockList!F53</f>
        <v>448</v>
      </c>
      <c r="AU54" s="27">
        <f>EscapeNew!AT53/StockList!G53</f>
        <v>431</v>
      </c>
      <c r="AV54" s="27">
        <f>EscapeNew!AU53</f>
        <v>615</v>
      </c>
      <c r="AW54" s="27">
        <f>EscapeNew!AV53</f>
        <v>1441</v>
      </c>
      <c r="AX54" s="27">
        <f t="shared" si="0"/>
        <v>848.18788526015624</v>
      </c>
    </row>
    <row r="55" spans="1:50" ht="9" customHeight="1" x14ac:dyDescent="0.2">
      <c r="A55" s="44" t="s">
        <v>131</v>
      </c>
      <c r="B55" s="41">
        <v>53</v>
      </c>
      <c r="C55" s="43">
        <v>9</v>
      </c>
      <c r="D55" s="45">
        <v>3</v>
      </c>
      <c r="E55" s="18" t="str">
        <f>EscapeNew!D54</f>
        <v>Spring 4.2</v>
      </c>
      <c r="F55" s="27">
        <f>EscapeNew!E54</f>
        <v>0</v>
      </c>
      <c r="G55" s="27">
        <f>EscapeNew!F54</f>
        <v>75</v>
      </c>
      <c r="H55" s="27">
        <f>EscapeNew!G54</f>
        <v>25</v>
      </c>
      <c r="I55" s="27">
        <f>EscapeNew!H54</f>
        <v>150</v>
      </c>
      <c r="J55" s="27">
        <f>EscapeNew!I54</f>
        <v>32</v>
      </c>
      <c r="K55" s="27">
        <f>EscapeNew!J54</f>
        <v>818</v>
      </c>
      <c r="L55" s="27">
        <f>EscapeNew!K54</f>
        <v>800</v>
      </c>
      <c r="M55" s="27">
        <f>EscapeNew!L54</f>
        <v>1379</v>
      </c>
      <c r="N55" s="27">
        <f>EscapeNew!M54</f>
        <v>520</v>
      </c>
      <c r="O55" s="27">
        <f>EscapeNew!N54</f>
        <v>863</v>
      </c>
      <c r="P55" s="27">
        <f>EscapeNew!O54</f>
        <v>1062</v>
      </c>
      <c r="Q55" s="27">
        <f>EscapeNew!P54</f>
        <v>584</v>
      </c>
      <c r="R55" s="27">
        <f>EscapeNew!Q54</f>
        <v>2292</v>
      </c>
      <c r="S55" s="27">
        <f>EscapeNew!R54</f>
        <v>1936</v>
      </c>
      <c r="T55" s="27">
        <f>EscapeNew!S54</f>
        <v>3672.6617888053679</v>
      </c>
      <c r="U55" s="27">
        <f>EscapeNew!T54</f>
        <v>4503</v>
      </c>
      <c r="V55" s="27">
        <f>EscapeNew!U54</f>
        <v>4385</v>
      </c>
      <c r="W55" s="27">
        <f>EscapeNew!V54</f>
        <v>4673</v>
      </c>
      <c r="X55" s="27">
        <f>EscapeNew!W54</f>
        <v>9561</v>
      </c>
      <c r="Y55" s="27">
        <f>EscapeNew!X54</f>
        <v>1961</v>
      </c>
      <c r="Z55" s="27">
        <f>EscapeNew!Y54</f>
        <v>1979</v>
      </c>
      <c r="AA55" s="27">
        <f>EscapeNew!Z54</f>
        <v>5328</v>
      </c>
      <c r="AB55" s="27">
        <f>EscapeNew!AA54</f>
        <v>6285</v>
      </c>
      <c r="AC55" s="27">
        <f>EscapeNew!AB54</f>
        <v>8370</v>
      </c>
      <c r="AD55" s="27">
        <f>EscapeNew!AC54</f>
        <v>9609</v>
      </c>
      <c r="AE55" s="27">
        <f>EscapeNew!AD54</f>
        <v>6130</v>
      </c>
      <c r="AF55" s="27">
        <f>EscapeNew!AE54</f>
        <v>4891</v>
      </c>
      <c r="AG55" s="27">
        <f>EscapeNew!AF54</f>
        <v>1954</v>
      </c>
      <c r="AH55" s="27">
        <f>EscapeNew!AG54</f>
        <v>1081</v>
      </c>
      <c r="AI55" s="27">
        <f>EscapeNew!AH54</f>
        <v>5421</v>
      </c>
      <c r="AJ55" s="27">
        <f>EscapeNew!AI54</f>
        <v>1288</v>
      </c>
      <c r="AK55" s="27">
        <f>EscapeNew!AJ54</f>
        <v>2412</v>
      </c>
      <c r="AL55" s="27">
        <f>EscapeNew!AK54</f>
        <v>1750</v>
      </c>
      <c r="AM55" s="27">
        <f>EscapeNew!AL54</f>
        <v>3075</v>
      </c>
      <c r="AN55" s="27">
        <f>EscapeNew!AM54</f>
        <v>2518</v>
      </c>
      <c r="AO55" s="27">
        <f>EscapeNew!AN54</f>
        <v>12651</v>
      </c>
      <c r="AP55" s="27">
        <f>EscapeNew!AO54</f>
        <v>5475</v>
      </c>
      <c r="AQ55" s="27">
        <f>EscapeNew!AP54</f>
        <v>5249</v>
      </c>
      <c r="AR55" s="27">
        <f>EscapeNew!AQ54</f>
        <v>2903</v>
      </c>
      <c r="AS55" s="27">
        <f>EscapeNew!AR54</f>
        <v>5</v>
      </c>
      <c r="AT55" s="27">
        <f>EscapeNew!AS54/StockList!F54</f>
        <v>960</v>
      </c>
      <c r="AU55" s="27">
        <f>EscapeNew!AT54/StockList!G54</f>
        <v>3448</v>
      </c>
      <c r="AV55" s="27">
        <f>EscapeNew!AU54</f>
        <v>1304</v>
      </c>
      <c r="AW55" s="27">
        <f>EscapeNew!AV54</f>
        <v>372</v>
      </c>
      <c r="AX55" s="27">
        <f t="shared" si="0"/>
        <v>3039.7650406546672</v>
      </c>
    </row>
    <row r="56" spans="1:50" ht="9" customHeight="1" x14ac:dyDescent="0.2">
      <c r="A56" s="18" t="s">
        <v>142</v>
      </c>
      <c r="B56" s="41">
        <v>54</v>
      </c>
      <c r="C56" s="43">
        <v>9</v>
      </c>
      <c r="D56" s="41">
        <v>3</v>
      </c>
      <c r="E56" s="18" t="str">
        <f>EscapeNew!D55</f>
        <v>Spring 4.2</v>
      </c>
      <c r="F56" s="27">
        <f>EscapeNew!E55</f>
        <v>300</v>
      </c>
      <c r="G56" s="27">
        <f>EscapeNew!F55</f>
        <v>710</v>
      </c>
      <c r="H56" s="27">
        <f>EscapeNew!G55</f>
        <v>200</v>
      </c>
      <c r="I56" s="27">
        <f>EscapeNew!H55</f>
        <v>800</v>
      </c>
      <c r="J56" s="27">
        <f>EscapeNew!I55</f>
        <v>547</v>
      </c>
      <c r="K56" s="27">
        <f>EscapeNew!J55</f>
        <v>598</v>
      </c>
      <c r="L56" s="27">
        <f>EscapeNew!K55</f>
        <v>2061</v>
      </c>
      <c r="M56" s="27">
        <f>EscapeNew!L55</f>
        <v>2234</v>
      </c>
      <c r="N56" s="27">
        <f>EscapeNew!M55</f>
        <v>709</v>
      </c>
      <c r="O56" s="27">
        <f>EscapeNew!N55</f>
        <v>279</v>
      </c>
      <c r="P56" s="27">
        <f>EscapeNew!O55</f>
        <v>1200</v>
      </c>
      <c r="Q56" s="27">
        <f>EscapeNew!P55</f>
        <v>411</v>
      </c>
      <c r="R56" s="27">
        <f>EscapeNew!Q55</f>
        <v>399</v>
      </c>
      <c r="S56" s="27">
        <f>EscapeNew!R55</f>
        <v>1424</v>
      </c>
      <c r="T56" s="27">
        <f>EscapeNew!S55</f>
        <v>1594</v>
      </c>
      <c r="U56" s="27">
        <f>EscapeNew!T55</f>
        <v>365</v>
      </c>
      <c r="V56" s="27">
        <f>EscapeNew!U55</f>
        <v>1130</v>
      </c>
      <c r="W56" s="27">
        <f>EscapeNew!V55</f>
        <v>1593</v>
      </c>
      <c r="X56" s="27">
        <f>EscapeNew!W55</f>
        <v>505</v>
      </c>
      <c r="Y56" s="27">
        <f>EscapeNew!X55</f>
        <v>398</v>
      </c>
      <c r="Z56" s="27">
        <f>EscapeNew!Y55</f>
        <v>277</v>
      </c>
      <c r="AA56" s="27">
        <f>EscapeNew!Z55</f>
        <v>580</v>
      </c>
      <c r="AB56" s="27">
        <f>EscapeNew!AA55</f>
        <v>855</v>
      </c>
      <c r="AC56" s="27">
        <f>EscapeNew!AB55</f>
        <v>1417</v>
      </c>
      <c r="AD56" s="27">
        <f>EscapeNew!AC55</f>
        <v>1290</v>
      </c>
      <c r="AE56" s="27">
        <f>EscapeNew!AD55</f>
        <v>1083</v>
      </c>
      <c r="AF56" s="27">
        <f>EscapeNew!AE55</f>
        <v>174</v>
      </c>
      <c r="AG56" s="27">
        <f>EscapeNew!AF55</f>
        <v>573</v>
      </c>
      <c r="AH56" s="27">
        <f>EscapeNew!AG55</f>
        <v>79</v>
      </c>
      <c r="AI56" s="27">
        <f>EscapeNew!AH55</f>
        <v>463</v>
      </c>
      <c r="AJ56" s="27">
        <f>EscapeNew!AI55</f>
        <v>60</v>
      </c>
      <c r="AK56" s="27">
        <f>EscapeNew!AJ55</f>
        <v>334</v>
      </c>
      <c r="AL56" s="27">
        <f>EscapeNew!AK55</f>
        <v>259</v>
      </c>
      <c r="AM56" s="27">
        <f>EscapeNew!AL55</f>
        <v>861</v>
      </c>
      <c r="AN56" s="27">
        <f>EscapeNew!AM55</f>
        <v>235</v>
      </c>
      <c r="AO56" s="27">
        <f>EscapeNew!AN55</f>
        <v>1213</v>
      </c>
      <c r="AP56" s="27">
        <f>EscapeNew!AO55</f>
        <v>119</v>
      </c>
      <c r="AQ56" s="27">
        <f>EscapeNew!AP55</f>
        <v>532</v>
      </c>
      <c r="AR56" s="27">
        <f>EscapeNew!AQ55</f>
        <v>132</v>
      </c>
      <c r="AS56" s="27">
        <f>EscapeNew!AR55</f>
        <v>155</v>
      </c>
      <c r="AT56" s="27">
        <f>EscapeNew!AS55/StockList!F55</f>
        <v>327</v>
      </c>
      <c r="AU56" s="27">
        <f>EscapeNew!AT55/StockList!G55</f>
        <v>375</v>
      </c>
      <c r="AV56" s="27">
        <f>EscapeNew!AU55</f>
        <v>149</v>
      </c>
      <c r="AW56" s="27">
        <f>EscapeNew!AV55</f>
        <v>412</v>
      </c>
      <c r="AX56" s="27">
        <f t="shared" si="0"/>
        <v>668.43181818181813</v>
      </c>
    </row>
    <row r="57" spans="1:50" ht="9" customHeight="1" x14ac:dyDescent="0.2">
      <c r="A57" s="18" t="s">
        <v>190</v>
      </c>
      <c r="B57" s="41">
        <v>55</v>
      </c>
      <c r="C57" s="43">
        <v>9</v>
      </c>
      <c r="D57" s="41">
        <v>3</v>
      </c>
      <c r="E57" s="18" t="str">
        <f>EscapeNew!D56</f>
        <v>Spring 4.2</v>
      </c>
      <c r="F57" s="27">
        <f>EscapeNew!E56</f>
        <v>50</v>
      </c>
      <c r="G57" s="27">
        <f>EscapeNew!F56</f>
        <v>200</v>
      </c>
      <c r="H57" s="27">
        <f>EscapeNew!G56</f>
        <v>100</v>
      </c>
      <c r="I57" s="27">
        <f>EscapeNew!H56</f>
        <v>200</v>
      </c>
      <c r="J57" s="27">
        <f>EscapeNew!I56</f>
        <v>102</v>
      </c>
      <c r="K57" s="27">
        <f>EscapeNew!J56</f>
        <v>256</v>
      </c>
      <c r="L57" s="27">
        <f>EscapeNew!K56</f>
        <v>100</v>
      </c>
      <c r="M57" s="27">
        <f>EscapeNew!L56</f>
        <v>484</v>
      </c>
      <c r="N57" s="27">
        <f>EscapeNew!M56</f>
        <v>475</v>
      </c>
      <c r="O57" s="27">
        <f>EscapeNew!N56</f>
        <v>222</v>
      </c>
      <c r="P57" s="27">
        <f>EscapeNew!O56</f>
        <v>661</v>
      </c>
      <c r="Q57" s="27">
        <f>EscapeNew!P56</f>
        <v>107</v>
      </c>
      <c r="R57" s="27">
        <f>EscapeNew!Q56</f>
        <v>326</v>
      </c>
      <c r="S57" s="27">
        <f>EscapeNew!R56</f>
        <v>320</v>
      </c>
      <c r="T57" s="27">
        <f>EscapeNew!S56</f>
        <v>965</v>
      </c>
      <c r="U57" s="27">
        <f>EscapeNew!T56</f>
        <v>379</v>
      </c>
      <c r="V57" s="27">
        <f>EscapeNew!U56</f>
        <v>650</v>
      </c>
      <c r="W57" s="27">
        <f>EscapeNew!V56</f>
        <v>684</v>
      </c>
      <c r="X57" s="27">
        <f>EscapeNew!W56</f>
        <v>636</v>
      </c>
      <c r="Y57" s="27">
        <f>EscapeNew!X56</f>
        <v>446</v>
      </c>
      <c r="Z57" s="27">
        <f>EscapeNew!Y56</f>
        <v>166</v>
      </c>
      <c r="AA57" s="27">
        <f>EscapeNew!Z56</f>
        <v>766</v>
      </c>
      <c r="AB57" s="27">
        <f>EscapeNew!AA56</f>
        <v>709</v>
      </c>
      <c r="AC57" s="27">
        <f>EscapeNew!AB56</f>
        <v>932</v>
      </c>
      <c r="AD57" s="27">
        <f>EscapeNew!AC56</f>
        <v>1242</v>
      </c>
      <c r="AE57" s="27">
        <f>EscapeNew!AD56</f>
        <v>1950</v>
      </c>
      <c r="AF57" s="27">
        <f>EscapeNew!AE56</f>
        <v>288</v>
      </c>
      <c r="AG57" s="27">
        <f>EscapeNew!AF56</f>
        <v>633</v>
      </c>
      <c r="AH57" s="27">
        <f>EscapeNew!AG56</f>
        <v>52</v>
      </c>
      <c r="AI57" s="27">
        <f>EscapeNew!AH56</f>
        <v>292</v>
      </c>
      <c r="AJ57" s="27">
        <f>EscapeNew!AI56</f>
        <v>251</v>
      </c>
      <c r="AK57" s="27">
        <f>EscapeNew!AJ56</f>
        <v>256</v>
      </c>
      <c r="AL57" s="27">
        <f>EscapeNew!AK56</f>
        <v>46</v>
      </c>
      <c r="AM57" s="27">
        <f>EscapeNew!AL56</f>
        <v>718</v>
      </c>
      <c r="AN57" s="27">
        <f>EscapeNew!AM56</f>
        <v>414</v>
      </c>
      <c r="AO57" s="27">
        <f>EscapeNew!AN56</f>
        <v>1175</v>
      </c>
      <c r="AP57" s="27">
        <f>EscapeNew!AO56</f>
        <v>300</v>
      </c>
      <c r="AQ57" s="27">
        <f>EscapeNew!AP56</f>
        <v>342</v>
      </c>
      <c r="AR57" s="27">
        <f>EscapeNew!AQ56</f>
        <v>123</v>
      </c>
      <c r="AS57" s="27">
        <f>EscapeNew!AR56</f>
        <v>110</v>
      </c>
      <c r="AT57" s="27">
        <f>EscapeNew!AS56/StockList!F56</f>
        <v>293</v>
      </c>
      <c r="AU57" s="27">
        <f>EscapeNew!AT56/StockList!G56</f>
        <v>270</v>
      </c>
      <c r="AV57" s="27">
        <f>EscapeNew!AU56</f>
        <v>229</v>
      </c>
      <c r="AW57" s="27">
        <f>EscapeNew!AV56</f>
        <v>552</v>
      </c>
      <c r="AX57" s="27">
        <f t="shared" si="0"/>
        <v>442.54545454545456</v>
      </c>
    </row>
    <row r="58" spans="1:50" ht="9" customHeight="1" x14ac:dyDescent="0.2">
      <c r="A58" s="44" t="s">
        <v>175</v>
      </c>
      <c r="B58" s="41">
        <v>56</v>
      </c>
      <c r="C58" s="43">
        <v>9</v>
      </c>
      <c r="D58" s="45">
        <v>3</v>
      </c>
      <c r="E58" s="18" t="str">
        <f>EscapeNew!D57</f>
        <v>Spring 4.2</v>
      </c>
      <c r="F58" s="27">
        <f>EscapeNew!E57</f>
        <v>3017</v>
      </c>
      <c r="G58" s="27">
        <f>EscapeNew!F57</f>
        <v>6180</v>
      </c>
      <c r="H58" s="27">
        <f>EscapeNew!G57</f>
        <v>3258</v>
      </c>
      <c r="I58" s="27">
        <f>EscapeNew!H57</f>
        <v>4737</v>
      </c>
      <c r="J58" s="27">
        <f>EscapeNew!I57</f>
        <v>2407</v>
      </c>
      <c r="K58" s="27">
        <f>EscapeNew!J57</f>
        <v>4679</v>
      </c>
      <c r="L58" s="27">
        <f>EscapeNew!K57</f>
        <v>7088</v>
      </c>
      <c r="M58" s="27">
        <f>EscapeNew!L57</f>
        <v>8180</v>
      </c>
      <c r="N58" s="27">
        <f>EscapeNew!M57</f>
        <v>4823</v>
      </c>
      <c r="O58" s="27">
        <f>EscapeNew!N57</f>
        <v>3701</v>
      </c>
      <c r="P58" s="27">
        <f>EscapeNew!O57</f>
        <v>4972</v>
      </c>
      <c r="Q58" s="27">
        <f>EscapeNew!P57</f>
        <v>3419</v>
      </c>
      <c r="R58" s="27">
        <f>EscapeNew!Q57</f>
        <v>3599</v>
      </c>
      <c r="S58" s="27">
        <f>EscapeNew!R57</f>
        <v>5745</v>
      </c>
      <c r="T58" s="27">
        <f>EscapeNew!S57</f>
        <v>5202</v>
      </c>
      <c r="U58" s="27">
        <f>EscapeNew!T57</f>
        <v>9653</v>
      </c>
      <c r="V58" s="27">
        <f>EscapeNew!U57</f>
        <v>10774</v>
      </c>
      <c r="W58" s="27">
        <f>EscapeNew!V57</f>
        <v>17983</v>
      </c>
      <c r="X58" s="27">
        <f>EscapeNew!W57</f>
        <v>9747</v>
      </c>
      <c r="Y58" s="27">
        <f>EscapeNew!X57</f>
        <v>1724</v>
      </c>
      <c r="Z58" s="27">
        <f>EscapeNew!Y57</f>
        <v>8281</v>
      </c>
      <c r="AA58" s="27">
        <f>EscapeNew!Z57</f>
        <v>8309</v>
      </c>
      <c r="AB58" s="27">
        <f>EscapeNew!AA57</f>
        <v>9105</v>
      </c>
      <c r="AC58" s="27">
        <f>EscapeNew!AB57</f>
        <v>13022</v>
      </c>
      <c r="AD58" s="27">
        <f>EscapeNew!AC57</f>
        <v>14630</v>
      </c>
      <c r="AE58" s="27">
        <f>EscapeNew!AD57</f>
        <v>10258</v>
      </c>
      <c r="AF58" s="27">
        <f>EscapeNew!AE57</f>
        <v>3368</v>
      </c>
      <c r="AG58" s="27">
        <f>EscapeNew!AF57</f>
        <v>5211</v>
      </c>
      <c r="AH58" s="27">
        <f>EscapeNew!AG57</f>
        <v>1126</v>
      </c>
      <c r="AI58" s="27">
        <f>EscapeNew!AH57</f>
        <v>4534</v>
      </c>
      <c r="AJ58" s="27">
        <f>EscapeNew!AI57</f>
        <v>694</v>
      </c>
      <c r="AK58" s="27">
        <f>EscapeNew!AJ57</f>
        <v>5410</v>
      </c>
      <c r="AL58" s="27">
        <f>EscapeNew!AK57</f>
        <v>2880</v>
      </c>
      <c r="AM58" s="27">
        <f>EscapeNew!AL57</f>
        <v>5842</v>
      </c>
      <c r="AN58" s="27">
        <f>EscapeNew!AM57</f>
        <v>3612</v>
      </c>
      <c r="AO58" s="27">
        <f>EscapeNew!AN57</f>
        <v>7249</v>
      </c>
      <c r="AP58" s="27">
        <f>EscapeNew!AO57</f>
        <v>4963</v>
      </c>
      <c r="AQ58" s="27">
        <f>EscapeNew!AP57</f>
        <v>2299</v>
      </c>
      <c r="AR58" s="27">
        <f>EscapeNew!AQ57</f>
        <v>1853</v>
      </c>
      <c r="AS58" s="27">
        <f>EscapeNew!AR57</f>
        <v>1775</v>
      </c>
      <c r="AT58" s="27">
        <f>EscapeNew!AS57/StockList!F57</f>
        <v>4030</v>
      </c>
      <c r="AU58" s="27">
        <f>EscapeNew!AT57/StockList!G57</f>
        <v>4134</v>
      </c>
      <c r="AV58" s="27">
        <f>EscapeNew!AU57</f>
        <v>4179</v>
      </c>
      <c r="AW58" s="27">
        <f>EscapeNew!AV57</f>
        <v>7608</v>
      </c>
      <c r="AX58" s="27">
        <f t="shared" si="0"/>
        <v>5801.363636363636</v>
      </c>
    </row>
    <row r="59" spans="1:50" ht="9" customHeight="1" x14ac:dyDescent="0.2">
      <c r="A59" s="44" t="s">
        <v>170</v>
      </c>
      <c r="B59" s="41">
        <v>57</v>
      </c>
      <c r="C59" s="43">
        <v>10</v>
      </c>
      <c r="D59" s="45">
        <v>1</v>
      </c>
      <c r="E59" s="18" t="str">
        <f>EscapeNew!D58</f>
        <v>Spring 5.2</v>
      </c>
      <c r="F59" s="27">
        <f>EscapeNew!E58</f>
        <v>25</v>
      </c>
      <c r="G59" s="27">
        <f>EscapeNew!F58</f>
        <v>200</v>
      </c>
      <c r="H59" s="27">
        <f>EscapeNew!G58</f>
        <v>30</v>
      </c>
      <c r="I59" s="27">
        <f>EscapeNew!H58</f>
        <v>16</v>
      </c>
      <c r="J59" s="27">
        <f>EscapeNew!I58</f>
        <v>30</v>
      </c>
      <c r="K59" s="27">
        <f>EscapeNew!J58</f>
        <v>50</v>
      </c>
      <c r="L59" s="27">
        <f>EscapeNew!K58</f>
        <v>240</v>
      </c>
      <c r="M59" s="27">
        <f>EscapeNew!L58</f>
        <v>110.07622270512861</v>
      </c>
      <c r="N59" s="27">
        <f>EscapeNew!M58</f>
        <v>75</v>
      </c>
      <c r="O59" s="27">
        <f>EscapeNew!N58</f>
        <v>50</v>
      </c>
      <c r="P59" s="27">
        <f>EscapeNew!O58</f>
        <v>51</v>
      </c>
      <c r="Q59" s="27">
        <f>EscapeNew!P58</f>
        <v>50</v>
      </c>
      <c r="R59" s="27">
        <f>EscapeNew!Q58</f>
        <v>61.408226639291485</v>
      </c>
      <c r="S59" s="27">
        <f>EscapeNew!R58</f>
        <v>100</v>
      </c>
      <c r="T59" s="27">
        <f>EscapeNew!S58</f>
        <v>200</v>
      </c>
      <c r="U59" s="27">
        <f>EscapeNew!T58</f>
        <v>35</v>
      </c>
      <c r="V59" s="27">
        <f>EscapeNew!U58</f>
        <v>85.573975071663298</v>
      </c>
      <c r="W59" s="27">
        <f>EscapeNew!V58</f>
        <v>10</v>
      </c>
      <c r="X59" s="27">
        <f>EscapeNew!W58</f>
        <v>31</v>
      </c>
      <c r="Y59" s="27">
        <f>EscapeNew!X58</f>
        <v>8</v>
      </c>
      <c r="Z59" s="27">
        <f>EscapeNew!Y58</f>
        <v>45.963967061418487</v>
      </c>
      <c r="AA59" s="27">
        <f>EscapeNew!Z58</f>
        <v>40</v>
      </c>
      <c r="AB59" s="27">
        <f>EscapeNew!AA58</f>
        <v>97</v>
      </c>
      <c r="AC59" s="27">
        <f>EscapeNew!AB58</f>
        <v>169</v>
      </c>
      <c r="AD59" s="27">
        <f>EscapeNew!AC58</f>
        <v>89</v>
      </c>
      <c r="AE59" s="27">
        <f>EscapeNew!AD58</f>
        <v>54</v>
      </c>
      <c r="AF59" s="27">
        <f>EscapeNew!AE58</f>
        <v>45.989067834052399</v>
      </c>
      <c r="AG59" s="27">
        <f>EscapeNew!AF58</f>
        <v>45.915677113369284</v>
      </c>
      <c r="AH59" s="27">
        <f>EscapeNew!AG58</f>
        <v>25.313966731095537</v>
      </c>
      <c r="AI59" s="27">
        <f>EscapeNew!AH58</f>
        <v>34.851701860790989</v>
      </c>
      <c r="AJ59" s="27">
        <f>EscapeNew!AI58</f>
        <v>17</v>
      </c>
      <c r="AK59" s="27">
        <f>EscapeNew!AJ58</f>
        <v>2</v>
      </c>
      <c r="AL59" s="27">
        <f>EscapeNew!AK58</f>
        <v>11</v>
      </c>
      <c r="AM59" s="27">
        <f>EscapeNew!AL58</f>
        <v>65</v>
      </c>
      <c r="AN59" s="27">
        <f>EscapeNew!AM58</f>
        <v>34</v>
      </c>
      <c r="AO59" s="27">
        <f>EscapeNew!AN58</f>
        <v>2</v>
      </c>
      <c r="AP59" s="27">
        <f>EscapeNew!AO58</f>
        <v>6</v>
      </c>
      <c r="AQ59" s="27">
        <f>EscapeNew!AP58</f>
        <v>17</v>
      </c>
      <c r="AR59" s="27">
        <f>EscapeNew!AQ58</f>
        <v>8</v>
      </c>
      <c r="AS59" s="27">
        <f>EscapeNew!AR58</f>
        <v>11</v>
      </c>
      <c r="AT59" s="27">
        <f>EscapeNew!AS58/StockList!F58</f>
        <v>84</v>
      </c>
      <c r="AU59" s="27">
        <f>EscapeNew!AT58/StockList!G58</f>
        <v>71</v>
      </c>
      <c r="AV59" s="27">
        <f>EscapeNew!AU58</f>
        <v>30</v>
      </c>
      <c r="AW59" s="27">
        <f>EscapeNew!AV58</f>
        <v>86</v>
      </c>
      <c r="AX59" s="27">
        <f t="shared" si="0"/>
        <v>57.93392738674568</v>
      </c>
    </row>
    <row r="60" spans="1:50" ht="9" customHeight="1" x14ac:dyDescent="0.2">
      <c r="A60" s="18" t="s">
        <v>166</v>
      </c>
      <c r="B60" s="41">
        <v>58</v>
      </c>
      <c r="C60" s="43">
        <v>10</v>
      </c>
      <c r="D60" s="45">
        <v>4</v>
      </c>
      <c r="E60" s="18" t="str">
        <f>EscapeNew!D59</f>
        <v>Summer 4.1</v>
      </c>
      <c r="F60" s="27">
        <f>EscapeNew!E59</f>
        <v>75</v>
      </c>
      <c r="G60" s="27">
        <f>EscapeNew!F59</f>
        <v>100</v>
      </c>
      <c r="H60" s="27">
        <f>EscapeNew!G59</f>
        <v>20</v>
      </c>
      <c r="I60" s="27">
        <f>EscapeNew!H59</f>
        <v>50</v>
      </c>
      <c r="J60" s="27">
        <f>EscapeNew!I59</f>
        <v>50</v>
      </c>
      <c r="K60" s="27">
        <f>EscapeNew!J59</f>
        <v>30</v>
      </c>
      <c r="L60" s="27">
        <f>EscapeNew!K59</f>
        <v>200</v>
      </c>
      <c r="M60" s="27">
        <f>EscapeNew!L59</f>
        <v>110</v>
      </c>
      <c r="N60" s="27">
        <f>EscapeNew!M59</f>
        <v>4</v>
      </c>
      <c r="O60" s="27">
        <f>EscapeNew!N59</f>
        <v>67</v>
      </c>
      <c r="P60" s="27">
        <f>EscapeNew!O59</f>
        <v>50</v>
      </c>
      <c r="Q60" s="27">
        <f>EscapeNew!P59</f>
        <v>25</v>
      </c>
      <c r="R60" s="27">
        <f>EscapeNew!Q59</f>
        <v>152.19149664833148</v>
      </c>
      <c r="S60" s="27">
        <f>EscapeNew!R59</f>
        <v>195.39739991728996</v>
      </c>
      <c r="T60" s="27">
        <f>EscapeNew!S59</f>
        <v>89.530350825814992</v>
      </c>
      <c r="U60" s="27">
        <f>EscapeNew!T59</f>
        <v>171.04378779419295</v>
      </c>
      <c r="V60" s="27">
        <f>EscapeNew!U59</f>
        <v>127.62870160101356</v>
      </c>
      <c r="W60" s="27">
        <f>EscapeNew!V59</f>
        <v>100</v>
      </c>
      <c r="X60" s="27">
        <f>EscapeNew!W59</f>
        <v>100</v>
      </c>
      <c r="Y60" s="27">
        <f>EscapeNew!X59</f>
        <v>176</v>
      </c>
      <c r="Z60" s="27">
        <f>EscapeNew!Y59</f>
        <v>220</v>
      </c>
      <c r="AA60" s="27">
        <f>EscapeNew!Z59</f>
        <v>282</v>
      </c>
      <c r="AB60" s="27">
        <f>EscapeNew!AA59</f>
        <v>422</v>
      </c>
      <c r="AC60" s="27">
        <f>EscapeNew!AB59</f>
        <v>927</v>
      </c>
      <c r="AD60" s="27">
        <f>EscapeNew!AC59</f>
        <v>782</v>
      </c>
      <c r="AE60" s="27">
        <f>EscapeNew!AD59</f>
        <v>263.46485749011788</v>
      </c>
      <c r="AF60" s="27">
        <f>EscapeNew!AE59</f>
        <v>424</v>
      </c>
      <c r="AG60" s="27">
        <f>EscapeNew!AF59</f>
        <v>321</v>
      </c>
      <c r="AH60" s="27">
        <f>EscapeNew!AG59</f>
        <v>713</v>
      </c>
      <c r="AI60" s="27">
        <f>EscapeNew!AH59</f>
        <v>682</v>
      </c>
      <c r="AJ60" s="27">
        <f>EscapeNew!AI59</f>
        <v>645</v>
      </c>
      <c r="AK60" s="27">
        <f>EscapeNew!AJ59</f>
        <v>617</v>
      </c>
      <c r="AL60" s="27">
        <f>EscapeNew!AK59</f>
        <v>1509</v>
      </c>
      <c r="AM60" s="27">
        <f>EscapeNew!AL59</f>
        <v>328</v>
      </c>
      <c r="AN60" s="27">
        <f>EscapeNew!AM59</f>
        <v>1043</v>
      </c>
      <c r="AO60" s="27">
        <f>EscapeNew!AN59</f>
        <v>346</v>
      </c>
      <c r="AP60" s="27">
        <f>EscapeNew!AO59</f>
        <v>1238</v>
      </c>
      <c r="AQ60" s="27">
        <f>EscapeNew!AP59</f>
        <v>105</v>
      </c>
      <c r="AR60" s="27">
        <f>EscapeNew!AQ59</f>
        <v>71</v>
      </c>
      <c r="AS60" s="27">
        <f>EscapeNew!AR59</f>
        <v>0</v>
      </c>
      <c r="AT60" s="27">
        <f>EscapeNew!AS59/StockList!F59</f>
        <v>346</v>
      </c>
      <c r="AU60" s="27">
        <f>EscapeNew!AT59/StockList!G59</f>
        <v>48</v>
      </c>
      <c r="AV60" s="27">
        <f>EscapeNew!AU59</f>
        <v>34</v>
      </c>
      <c r="AW60" s="27">
        <f>EscapeNew!AV59</f>
        <v>40</v>
      </c>
      <c r="AX60" s="27">
        <f t="shared" si="0"/>
        <v>302.25583168810823</v>
      </c>
    </row>
    <row r="61" spans="1:50" ht="9" customHeight="1" x14ac:dyDescent="0.2">
      <c r="A61" s="18" t="s">
        <v>129</v>
      </c>
      <c r="B61" s="41">
        <v>59</v>
      </c>
      <c r="C61" s="43">
        <v>10</v>
      </c>
      <c r="D61" s="41">
        <v>1</v>
      </c>
      <c r="E61" s="18" t="str">
        <f>EscapeNew!D60</f>
        <v>Spring 5.2</v>
      </c>
      <c r="F61" s="27">
        <f>EscapeNew!E60</f>
        <v>241</v>
      </c>
      <c r="G61" s="27">
        <f>EscapeNew!F60</f>
        <v>340</v>
      </c>
      <c r="H61" s="27">
        <f>EscapeNew!G60</f>
        <v>135</v>
      </c>
      <c r="I61" s="27">
        <f>EscapeNew!H60</f>
        <v>475</v>
      </c>
      <c r="J61" s="27">
        <f>EscapeNew!I60</f>
        <v>640</v>
      </c>
      <c r="K61" s="27">
        <f>EscapeNew!J60</f>
        <v>350</v>
      </c>
      <c r="L61" s="27">
        <f>EscapeNew!K60</f>
        <v>283</v>
      </c>
      <c r="M61" s="27">
        <f>EscapeNew!L60</f>
        <v>223</v>
      </c>
      <c r="N61" s="27">
        <f>EscapeNew!M60</f>
        <v>113</v>
      </c>
      <c r="O61" s="27">
        <f>EscapeNew!N60</f>
        <v>501</v>
      </c>
      <c r="P61" s="27">
        <f>EscapeNew!O60</f>
        <v>509</v>
      </c>
      <c r="Q61" s="27">
        <f>EscapeNew!P60</f>
        <v>353</v>
      </c>
      <c r="R61" s="27">
        <f>EscapeNew!Q60</f>
        <v>265</v>
      </c>
      <c r="S61" s="27">
        <f>EscapeNew!R60</f>
        <v>738</v>
      </c>
      <c r="T61" s="27">
        <f>EscapeNew!S60</f>
        <v>268</v>
      </c>
      <c r="U61" s="27">
        <f>EscapeNew!T60</f>
        <v>371</v>
      </c>
      <c r="V61" s="27">
        <f>EscapeNew!U60</f>
        <v>162</v>
      </c>
      <c r="W61" s="27">
        <f>EscapeNew!V60</f>
        <v>292</v>
      </c>
      <c r="X61" s="27">
        <f>EscapeNew!W60</f>
        <v>573</v>
      </c>
      <c r="Y61" s="27">
        <f>EscapeNew!X60</f>
        <v>567</v>
      </c>
      <c r="Z61" s="27">
        <f>EscapeNew!Y60</f>
        <v>147</v>
      </c>
      <c r="AA61" s="27">
        <f>EscapeNew!Z60</f>
        <v>404</v>
      </c>
      <c r="AB61" s="27">
        <f>EscapeNew!AA60</f>
        <v>703</v>
      </c>
      <c r="AC61" s="27">
        <f>EscapeNew!AB60</f>
        <v>512</v>
      </c>
      <c r="AD61" s="27">
        <f>EscapeNew!AC60</f>
        <v>480</v>
      </c>
      <c r="AE61" s="27">
        <f>EscapeNew!AD60</f>
        <v>202</v>
      </c>
      <c r="AF61" s="27">
        <f>EscapeNew!AE60</f>
        <v>1491</v>
      </c>
      <c r="AG61" s="27">
        <f>EscapeNew!AF60</f>
        <v>1259</v>
      </c>
      <c r="AH61" s="27">
        <f>EscapeNew!AG60</f>
        <v>1968</v>
      </c>
      <c r="AI61" s="27">
        <f>EscapeNew!AH60</f>
        <v>234</v>
      </c>
      <c r="AJ61" s="27">
        <f>EscapeNew!AI60</f>
        <v>631</v>
      </c>
      <c r="AK61" s="27">
        <f>EscapeNew!AJ60</f>
        <v>1520</v>
      </c>
      <c r="AL61" s="27">
        <f>EscapeNew!AK60</f>
        <v>941</v>
      </c>
      <c r="AM61" s="27">
        <f>EscapeNew!AL60</f>
        <v>624</v>
      </c>
      <c r="AN61" s="27">
        <f>EscapeNew!AM60</f>
        <v>224</v>
      </c>
      <c r="AO61" s="27">
        <f>EscapeNew!AN60</f>
        <v>383</v>
      </c>
      <c r="AP61" s="27">
        <f>EscapeNew!AO60</f>
        <v>508</v>
      </c>
      <c r="AQ61" s="27">
        <f>EscapeNew!AP60</f>
        <v>238</v>
      </c>
      <c r="AR61" s="27">
        <f>EscapeNew!AQ60</f>
        <v>320</v>
      </c>
      <c r="AS61" s="27">
        <f>EscapeNew!AR60</f>
        <v>144</v>
      </c>
      <c r="AT61" s="27">
        <f>EscapeNew!AS60/StockList!F60</f>
        <v>178</v>
      </c>
      <c r="AU61" s="27">
        <f>EscapeNew!AT60/StockList!G60</f>
        <v>191</v>
      </c>
      <c r="AV61" s="27">
        <f>EscapeNew!AU60</f>
        <v>134</v>
      </c>
      <c r="AW61" s="27">
        <f>EscapeNew!AV60</f>
        <v>275</v>
      </c>
      <c r="AX61" s="27">
        <f t="shared" si="0"/>
        <v>479.77272727272725</v>
      </c>
    </row>
    <row r="62" spans="1:50" ht="9" customHeight="1" x14ac:dyDescent="0.2">
      <c r="A62" s="18" t="s">
        <v>153</v>
      </c>
      <c r="B62" s="41">
        <v>60</v>
      </c>
      <c r="C62" s="43">
        <v>11</v>
      </c>
      <c r="D62" s="41">
        <v>5</v>
      </c>
      <c r="E62" s="18" t="str">
        <f>EscapeNew!D61</f>
        <v>Fall</v>
      </c>
      <c r="F62" s="27">
        <f>EscapeNew!E61</f>
        <v>78000</v>
      </c>
      <c r="G62" s="27">
        <f>EscapeNew!F61</f>
        <v>52000</v>
      </c>
      <c r="H62" s="27">
        <f>EscapeNew!G61</f>
        <v>104000</v>
      </c>
      <c r="I62" s="27">
        <f>EscapeNew!H61</f>
        <v>114400</v>
      </c>
      <c r="J62" s="27">
        <f>EscapeNew!I61</f>
        <v>31200</v>
      </c>
      <c r="K62" s="27">
        <f>EscapeNew!J61</f>
        <v>122401</v>
      </c>
      <c r="L62" s="27">
        <f>EscapeNew!K61</f>
        <v>175417</v>
      </c>
      <c r="M62" s="27">
        <f>EscapeNew!L61</f>
        <v>163327</v>
      </c>
      <c r="N62" s="27">
        <f>EscapeNew!M61</f>
        <v>79954</v>
      </c>
      <c r="O62" s="27">
        <f>EscapeNew!N61</f>
        <v>35581</v>
      </c>
      <c r="P62" s="27">
        <f>EscapeNew!O61</f>
        <v>76083</v>
      </c>
      <c r="Q62" s="27">
        <f>EscapeNew!P61</f>
        <v>178852</v>
      </c>
      <c r="R62" s="27">
        <f>EscapeNew!Q61</f>
        <v>92077</v>
      </c>
      <c r="S62" s="27">
        <f>EscapeNew!R61</f>
        <v>132383</v>
      </c>
      <c r="T62" s="27">
        <f>EscapeNew!S61</f>
        <v>120486</v>
      </c>
      <c r="U62" s="27">
        <f>EscapeNew!T61</f>
        <v>99657</v>
      </c>
      <c r="V62" s="27">
        <f>EscapeNew!U61</f>
        <v>28835</v>
      </c>
      <c r="W62" s="27">
        <f>EscapeNew!V61</f>
        <v>38641</v>
      </c>
      <c r="X62" s="27">
        <f>EscapeNew!W61</f>
        <v>71955</v>
      </c>
      <c r="Y62" s="27">
        <f>EscapeNew!X61</f>
        <v>201261</v>
      </c>
      <c r="Z62" s="27">
        <f>EscapeNew!Y61</f>
        <v>105536</v>
      </c>
      <c r="AA62" s="27">
        <f>EscapeNew!Z61</f>
        <v>79141</v>
      </c>
      <c r="AB62" s="27">
        <f>EscapeNew!AA61</f>
        <v>109836</v>
      </c>
      <c r="AC62" s="27">
        <f>EscapeNew!AB61</f>
        <v>84410</v>
      </c>
      <c r="AD62" s="27">
        <f>EscapeNew!AC61</f>
        <v>247918</v>
      </c>
      <c r="AE62" s="27">
        <f>EscapeNew!AD61</f>
        <v>140270</v>
      </c>
      <c r="AF62" s="27">
        <f>EscapeNew!AE61</f>
        <v>88786</v>
      </c>
      <c r="AG62" s="27">
        <f>EscapeNew!AF61</f>
        <v>60637</v>
      </c>
      <c r="AH62" s="27">
        <f>EscapeNew!AG61</f>
        <v>76665</v>
      </c>
      <c r="AI62" s="27">
        <f>EscapeNew!AH61</f>
        <v>41805</v>
      </c>
      <c r="AJ62" s="27">
        <f>EscapeNew!AI61</f>
        <v>70281</v>
      </c>
      <c r="AK62" s="27">
        <f>EscapeNew!AJ61</f>
        <v>103692</v>
      </c>
      <c r="AL62" s="27">
        <f>EscapeNew!AK61</f>
        <v>123879</v>
      </c>
      <c r="AM62" s="27">
        <f>EscapeNew!AL61</f>
        <v>44691</v>
      </c>
      <c r="AN62" s="27">
        <f>EscapeNew!AM61</f>
        <v>43160</v>
      </c>
      <c r="AO62" s="27">
        <f>EscapeNew!AN61</f>
        <v>44915</v>
      </c>
      <c r="AP62" s="27">
        <f>EscapeNew!AO61</f>
        <v>101874</v>
      </c>
      <c r="AQ62" s="27">
        <f>EscapeNew!AP61</f>
        <v>41698</v>
      </c>
      <c r="AR62" s="27">
        <f>EscapeNew!AQ61</f>
        <v>30140</v>
      </c>
      <c r="AS62" s="27">
        <f>EscapeNew!AR61</f>
        <v>46991</v>
      </c>
      <c r="AT62" s="27">
        <f>EscapeNew!AS61/StockList!F61</f>
        <v>45872</v>
      </c>
      <c r="AU62" s="27">
        <f>EscapeNew!AT61/StockList!G61</f>
        <v>43454</v>
      </c>
      <c r="AV62" s="27">
        <f>EscapeNew!AU61</f>
        <v>36855</v>
      </c>
      <c r="AW62" s="27">
        <f>EscapeNew!AV61</f>
        <v>82091</v>
      </c>
      <c r="AX62" s="27">
        <f t="shared" si="0"/>
        <v>88434.25</v>
      </c>
    </row>
    <row r="63" spans="1:50" ht="9" customHeight="1" x14ac:dyDescent="0.2">
      <c r="A63" s="18" t="s">
        <v>139</v>
      </c>
      <c r="B63" s="41">
        <v>61</v>
      </c>
      <c r="C63" s="43">
        <v>11</v>
      </c>
      <c r="D63" s="41">
        <v>5</v>
      </c>
      <c r="E63" s="18" t="str">
        <f>EscapeNew!D62</f>
        <v>Fall</v>
      </c>
      <c r="F63" s="27">
        <f>EscapeNew!E62</f>
        <v>50</v>
      </c>
      <c r="G63" s="27">
        <f>EscapeNew!F62</f>
        <v>50</v>
      </c>
      <c r="H63" s="27">
        <f>EscapeNew!G62</f>
        <v>50</v>
      </c>
      <c r="I63" s="27">
        <f>EscapeNew!H62</f>
        <v>56</v>
      </c>
      <c r="J63" s="27">
        <f>EscapeNew!I62</f>
        <v>100</v>
      </c>
      <c r="K63" s="27">
        <f>EscapeNew!J62</f>
        <v>658</v>
      </c>
      <c r="L63" s="27">
        <f>EscapeNew!K62</f>
        <v>1492</v>
      </c>
      <c r="M63" s="27">
        <f>EscapeNew!L62</f>
        <v>4469</v>
      </c>
      <c r="N63" s="27">
        <f>EscapeNew!M62</f>
        <v>17271</v>
      </c>
      <c r="O63" s="27">
        <f>EscapeNew!N62</f>
        <v>14782</v>
      </c>
      <c r="P63" s="27">
        <f>EscapeNew!O62</f>
        <v>3333</v>
      </c>
      <c r="Q63" s="27">
        <f>EscapeNew!P62</f>
        <v>1795</v>
      </c>
      <c r="R63" s="27">
        <f>EscapeNew!Q62</f>
        <v>9353</v>
      </c>
      <c r="S63" s="27">
        <f>EscapeNew!R62</f>
        <v>38177</v>
      </c>
      <c r="T63" s="27">
        <f>EscapeNew!S62</f>
        <v>20182</v>
      </c>
      <c r="U63" s="27">
        <f>EscapeNew!T62</f>
        <v>8237</v>
      </c>
      <c r="V63" s="27">
        <f>EscapeNew!U62</f>
        <v>31825</v>
      </c>
      <c r="W63" s="27">
        <f>EscapeNew!V62</f>
        <v>24268</v>
      </c>
      <c r="X63" s="27">
        <f>EscapeNew!W62</f>
        <v>82805</v>
      </c>
      <c r="Y63" s="27">
        <f>EscapeNew!X62</f>
        <v>81512</v>
      </c>
      <c r="Z63" s="27">
        <f>EscapeNew!Y62</f>
        <v>77251</v>
      </c>
      <c r="AA63" s="27">
        <f>EscapeNew!Z62</f>
        <v>68931</v>
      </c>
      <c r="AB63" s="27">
        <f>EscapeNew!AA62</f>
        <v>71734</v>
      </c>
      <c r="AC63" s="27">
        <f>EscapeNew!AB62</f>
        <v>63476</v>
      </c>
      <c r="AD63" s="27">
        <f>EscapeNew!AC62</f>
        <v>55126</v>
      </c>
      <c r="AE63" s="27">
        <f>EscapeNew!AD62</f>
        <v>56828</v>
      </c>
      <c r="AF63" s="27">
        <f>EscapeNew!AE62</f>
        <v>33900</v>
      </c>
      <c r="AG63" s="27">
        <f>EscapeNew!AF62</f>
        <v>48392</v>
      </c>
      <c r="AH63" s="27">
        <f>EscapeNew!AG62</f>
        <v>26196</v>
      </c>
      <c r="AI63" s="27">
        <f>EscapeNew!AH62</f>
        <v>41797</v>
      </c>
      <c r="AJ63" s="27">
        <f>EscapeNew!AI62</f>
        <v>15188</v>
      </c>
      <c r="AK63" s="27">
        <f>EscapeNew!AJ62</f>
        <v>81141</v>
      </c>
      <c r="AL63" s="27">
        <f>EscapeNew!AK62</f>
        <v>52985</v>
      </c>
      <c r="AM63" s="27">
        <f>EscapeNew!AL62</f>
        <v>20405</v>
      </c>
      <c r="AN63" s="27">
        <f>EscapeNew!AM62</f>
        <v>53121</v>
      </c>
      <c r="AO63" s="27">
        <f>EscapeNew!AN62</f>
        <v>60754</v>
      </c>
      <c r="AP63" s="27">
        <f>EscapeNew!AO62</f>
        <v>35234</v>
      </c>
      <c r="AQ63" s="27">
        <f>EscapeNew!AP62</f>
        <v>39608</v>
      </c>
      <c r="AR63" s="27">
        <f>EscapeNew!AQ62</f>
        <v>25233</v>
      </c>
      <c r="AS63" s="27">
        <f>EscapeNew!AR62</f>
        <v>27148</v>
      </c>
      <c r="AT63" s="27">
        <f>EscapeNew!AS62/StockList!F62</f>
        <v>74128</v>
      </c>
      <c r="AU63" s="27">
        <f>EscapeNew!AT62/StockList!G62</f>
        <v>39528</v>
      </c>
      <c r="AV63" s="27">
        <f>EscapeNew!AU62</f>
        <v>58580</v>
      </c>
      <c r="AW63" s="27">
        <f>EscapeNew!AV62</f>
        <v>78740</v>
      </c>
      <c r="AX63" s="27">
        <f t="shared" si="0"/>
        <v>35133.840909090912</v>
      </c>
    </row>
    <row r="64" spans="1:50" ht="9" customHeight="1" x14ac:dyDescent="0.2">
      <c r="A64" s="44" t="s">
        <v>178</v>
      </c>
      <c r="B64" s="41">
        <v>62</v>
      </c>
      <c r="C64" s="43">
        <v>10</v>
      </c>
      <c r="D64" s="45">
        <v>1</v>
      </c>
      <c r="E64" s="18" t="str">
        <f>EscapeNew!D63</f>
        <v>Spring 5.2</v>
      </c>
      <c r="F64" s="27">
        <f>EscapeNew!E63</f>
        <v>250</v>
      </c>
      <c r="G64" s="27">
        <f>EscapeNew!F63</f>
        <v>200</v>
      </c>
      <c r="H64" s="27">
        <f>EscapeNew!G63</f>
        <v>325</v>
      </c>
      <c r="I64" s="27">
        <f>EscapeNew!H63</f>
        <v>300</v>
      </c>
      <c r="J64" s="27">
        <f>EscapeNew!I63</f>
        <v>300</v>
      </c>
      <c r="K64" s="27">
        <f>EscapeNew!J63</f>
        <v>0.01</v>
      </c>
      <c r="L64" s="27">
        <f>EscapeNew!K63</f>
        <v>0.01</v>
      </c>
      <c r="M64" s="27">
        <f>EscapeNew!L63</f>
        <v>300</v>
      </c>
      <c r="N64" s="27">
        <f>EscapeNew!M63</f>
        <v>350</v>
      </c>
      <c r="O64" s="27">
        <f>EscapeNew!N63</f>
        <v>850</v>
      </c>
      <c r="P64" s="27">
        <f>EscapeNew!O63</f>
        <v>375</v>
      </c>
      <c r="Q64" s="27">
        <f>EscapeNew!P63</f>
        <v>450</v>
      </c>
      <c r="R64" s="27">
        <f>EscapeNew!Q63</f>
        <v>150</v>
      </c>
      <c r="S64" s="27">
        <f>EscapeNew!R63</f>
        <v>300</v>
      </c>
      <c r="T64" s="27">
        <f>EscapeNew!S63</f>
        <v>175</v>
      </c>
      <c r="U64" s="27">
        <f>EscapeNew!T63</f>
        <v>378.01743030827322</v>
      </c>
      <c r="V64" s="27">
        <f>EscapeNew!U63</f>
        <v>289.1557769181087</v>
      </c>
      <c r="W64" s="27">
        <f>EscapeNew!V63</f>
        <v>228.94153954973726</v>
      </c>
      <c r="X64" s="27">
        <f>EscapeNew!W63</f>
        <v>261.79880013080998</v>
      </c>
      <c r="Y64" s="27">
        <f>EscapeNew!X63</f>
        <v>223.01752389532311</v>
      </c>
      <c r="Z64" s="27">
        <f>EscapeNew!Y63</f>
        <v>155.31295110169395</v>
      </c>
      <c r="AA64" s="27">
        <f>EscapeNew!Z63</f>
        <v>187.79903838426588</v>
      </c>
      <c r="AB64" s="27">
        <f>EscapeNew!AA63</f>
        <v>216.42911109711784</v>
      </c>
      <c r="AC64" s="27">
        <f>EscapeNew!AB63</f>
        <v>276</v>
      </c>
      <c r="AD64" s="27">
        <f>EscapeNew!AC63</f>
        <v>180</v>
      </c>
      <c r="AE64" s="27">
        <f>EscapeNew!AD63</f>
        <v>230.41536863858303</v>
      </c>
      <c r="AF64" s="27">
        <f>EscapeNew!AE63</f>
        <v>188</v>
      </c>
      <c r="AG64" s="27">
        <f>EscapeNew!AF63</f>
        <v>211</v>
      </c>
      <c r="AH64" s="27">
        <f>EscapeNew!AG63</f>
        <v>103</v>
      </c>
      <c r="AI64" s="27">
        <f>EscapeNew!AH63</f>
        <v>198</v>
      </c>
      <c r="AJ64" s="27">
        <f>EscapeNew!AI63</f>
        <v>105</v>
      </c>
      <c r="AK64" s="27">
        <f>EscapeNew!AJ63</f>
        <v>85</v>
      </c>
      <c r="AL64" s="27">
        <f>EscapeNew!AK63</f>
        <v>178</v>
      </c>
      <c r="AM64" s="27">
        <f>EscapeNew!AL63</f>
        <v>103</v>
      </c>
      <c r="AN64" s="27">
        <f>EscapeNew!AM63</f>
        <v>124.1515250370874</v>
      </c>
      <c r="AO64" s="27">
        <f>EscapeNew!AN63</f>
        <v>75</v>
      </c>
      <c r="AP64" s="27">
        <f>EscapeNew!AO63</f>
        <v>176.67004644477092</v>
      </c>
      <c r="AQ64" s="27">
        <f>EscapeNew!AP63</f>
        <v>49</v>
      </c>
      <c r="AR64" s="27">
        <f>EscapeNew!AQ63</f>
        <v>74</v>
      </c>
      <c r="AS64" s="27">
        <f>EscapeNew!AR63</f>
        <v>175</v>
      </c>
      <c r="AT64" s="27">
        <f>EscapeNew!AS63/StockList!F63</f>
        <v>18</v>
      </c>
      <c r="AU64" s="27">
        <f>EscapeNew!AT63/StockList!G63</f>
        <v>46</v>
      </c>
      <c r="AV64" s="27">
        <f>EscapeNew!AU63</f>
        <v>86</v>
      </c>
      <c r="AW64" s="27">
        <f>EscapeNew!AV63</f>
        <v>11</v>
      </c>
      <c r="AX64" s="27">
        <f t="shared" si="0"/>
        <v>203.58475253422213</v>
      </c>
    </row>
    <row r="65" spans="1:50" ht="9" customHeight="1" x14ac:dyDescent="0.2">
      <c r="A65" s="46" t="s">
        <v>130</v>
      </c>
      <c r="B65" s="41">
        <v>63</v>
      </c>
      <c r="C65" s="43">
        <v>9</v>
      </c>
      <c r="D65" s="45">
        <v>1</v>
      </c>
      <c r="E65" s="18" t="str">
        <f>EscapeNew!D64</f>
        <v>Spring 5.2</v>
      </c>
      <c r="F65" s="27">
        <f>EscapeNew!E64</f>
        <v>15</v>
      </c>
      <c r="G65" s="27">
        <f>EscapeNew!F64</f>
        <v>20</v>
      </c>
      <c r="H65" s="27">
        <f>EscapeNew!G64</f>
        <v>0</v>
      </c>
      <c r="I65" s="27">
        <f>EscapeNew!H64</f>
        <v>58.817059605266955</v>
      </c>
      <c r="J65" s="27">
        <f>EscapeNew!I64</f>
        <v>89.259753712044699</v>
      </c>
      <c r="K65" s="27">
        <f>EscapeNew!J64</f>
        <v>15</v>
      </c>
      <c r="L65" s="27">
        <f>EscapeNew!K64</f>
        <v>75</v>
      </c>
      <c r="M65" s="27">
        <f>EscapeNew!L64</f>
        <v>20</v>
      </c>
      <c r="N65" s="27">
        <f>EscapeNew!M64</f>
        <v>50</v>
      </c>
      <c r="O65" s="27">
        <f>EscapeNew!N64</f>
        <v>55</v>
      </c>
      <c r="P65" s="27">
        <f>EscapeNew!O64</f>
        <v>20</v>
      </c>
      <c r="Q65" s="27">
        <f>EscapeNew!P64</f>
        <v>30</v>
      </c>
      <c r="R65" s="27">
        <f>EscapeNew!Q64</f>
        <v>0</v>
      </c>
      <c r="S65" s="27">
        <f>EscapeNew!R64</f>
        <v>40</v>
      </c>
      <c r="T65" s="27">
        <f>EscapeNew!S64</f>
        <v>6</v>
      </c>
      <c r="U65" s="27">
        <f>EscapeNew!T64</f>
        <v>48</v>
      </c>
      <c r="V65" s="27">
        <f>EscapeNew!U64</f>
        <v>35</v>
      </c>
      <c r="W65" s="27">
        <f>EscapeNew!V64</f>
        <v>0</v>
      </c>
      <c r="X65" s="27">
        <f>EscapeNew!W64</f>
        <v>0</v>
      </c>
      <c r="Y65" s="27">
        <f>EscapeNew!X64</f>
        <v>110</v>
      </c>
      <c r="Z65" s="27">
        <f>EscapeNew!Y64</f>
        <v>11</v>
      </c>
      <c r="AA65" s="27">
        <f>EscapeNew!Z64</f>
        <v>235</v>
      </c>
      <c r="AB65" s="27">
        <f>EscapeNew!AA64</f>
        <v>88</v>
      </c>
      <c r="AC65" s="27">
        <f>EscapeNew!AB64</f>
        <v>480</v>
      </c>
      <c r="AD65" s="27">
        <f>EscapeNew!AC64</f>
        <v>329</v>
      </c>
      <c r="AE65" s="27">
        <f>EscapeNew!AD64</f>
        <v>152</v>
      </c>
      <c r="AF65" s="27">
        <f>EscapeNew!AE64</f>
        <v>88.512483851383948</v>
      </c>
      <c r="AG65" s="27">
        <f>EscapeNew!AF64</f>
        <v>212</v>
      </c>
      <c r="AH65" s="27">
        <f>EscapeNew!AG64</f>
        <v>117</v>
      </c>
      <c r="AI65" s="27">
        <f>EscapeNew!AH64</f>
        <v>141</v>
      </c>
      <c r="AJ65" s="27">
        <f>EscapeNew!AI64</f>
        <v>63</v>
      </c>
      <c r="AK65" s="27">
        <f>EscapeNew!AJ64</f>
        <v>152</v>
      </c>
      <c r="AL65" s="27">
        <f>EscapeNew!AK64</f>
        <v>228</v>
      </c>
      <c r="AM65" s="27">
        <f>EscapeNew!AL64</f>
        <v>105</v>
      </c>
      <c r="AN65" s="27">
        <f>EscapeNew!AM64</f>
        <v>142</v>
      </c>
      <c r="AO65" s="27">
        <f>EscapeNew!AN64</f>
        <v>80</v>
      </c>
      <c r="AP65" s="27">
        <f>EscapeNew!AO64</f>
        <v>100.62888891542724</v>
      </c>
      <c r="AQ65" s="27">
        <f>EscapeNew!AP64</f>
        <v>134</v>
      </c>
      <c r="AR65" s="27">
        <f>EscapeNew!AQ64</f>
        <v>72</v>
      </c>
      <c r="AS65" s="27">
        <f>EscapeNew!AR64</f>
        <v>52</v>
      </c>
      <c r="AT65" s="27">
        <f>EscapeNew!AS64/StockList!F64</f>
        <v>275</v>
      </c>
      <c r="AU65" s="27">
        <f>EscapeNew!AT64/StockList!G64</f>
        <v>362</v>
      </c>
      <c r="AV65" s="27">
        <f>EscapeNew!AU64</f>
        <v>249</v>
      </c>
      <c r="AW65" s="27">
        <f>EscapeNew!AV64</f>
        <v>260</v>
      </c>
      <c r="AX65" s="27">
        <f t="shared" si="0"/>
        <v>109.43677695645734</v>
      </c>
    </row>
    <row r="66" spans="1:50" ht="9" customHeight="1" x14ac:dyDescent="0.2">
      <c r="A66" s="46" t="s">
        <v>160</v>
      </c>
      <c r="B66" s="41">
        <v>64</v>
      </c>
      <c r="C66" s="47">
        <v>7</v>
      </c>
      <c r="D66" s="48">
        <v>2</v>
      </c>
      <c r="E66" s="18" t="str">
        <f>EscapeNew!D65</f>
        <v>Summer 5.2</v>
      </c>
      <c r="F66" s="27">
        <f>EscapeNew!E65</f>
        <v>0</v>
      </c>
      <c r="G66" s="27">
        <f>EscapeNew!F65</f>
        <v>10</v>
      </c>
      <c r="H66" s="27">
        <f>EscapeNew!G65</f>
        <v>15</v>
      </c>
      <c r="I66" s="27">
        <f>EscapeNew!H65</f>
        <v>5</v>
      </c>
      <c r="J66" s="27">
        <f>EscapeNew!I65</f>
        <v>10</v>
      </c>
      <c r="K66" s="27">
        <f>EscapeNew!J65</f>
        <v>11</v>
      </c>
      <c r="L66" s="27">
        <f>EscapeNew!K65</f>
        <v>25</v>
      </c>
      <c r="M66" s="27">
        <f>EscapeNew!L65</f>
        <v>25</v>
      </c>
      <c r="N66" s="27">
        <f>EscapeNew!M65</f>
        <v>0</v>
      </c>
      <c r="O66" s="27">
        <f>EscapeNew!N65</f>
        <v>10</v>
      </c>
      <c r="P66" s="27">
        <f>EscapeNew!O65</f>
        <v>10</v>
      </c>
      <c r="Q66" s="27">
        <f>EscapeNew!P65</f>
        <v>0</v>
      </c>
      <c r="R66" s="27">
        <f>EscapeNew!Q65</f>
        <v>0</v>
      </c>
      <c r="S66" s="27">
        <f>EscapeNew!R65</f>
        <v>48.951895710471497</v>
      </c>
      <c r="T66" s="27">
        <f>EscapeNew!S65</f>
        <v>4</v>
      </c>
      <c r="U66" s="27">
        <f>EscapeNew!T65</f>
        <v>4</v>
      </c>
      <c r="V66" s="27">
        <f>EscapeNew!U65</f>
        <v>38.134755058194756</v>
      </c>
      <c r="W66" s="27">
        <f>EscapeNew!V65</f>
        <v>17</v>
      </c>
      <c r="X66" s="27">
        <f>EscapeNew!W65</f>
        <v>54.238636333148278</v>
      </c>
      <c r="Y66" s="27">
        <f>EscapeNew!X65</f>
        <v>46.237542994171115</v>
      </c>
      <c r="Z66" s="27">
        <f>EscapeNew!Y65</f>
        <v>198</v>
      </c>
      <c r="AA66" s="27">
        <f>EscapeNew!Z65</f>
        <v>115</v>
      </c>
      <c r="AB66" s="27">
        <f>EscapeNew!AA65</f>
        <v>117</v>
      </c>
      <c r="AC66" s="27">
        <f>EscapeNew!AB65</f>
        <v>155</v>
      </c>
      <c r="AD66" s="27">
        <f>EscapeNew!AC65</f>
        <v>0</v>
      </c>
      <c r="AE66" s="27">
        <f>EscapeNew!AD65</f>
        <v>194</v>
      </c>
      <c r="AF66" s="27">
        <f>EscapeNew!AE65</f>
        <v>42</v>
      </c>
      <c r="AG66" s="27">
        <f>EscapeNew!AF65</f>
        <v>45</v>
      </c>
      <c r="AH66" s="27">
        <f>EscapeNew!AG65</f>
        <v>5</v>
      </c>
      <c r="AI66" s="27">
        <f>EscapeNew!AH65</f>
        <v>54</v>
      </c>
      <c r="AJ66" s="27">
        <f>EscapeNew!AI65</f>
        <v>17</v>
      </c>
      <c r="AK66" s="27">
        <f>EscapeNew!AJ65</f>
        <v>34</v>
      </c>
      <c r="AL66" s="27">
        <f>EscapeNew!AK65</f>
        <v>0</v>
      </c>
      <c r="AM66" s="27">
        <f>EscapeNew!AL65</f>
        <v>22</v>
      </c>
      <c r="AN66" s="27">
        <f>EscapeNew!AM65</f>
        <v>29</v>
      </c>
      <c r="AO66" s="27">
        <f>EscapeNew!AN65</f>
        <v>54</v>
      </c>
      <c r="AP66" s="27">
        <f>EscapeNew!AO65</f>
        <v>5</v>
      </c>
      <c r="AQ66" s="27">
        <f>EscapeNew!AP65</f>
        <v>8</v>
      </c>
      <c r="AR66" s="27">
        <f>EscapeNew!AQ65</f>
        <v>5</v>
      </c>
      <c r="AS66" s="27">
        <f>EscapeNew!AR65</f>
        <v>5</v>
      </c>
      <c r="AT66" s="27">
        <f>EscapeNew!AS65/StockList!F65</f>
        <v>11</v>
      </c>
      <c r="AU66" s="27">
        <f>EscapeNew!AT65/StockList!G65</f>
        <v>2</v>
      </c>
      <c r="AV66" s="27">
        <f>EscapeNew!AU65</f>
        <v>11</v>
      </c>
      <c r="AW66" s="27">
        <f>EscapeNew!AV65</f>
        <v>23</v>
      </c>
      <c r="AX66" s="27">
        <f t="shared" si="0"/>
        <v>33.740064320363309</v>
      </c>
    </row>
    <row r="67" spans="1:50" ht="9" customHeight="1" x14ac:dyDescent="0.2">
      <c r="A67" s="46" t="s">
        <v>198</v>
      </c>
      <c r="B67" s="41">
        <v>65</v>
      </c>
      <c r="C67" s="47">
        <v>8</v>
      </c>
      <c r="D67" s="48">
        <v>4</v>
      </c>
      <c r="E67" s="18" t="str">
        <f>EscapeNew!D66</f>
        <v>Summer 4.1</v>
      </c>
      <c r="F67" s="27">
        <f>EscapeNew!E66</f>
        <v>33.381169872029005</v>
      </c>
      <c r="G67" s="27">
        <f>EscapeNew!F66</f>
        <v>13.74741282481401</v>
      </c>
      <c r="H67" s="27">
        <f>EscapeNew!G66</f>
        <v>0</v>
      </c>
      <c r="I67" s="27">
        <f>EscapeNew!H66</f>
        <v>10.360005723235231</v>
      </c>
      <c r="J67" s="27">
        <f>EscapeNew!I66</f>
        <v>12.35458915344898</v>
      </c>
      <c r="K67" s="27">
        <f>EscapeNew!J66</f>
        <v>20.711075921010007</v>
      </c>
      <c r="L67" s="27">
        <f>EscapeNew!K66</f>
        <v>26.984682508175368</v>
      </c>
      <c r="M67" s="27">
        <f>EscapeNew!L66</f>
        <v>42.57320106202625</v>
      </c>
      <c r="N67" s="27">
        <f>EscapeNew!M66</f>
        <v>40.347831135822481</v>
      </c>
      <c r="O67" s="27">
        <f>EscapeNew!N66</f>
        <v>55.077406696093405</v>
      </c>
      <c r="P67" s="27">
        <f>EscapeNew!O66</f>
        <v>43.724907621139543</v>
      </c>
      <c r="Q67" s="27">
        <f>EscapeNew!P66</f>
        <v>47.655166580809301</v>
      </c>
      <c r="R67" s="27">
        <f>EscapeNew!Q66</f>
        <v>12</v>
      </c>
      <c r="S67" s="27">
        <f>EscapeNew!R66</f>
        <v>58.603969446412961</v>
      </c>
      <c r="T67" s="27">
        <f>EscapeNew!S66</f>
        <v>150</v>
      </c>
      <c r="U67" s="27">
        <f>EscapeNew!T66</f>
        <v>51.299786579210533</v>
      </c>
      <c r="V67" s="27">
        <f>EscapeNew!U66</f>
        <v>128</v>
      </c>
      <c r="W67" s="27">
        <f>EscapeNew!V66</f>
        <v>220</v>
      </c>
      <c r="X67" s="27">
        <f>EscapeNew!W66</f>
        <v>275</v>
      </c>
      <c r="Y67" s="27">
        <f>EscapeNew!X66</f>
        <v>100</v>
      </c>
      <c r="Z67" s="27">
        <f>EscapeNew!Y66</f>
        <v>107</v>
      </c>
      <c r="AA67" s="27">
        <f>EscapeNew!Z66</f>
        <v>60</v>
      </c>
      <c r="AB67" s="27">
        <f>EscapeNew!AA66</f>
        <v>109</v>
      </c>
      <c r="AC67" s="27">
        <f>EscapeNew!AB66</f>
        <v>35</v>
      </c>
      <c r="AD67" s="27">
        <f>EscapeNew!AC66</f>
        <v>150</v>
      </c>
      <c r="AE67" s="27">
        <f>EscapeNew!AD66</f>
        <v>238</v>
      </c>
      <c r="AF67" s="27">
        <f>EscapeNew!AE66</f>
        <v>128.38075136655178</v>
      </c>
      <c r="AG67" s="27">
        <f>EscapeNew!AF66</f>
        <v>165</v>
      </c>
      <c r="AH67" s="27">
        <f>EscapeNew!AG66</f>
        <v>20</v>
      </c>
      <c r="AI67" s="27">
        <f>EscapeNew!AH66</f>
        <v>150</v>
      </c>
      <c r="AJ67" s="27">
        <f>EscapeNew!AI66</f>
        <v>81</v>
      </c>
      <c r="AK67" s="27">
        <f>EscapeNew!AJ66</f>
        <v>55</v>
      </c>
      <c r="AL67" s="27">
        <f>EscapeNew!AK66</f>
        <v>70</v>
      </c>
      <c r="AM67" s="27">
        <f>EscapeNew!AL66</f>
        <v>97</v>
      </c>
      <c r="AN67" s="27">
        <f>EscapeNew!AM66</f>
        <v>160.65322166569669</v>
      </c>
      <c r="AO67" s="27">
        <f>EscapeNew!AN66</f>
        <v>105.02337157360614</v>
      </c>
      <c r="AP67" s="27">
        <f>EscapeNew!AO66</f>
        <v>226.24863601200846</v>
      </c>
      <c r="AQ67" s="27">
        <f>EscapeNew!AP66</f>
        <v>117.20494035728221</v>
      </c>
      <c r="AR67" s="27">
        <f>EscapeNew!AQ66</f>
        <v>113.64563272074527</v>
      </c>
      <c r="AS67" s="27">
        <f>EscapeNew!AR66</f>
        <v>101</v>
      </c>
      <c r="AT67" s="27">
        <f>EscapeNew!AS66/StockList!F66</f>
        <v>75</v>
      </c>
      <c r="AU67" s="27">
        <f>EscapeNew!AT66/StockList!G66</f>
        <v>0</v>
      </c>
      <c r="AV67" s="27">
        <f>EscapeNew!AU66</f>
        <v>0</v>
      </c>
      <c r="AW67" s="27">
        <f>EscapeNew!AV66</f>
        <v>29</v>
      </c>
      <c r="AX67" s="27">
        <f t="shared" si="0"/>
        <v>84.88585815500268</v>
      </c>
    </row>
    <row r="68" spans="1:50" ht="9" customHeight="1" x14ac:dyDescent="0.2">
      <c r="A68" s="46" t="s">
        <v>182</v>
      </c>
      <c r="B68" s="41">
        <v>66</v>
      </c>
      <c r="C68" s="47">
        <v>8</v>
      </c>
      <c r="D68" s="48">
        <v>1</v>
      </c>
      <c r="E68" s="18" t="str">
        <f>EscapeNew!D67</f>
        <v>Spring 5.2</v>
      </c>
      <c r="F68" s="27">
        <f>EscapeNew!E67</f>
        <v>1.4511313409863265</v>
      </c>
      <c r="G68" s="27">
        <f>EscapeNew!F67</f>
        <v>1.6904608689816387</v>
      </c>
      <c r="H68" s="27">
        <f>EscapeNew!G67</f>
        <v>0</v>
      </c>
      <c r="I68" s="27">
        <f>EscapeNew!H67</f>
        <v>0</v>
      </c>
      <c r="J68" s="27">
        <f>EscapeNew!I67</f>
        <v>0</v>
      </c>
      <c r="K68" s="27">
        <f>EscapeNew!J67</f>
        <v>2.7660472449984681</v>
      </c>
      <c r="L68" s="27">
        <f>EscapeNew!K67</f>
        <v>4.1004440569757223</v>
      </c>
      <c r="M68" s="27">
        <f>EscapeNew!L67</f>
        <v>5.0858999745564439</v>
      </c>
      <c r="N68" s="27">
        <f>EscapeNew!M67</f>
        <v>4.9898504218737143</v>
      </c>
      <c r="O68" s="27">
        <f>EscapeNew!N67</f>
        <v>4.2966291530284684</v>
      </c>
      <c r="P68" s="27">
        <f>EscapeNew!O67</f>
        <v>3.1907606930417765</v>
      </c>
      <c r="Q68" s="27">
        <f>EscapeNew!P67</f>
        <v>3.9975795103523564</v>
      </c>
      <c r="R68" s="27">
        <f>EscapeNew!Q67</f>
        <v>2.8372712165002154</v>
      </c>
      <c r="S68" s="27">
        <f>EscapeNew!R67</f>
        <v>3.551702470599873</v>
      </c>
      <c r="T68" s="27">
        <f>EscapeNew!S67</f>
        <v>3.5605595232264959</v>
      </c>
      <c r="U68" s="27">
        <f>EscapeNew!T67</f>
        <v>5.1688741093097121</v>
      </c>
      <c r="V68" s="27">
        <f>EscapeNew!U67</f>
        <v>3.9538118854744142</v>
      </c>
      <c r="W68" s="27">
        <f>EscapeNew!V67</f>
        <v>3.1304641041528272</v>
      </c>
      <c r="X68" s="27">
        <f>EscapeNew!W67</f>
        <v>3.5797424439951171</v>
      </c>
      <c r="Y68" s="27">
        <f>EscapeNew!X67</f>
        <v>3.0494612490350734</v>
      </c>
      <c r="Z68" s="27">
        <f>EscapeNew!Y67</f>
        <v>2.1236933205311552</v>
      </c>
      <c r="AA68" s="27">
        <f>EscapeNew!Z67</f>
        <v>2.5678963704559314</v>
      </c>
      <c r="AB68" s="27">
        <f>EscapeNew!AA67</f>
        <v>2.9593736668134909</v>
      </c>
      <c r="AC68" s="27">
        <f>EscapeNew!AB67</f>
        <v>3.913253914735686</v>
      </c>
      <c r="AD68" s="27">
        <f>EscapeNew!AC67</f>
        <v>4.7725866190918893</v>
      </c>
      <c r="AE68" s="27">
        <f>EscapeNew!AD67</f>
        <v>3.1506167119642448</v>
      </c>
      <c r="AF68" s="27">
        <f>EscapeNew!AE67</f>
        <v>2.1248530625332234</v>
      </c>
      <c r="AG68" s="27">
        <f>EscapeNew!AF67</f>
        <v>2.121462158891346</v>
      </c>
      <c r="AH68" s="27">
        <f>EscapeNew!AG67</f>
        <v>1.1695923024037693</v>
      </c>
      <c r="AI68" s="27">
        <f>EscapeNew!AH67</f>
        <v>6</v>
      </c>
      <c r="AJ68" s="27">
        <f>EscapeNew!AI67</f>
        <v>2.6028761661981408</v>
      </c>
      <c r="AK68" s="27">
        <f>EscapeNew!AJ67</f>
        <v>23</v>
      </c>
      <c r="AL68" s="27">
        <f>EscapeNew!AK67</f>
        <v>5</v>
      </c>
      <c r="AM68" s="27">
        <f>EscapeNew!AL67</f>
        <v>0</v>
      </c>
      <c r="AN68" s="27">
        <f>EscapeNew!AM67</f>
        <v>0</v>
      </c>
      <c r="AO68" s="27">
        <f>EscapeNew!AN67</f>
        <v>2</v>
      </c>
      <c r="AP68" s="27">
        <f>EscapeNew!AO67</f>
        <v>0</v>
      </c>
      <c r="AQ68" s="27">
        <f>EscapeNew!AP67</f>
        <v>0</v>
      </c>
      <c r="AR68" s="27">
        <f>EscapeNew!AQ67</f>
        <v>0</v>
      </c>
      <c r="AS68" s="27">
        <f>EscapeNew!AR67</f>
        <v>0</v>
      </c>
      <c r="AT68" s="27">
        <f>EscapeNew!AS67/StockList!F67</f>
        <v>2</v>
      </c>
      <c r="AU68" s="27">
        <f>EscapeNew!AT67/StockList!G67</f>
        <v>1.8178782164767506</v>
      </c>
      <c r="AV68" s="27">
        <f>EscapeNew!AU67</f>
        <v>5</v>
      </c>
      <c r="AW68" s="27">
        <f>EscapeNew!AV67</f>
        <v>0</v>
      </c>
      <c r="AX68" s="27">
        <f t="shared" ref="AX68:AX86" si="1">AVERAGE(F68:AW68)</f>
        <v>3.01647210857237</v>
      </c>
    </row>
    <row r="69" spans="1:50" ht="9" customHeight="1" x14ac:dyDescent="0.2">
      <c r="A69" s="46" t="s">
        <v>184</v>
      </c>
      <c r="B69" s="41">
        <v>67</v>
      </c>
      <c r="C69" s="47">
        <v>8</v>
      </c>
      <c r="D69" s="48">
        <v>1</v>
      </c>
      <c r="E69" s="18" t="str">
        <f>EscapeNew!D68</f>
        <v>Spring 5.2</v>
      </c>
      <c r="F69" s="27">
        <f>EscapeNew!E68</f>
        <v>10</v>
      </c>
      <c r="G69" s="27">
        <f>EscapeNew!F68</f>
        <v>22.507572014914274</v>
      </c>
      <c r="H69" s="27">
        <f>EscapeNew!G68</f>
        <v>0</v>
      </c>
      <c r="I69" s="27">
        <f>EscapeNew!H68</f>
        <v>20</v>
      </c>
      <c r="J69" s="27">
        <f>EscapeNew!I68</f>
        <v>0</v>
      </c>
      <c r="K69" s="27">
        <f>EscapeNew!J68</f>
        <v>15</v>
      </c>
      <c r="L69" s="27">
        <f>EscapeNew!K68</f>
        <v>54.595194481553399</v>
      </c>
      <c r="M69" s="27">
        <f>EscapeNew!L68</f>
        <v>67.716006941313708</v>
      </c>
      <c r="N69" s="27">
        <f>EscapeNew!M68</f>
        <v>66.437159105392382</v>
      </c>
      <c r="O69" s="27">
        <f>EscapeNew!N68</f>
        <v>57.207292909078738</v>
      </c>
      <c r="P69" s="27">
        <f>EscapeNew!O68</f>
        <v>42.483252584402543</v>
      </c>
      <c r="Q69" s="27">
        <f>EscapeNew!P68</f>
        <v>53.225608687886577</v>
      </c>
      <c r="R69" s="27">
        <f>EscapeNew!Q68</f>
        <v>50</v>
      </c>
      <c r="S69" s="27">
        <f>EscapeNew!R68</f>
        <v>47.288997100969794</v>
      </c>
      <c r="T69" s="27">
        <f>EscapeNew!S68</f>
        <v>6</v>
      </c>
      <c r="U69" s="27">
        <f>EscapeNew!T68</f>
        <v>68.820762660657522</v>
      </c>
      <c r="V69" s="27">
        <f>EscapeNew!U68</f>
        <v>52.64286643875338</v>
      </c>
      <c r="W69" s="27">
        <f>EscapeNew!V68</f>
        <v>41.680436120813376</v>
      </c>
      <c r="X69" s="27">
        <f>EscapeNew!W68</f>
        <v>47.662334178491101</v>
      </c>
      <c r="Y69" s="27">
        <f>EscapeNew!X68</f>
        <v>40.601926923451821</v>
      </c>
      <c r="Z69" s="27">
        <f>EscapeNew!Y68</f>
        <v>28.275827750004296</v>
      </c>
      <c r="AA69" s="27">
        <f>EscapeNew!Z68</f>
        <v>34.190151067910719</v>
      </c>
      <c r="AB69" s="27">
        <f>EscapeNew!AA68</f>
        <v>39.402459499090035</v>
      </c>
      <c r="AC69" s="27">
        <f>EscapeNew!AB68</f>
        <v>52.102858998219929</v>
      </c>
      <c r="AD69" s="27">
        <f>EscapeNew!AC68</f>
        <v>146</v>
      </c>
      <c r="AE69" s="27">
        <f>EscapeNew!AD68</f>
        <v>41.948757192260032</v>
      </c>
      <c r="AF69" s="27">
        <f>EscapeNew!AE68</f>
        <v>28.291269087398874</v>
      </c>
      <c r="AG69" s="27">
        <f>EscapeNew!AF68</f>
        <v>28.246121039718144</v>
      </c>
      <c r="AH69" s="27">
        <f>EscapeNew!AG68</f>
        <v>15.572488815018033</v>
      </c>
      <c r="AI69" s="27">
        <f>EscapeNew!AH68</f>
        <v>23</v>
      </c>
      <c r="AJ69" s="27">
        <f>EscapeNew!AI68</f>
        <v>14</v>
      </c>
      <c r="AK69" s="27">
        <f>EscapeNew!AJ68</f>
        <v>56</v>
      </c>
      <c r="AL69" s="27">
        <f>EscapeNew!AK68</f>
        <v>28</v>
      </c>
      <c r="AM69" s="27">
        <f>EscapeNew!AL68</f>
        <v>17</v>
      </c>
      <c r="AN69" s="27">
        <f>EscapeNew!AM68</f>
        <v>31</v>
      </c>
      <c r="AO69" s="27">
        <f>EscapeNew!AN68</f>
        <v>23</v>
      </c>
      <c r="AP69" s="27">
        <f>EscapeNew!AO68</f>
        <v>51</v>
      </c>
      <c r="AQ69" s="27">
        <f>EscapeNew!AP68</f>
        <v>9</v>
      </c>
      <c r="AR69" s="27">
        <f>EscapeNew!AQ68</f>
        <v>26</v>
      </c>
      <c r="AS69" s="27">
        <f>EscapeNew!AR68</f>
        <v>62</v>
      </c>
      <c r="AT69" s="27">
        <f>EscapeNew!AS68/StockList!F68</f>
        <v>35</v>
      </c>
      <c r="AU69" s="27">
        <f>EscapeNew!AT68/StockList!G68</f>
        <v>12</v>
      </c>
      <c r="AV69" s="27">
        <f>EscapeNew!AU68</f>
        <v>143</v>
      </c>
      <c r="AW69" s="27">
        <f>EscapeNew!AV68</f>
        <v>46</v>
      </c>
      <c r="AX69" s="27">
        <f t="shared" si="1"/>
        <v>39.861348718120425</v>
      </c>
    </row>
    <row r="70" spans="1:50" ht="10.5" customHeight="1" x14ac:dyDescent="0.2">
      <c r="A70" s="49" t="s">
        <v>191</v>
      </c>
      <c r="B70" s="41">
        <v>68</v>
      </c>
      <c r="C70" s="47">
        <v>10</v>
      </c>
      <c r="D70" s="48">
        <v>5</v>
      </c>
      <c r="E70" s="18" t="str">
        <f>EscapeNew!D69</f>
        <v>Fall</v>
      </c>
      <c r="F70" s="27">
        <f>EscapeNew!E69</f>
        <v>305.92299723352136</v>
      </c>
      <c r="G70" s="27">
        <f>EscapeNew!F69</f>
        <v>204.01399110832529</v>
      </c>
      <c r="H70" s="27">
        <f>EscapeNew!G69</f>
        <v>407.83200335871749</v>
      </c>
      <c r="I70" s="27">
        <f>EscapeNew!H69</f>
        <v>448.61912327174787</v>
      </c>
      <c r="J70" s="27">
        <f>EscapeNew!I69</f>
        <v>122.68276506610147</v>
      </c>
      <c r="K70" s="27">
        <f>EscapeNew!J69</f>
        <v>482.33924556771183</v>
      </c>
      <c r="L70" s="27">
        <f>EscapeNew!K69</f>
        <v>693.4084755616276</v>
      </c>
      <c r="M70" s="27">
        <f>EscapeNew!L69</f>
        <v>657.6893689147463</v>
      </c>
      <c r="N70" s="27">
        <f>EscapeNew!M69</f>
        <v>381.08088925085349</v>
      </c>
      <c r="O70" s="27">
        <f>EscapeNew!N69</f>
        <v>197.40166444166351</v>
      </c>
      <c r="P70" s="27">
        <f>EscapeNew!O69</f>
        <v>311.27713963225284</v>
      </c>
      <c r="Q70" s="27">
        <f>EscapeNew!P69</f>
        <v>708.0598549807039</v>
      </c>
      <c r="R70" s="27">
        <f>EscapeNew!Q69</f>
        <v>397.56271120302466</v>
      </c>
      <c r="S70" s="27">
        <f>EscapeNew!R69</f>
        <v>668.52308018128645</v>
      </c>
      <c r="T70" s="27">
        <f>EscapeNew!S69</f>
        <v>551.35907975458019</v>
      </c>
      <c r="U70" s="27">
        <f>EscapeNew!T69</f>
        <v>422.89885795661183</v>
      </c>
      <c r="V70" s="27">
        <f>EscapeNew!U69</f>
        <v>237.76155044439983</v>
      </c>
      <c r="W70" s="27">
        <f>EscapeNew!V69</f>
        <v>246.57667947422928</v>
      </c>
      <c r="X70" s="27">
        <f>EscapeNew!W69</f>
        <v>606.59376107443643</v>
      </c>
      <c r="Y70" s="27">
        <f>EscapeNew!X69</f>
        <v>891</v>
      </c>
      <c r="Z70" s="27">
        <f>EscapeNew!Y69</f>
        <v>528</v>
      </c>
      <c r="AA70" s="27">
        <f>EscapeNew!Z69</f>
        <v>419</v>
      </c>
      <c r="AB70" s="27">
        <f>EscapeNew!AA69</f>
        <v>820</v>
      </c>
      <c r="AC70" s="27">
        <f>EscapeNew!AB69</f>
        <v>153</v>
      </c>
      <c r="AD70" s="27">
        <f>EscapeNew!AC69</f>
        <v>1136</v>
      </c>
      <c r="AE70" s="27">
        <f>EscapeNew!AD69</f>
        <v>1138</v>
      </c>
      <c r="AF70" s="27">
        <f>EscapeNew!AE69</f>
        <v>1321</v>
      </c>
      <c r="AG70" s="27">
        <f>EscapeNew!AF69</f>
        <v>427.34757803169254</v>
      </c>
      <c r="AH70" s="27">
        <f>EscapeNew!AG69</f>
        <v>403.17162611706908</v>
      </c>
      <c r="AI70" s="27">
        <f>EscapeNew!AH69</f>
        <v>327.68448961840943</v>
      </c>
      <c r="AJ70" s="27">
        <f>EscapeNew!AI69</f>
        <v>500</v>
      </c>
      <c r="AK70" s="27">
        <f>EscapeNew!AJ69</f>
        <v>250</v>
      </c>
      <c r="AL70" s="27">
        <f>EscapeNew!AK69</f>
        <v>693.23209458948782</v>
      </c>
      <c r="AM70" s="27">
        <f>EscapeNew!AL69</f>
        <v>50</v>
      </c>
      <c r="AN70" s="27">
        <f>EscapeNew!AM69</f>
        <v>9</v>
      </c>
      <c r="AO70" s="27">
        <f>EscapeNew!AN69</f>
        <v>414.17779877859027</v>
      </c>
      <c r="AP70" s="27">
        <f>EscapeNew!AO69</f>
        <v>50</v>
      </c>
      <c r="AQ70" s="27">
        <f>EscapeNew!AP69</f>
        <v>318.68514046212283</v>
      </c>
      <c r="AR70" s="27">
        <f>EscapeNew!AQ69</f>
        <v>217.03874600655706</v>
      </c>
      <c r="AS70" s="27">
        <f>EscapeNew!AR69</f>
        <v>290.59353096599671</v>
      </c>
      <c r="AT70" s="27">
        <f>EscapeNew!AS69/StockList!F69</f>
        <v>0.01</v>
      </c>
      <c r="AU70" s="27">
        <f>EscapeNew!AT69/StockList!G69</f>
        <v>0.01</v>
      </c>
      <c r="AV70" s="27">
        <f>EscapeNew!AU69</f>
        <v>374.06484613684961</v>
      </c>
      <c r="AW70" s="27">
        <f>EscapeNew!AV69</f>
        <v>630.38951400466976</v>
      </c>
      <c r="AX70" s="27">
        <f t="shared" si="1"/>
        <v>441.20474098154517</v>
      </c>
    </row>
    <row r="71" spans="1:50" ht="10.5" customHeight="1" x14ac:dyDescent="0.2">
      <c r="A71" s="49" t="s">
        <v>126</v>
      </c>
      <c r="B71" s="41">
        <v>69</v>
      </c>
      <c r="C71" s="47">
        <v>4</v>
      </c>
      <c r="D71" s="48">
        <v>1</v>
      </c>
      <c r="E71" s="18" t="str">
        <f>EscapeNew!D70</f>
        <v>Spring 5.2</v>
      </c>
      <c r="F71" s="27">
        <f>EscapeNew!E70</f>
        <v>125.11548359228289</v>
      </c>
      <c r="G71" s="27">
        <f>EscapeNew!F70</f>
        <v>145.7503005708023</v>
      </c>
      <c r="H71" s="27">
        <f>EscapeNew!G70</f>
        <v>95.744559661741718</v>
      </c>
      <c r="I71" s="27">
        <f>EscapeNew!H70</f>
        <v>121.73964228895936</v>
      </c>
      <c r="J71" s="27">
        <f>EscapeNew!I70</f>
        <v>184.74997833335865</v>
      </c>
      <c r="K71" s="27">
        <f>EscapeNew!J70</f>
        <v>238.48657176810713</v>
      </c>
      <c r="L71" s="27">
        <f>EscapeNew!K70</f>
        <v>353.53728959014603</v>
      </c>
      <c r="M71" s="27">
        <f>EscapeNew!L70</f>
        <v>438.50257853717221</v>
      </c>
      <c r="N71" s="27">
        <f>EscapeNew!M70</f>
        <v>430.22125630719813</v>
      </c>
      <c r="O71" s="27">
        <f>EscapeNew!N70</f>
        <v>370.4522251807137</v>
      </c>
      <c r="P71" s="27">
        <f>EscapeNew!O70</f>
        <v>275.10505483661194</v>
      </c>
      <c r="Q71" s="27">
        <f>EscapeNew!P70</f>
        <v>300</v>
      </c>
      <c r="R71" s="27">
        <f>EscapeNew!Q70</f>
        <v>400</v>
      </c>
      <c r="S71" s="27">
        <f>EscapeNew!R70</f>
        <v>250</v>
      </c>
      <c r="T71" s="27">
        <f>EscapeNew!S70</f>
        <v>300</v>
      </c>
      <c r="U71" s="27">
        <f>EscapeNew!T70</f>
        <v>250</v>
      </c>
      <c r="V71" s="27">
        <f>EscapeNew!U70</f>
        <v>250</v>
      </c>
      <c r="W71" s="27">
        <f>EscapeNew!V70</f>
        <v>150</v>
      </c>
      <c r="X71" s="27">
        <f>EscapeNew!W70</f>
        <v>292</v>
      </c>
      <c r="Y71" s="27">
        <f>EscapeNew!X70</f>
        <v>360</v>
      </c>
      <c r="Z71" s="27">
        <f>EscapeNew!Y70</f>
        <v>34</v>
      </c>
      <c r="AA71" s="27">
        <f>EscapeNew!Z70</f>
        <v>282</v>
      </c>
      <c r="AB71" s="27">
        <f>EscapeNew!AA70</f>
        <v>718</v>
      </c>
      <c r="AC71" s="27">
        <f>EscapeNew!AB70</f>
        <v>420</v>
      </c>
      <c r="AD71" s="27">
        <f>EscapeNew!AC70</f>
        <v>423</v>
      </c>
      <c r="AE71" s="27">
        <f>EscapeNew!AD70</f>
        <v>271.64387012922288</v>
      </c>
      <c r="AF71" s="27">
        <f>EscapeNew!AE70</f>
        <v>183.20327800286449</v>
      </c>
      <c r="AG71" s="27">
        <f>EscapeNew!AF70</f>
        <v>31</v>
      </c>
      <c r="AH71" s="27">
        <f>EscapeNew!AG70</f>
        <v>100.8413934617363</v>
      </c>
      <c r="AI71" s="27">
        <f>EscapeNew!AH70</f>
        <v>75</v>
      </c>
      <c r="AJ71" s="27">
        <f>EscapeNew!AI70</f>
        <v>224.41808061519652</v>
      </c>
      <c r="AK71" s="27">
        <f>EscapeNew!AJ70</f>
        <v>154.75057069601596</v>
      </c>
      <c r="AL71" s="27">
        <f>EscapeNew!AK70</f>
        <v>163</v>
      </c>
      <c r="AM71" s="27">
        <f>EscapeNew!AL70</f>
        <v>97.763144770872131</v>
      </c>
      <c r="AN71" s="27">
        <f>EscapeNew!AM70</f>
        <v>146.36610805427102</v>
      </c>
      <c r="AO71" s="27">
        <f>EscapeNew!AN70</f>
        <v>300.13890607998331</v>
      </c>
      <c r="AP71" s="27">
        <f>EscapeNew!AO70</f>
        <v>208.28183222206724</v>
      </c>
      <c r="AQ71" s="27">
        <f>EscapeNew!AP70</f>
        <v>123.63296571304579</v>
      </c>
      <c r="AR71" s="27">
        <f>EscapeNew!AQ70</f>
        <v>78.54819122329971</v>
      </c>
      <c r="AS71" s="27">
        <f>EscapeNew!AR70</f>
        <v>81.942276020562048</v>
      </c>
      <c r="AT71" s="27">
        <f>EscapeNew!AS70/StockList!F70</f>
        <v>26</v>
      </c>
      <c r="AU71" s="27">
        <f>EscapeNew!AT70/StockList!G70</f>
        <v>114</v>
      </c>
      <c r="AV71" s="27">
        <f>EscapeNew!AU70</f>
        <v>14</v>
      </c>
      <c r="AW71" s="27">
        <f>EscapeNew!AV70</f>
        <v>14</v>
      </c>
      <c r="AX71" s="27">
        <f t="shared" si="1"/>
        <v>218.56671721945978</v>
      </c>
    </row>
    <row r="72" spans="1:50" ht="10.5" customHeight="1" x14ac:dyDescent="0.2">
      <c r="A72" s="49" t="s">
        <v>128</v>
      </c>
      <c r="B72" s="41">
        <v>70</v>
      </c>
      <c r="C72" s="47">
        <v>11</v>
      </c>
      <c r="D72" s="48">
        <v>2</v>
      </c>
      <c r="E72" s="18" t="str">
        <f>EscapeNew!D71</f>
        <v>Summer 5.2</v>
      </c>
      <c r="F72" s="27">
        <f>EscapeNew!E71</f>
        <v>75</v>
      </c>
      <c r="G72" s="27">
        <f>EscapeNew!F71</f>
        <v>20</v>
      </c>
      <c r="H72" s="27">
        <f>EscapeNew!G71</f>
        <v>100</v>
      </c>
      <c r="I72" s="27">
        <f>EscapeNew!H71</f>
        <v>20</v>
      </c>
      <c r="J72" s="27">
        <f>EscapeNew!I71</f>
        <v>75</v>
      </c>
      <c r="K72" s="27">
        <f>EscapeNew!J71</f>
        <v>50</v>
      </c>
      <c r="L72" s="27">
        <f>EscapeNew!K71</f>
        <v>30</v>
      </c>
      <c r="M72" s="27">
        <f>EscapeNew!L71</f>
        <v>25</v>
      </c>
      <c r="N72" s="27">
        <f>EscapeNew!M71</f>
        <v>70.7683959477461</v>
      </c>
      <c r="O72" s="27">
        <f>EscapeNew!N71</f>
        <v>78.942128493936536</v>
      </c>
      <c r="P72" s="27">
        <f>EscapeNew!O71</f>
        <v>41.8748141352511</v>
      </c>
      <c r="Q72" s="27">
        <f>EscapeNew!P71</f>
        <v>81.147469096506072</v>
      </c>
      <c r="R72" s="27">
        <f>EscapeNew!Q71</f>
        <v>69.171846411872792</v>
      </c>
      <c r="S72" s="27">
        <f>EscapeNew!R71</f>
        <v>92.497918114917383</v>
      </c>
      <c r="T72" s="27">
        <f>EscapeNew!S71</f>
        <v>51.417043609997648</v>
      </c>
      <c r="U72" s="27">
        <f>EscapeNew!T71</f>
        <v>56.629459476974162</v>
      </c>
      <c r="V72" s="27">
        <f>EscapeNew!U71</f>
        <v>72.05819916695836</v>
      </c>
      <c r="W72" s="27">
        <f>EscapeNew!V71</f>
        <v>104.97557325261906</v>
      </c>
      <c r="X72" s="27">
        <f>EscapeNew!W71</f>
        <v>102.4875721234864</v>
      </c>
      <c r="Y72" s="27">
        <f>EscapeNew!X71</f>
        <v>87.36896505511487</v>
      </c>
      <c r="Z72" s="27">
        <f>EscapeNew!Y71</f>
        <v>61.456402289456591</v>
      </c>
      <c r="AA72" s="27">
        <f>EscapeNew!Z71</f>
        <v>82.106921569051707</v>
      </c>
      <c r="AB72" s="27">
        <f>EscapeNew!AA71</f>
        <v>92.779248957663697</v>
      </c>
      <c r="AC72" s="27">
        <f>EscapeNew!AB71</f>
        <v>82.234658573298645</v>
      </c>
      <c r="AD72" s="27">
        <f>EscapeNew!AC71</f>
        <v>120.13360369606082</v>
      </c>
      <c r="AE72" s="27">
        <f>EscapeNew!AD71</f>
        <v>80.735218739280441</v>
      </c>
      <c r="AF72" s="27">
        <f>EscapeNew!AE71</f>
        <v>134</v>
      </c>
      <c r="AG72" s="27">
        <f>EscapeNew!AF71</f>
        <v>209</v>
      </c>
      <c r="AH72" s="27">
        <f>EscapeNew!AG71</f>
        <v>62</v>
      </c>
      <c r="AI72" s="27">
        <f>EscapeNew!AH71</f>
        <v>20</v>
      </c>
      <c r="AJ72" s="27">
        <f>EscapeNew!AI71</f>
        <v>38</v>
      </c>
      <c r="AK72" s="27">
        <f>EscapeNew!AJ71</f>
        <v>32</v>
      </c>
      <c r="AL72" s="27">
        <f>EscapeNew!AK71</f>
        <v>63</v>
      </c>
      <c r="AM72" s="27">
        <f>EscapeNew!AL71</f>
        <v>88</v>
      </c>
      <c r="AN72" s="27">
        <f>EscapeNew!AM71</f>
        <v>78</v>
      </c>
      <c r="AO72" s="27">
        <f>EscapeNew!AN71</f>
        <v>38</v>
      </c>
      <c r="AP72" s="27">
        <f>EscapeNew!AO71</f>
        <v>94</v>
      </c>
      <c r="AQ72" s="27">
        <f>EscapeNew!AP71</f>
        <v>48</v>
      </c>
      <c r="AR72" s="27">
        <f>EscapeNew!AQ71</f>
        <v>105</v>
      </c>
      <c r="AS72" s="27">
        <f>EscapeNew!AR71</f>
        <v>20</v>
      </c>
      <c r="AT72" s="27">
        <f>EscapeNew!AS71/StockList!F71</f>
        <v>31</v>
      </c>
      <c r="AU72" s="27">
        <f>EscapeNew!AT71/StockList!G71</f>
        <v>66</v>
      </c>
      <c r="AV72" s="27">
        <f>EscapeNew!AU71</f>
        <v>60</v>
      </c>
      <c r="AW72" s="27">
        <f>EscapeNew!AV71</f>
        <v>12</v>
      </c>
      <c r="AX72" s="27">
        <f t="shared" si="1"/>
        <v>68.676941788868007</v>
      </c>
    </row>
    <row r="73" spans="1:50" ht="10.5" customHeight="1" x14ac:dyDescent="0.2">
      <c r="A73" s="49" t="s">
        <v>140</v>
      </c>
      <c r="B73" s="41">
        <v>71</v>
      </c>
      <c r="C73" s="47">
        <v>11</v>
      </c>
      <c r="D73" s="48">
        <v>2</v>
      </c>
      <c r="E73" s="18" t="str">
        <f>EscapeNew!D72</f>
        <v>Summer 5.2</v>
      </c>
      <c r="F73" s="27">
        <f>EscapeNew!E72</f>
        <v>541.71679871703202</v>
      </c>
      <c r="G73" s="27">
        <f>EscapeNew!F72</f>
        <v>719.64801554575649</v>
      </c>
      <c r="H73" s="27">
        <f>EscapeNew!G72</f>
        <v>687.11468701545346</v>
      </c>
      <c r="I73" s="27">
        <f>EscapeNew!H72</f>
        <v>775.67866702657943</v>
      </c>
      <c r="J73" s="27">
        <f>EscapeNew!I72</f>
        <v>861.68965842942919</v>
      </c>
      <c r="K73" s="27">
        <f>EscapeNew!J72</f>
        <v>734.39168602557891</v>
      </c>
      <c r="L73" s="27">
        <f>EscapeNew!K72</f>
        <v>990.7281316219827</v>
      </c>
      <c r="M73" s="27">
        <f>EscapeNew!L72</f>
        <v>1687.3433636806933</v>
      </c>
      <c r="N73" s="27">
        <f>EscapeNew!M72</f>
        <v>1474.4357200984061</v>
      </c>
      <c r="O73" s="27">
        <f>EscapeNew!N72</f>
        <v>1644.7326877099476</v>
      </c>
      <c r="P73" s="27">
        <f>EscapeNew!O72</f>
        <v>872.44766405451173</v>
      </c>
      <c r="Q73" s="27">
        <f>EscapeNew!P72</f>
        <v>1719</v>
      </c>
      <c r="R73" s="27">
        <f>EscapeNew!Q72</f>
        <v>675</v>
      </c>
      <c r="S73" s="27">
        <f>EscapeNew!R72</f>
        <v>1927.1630037237721</v>
      </c>
      <c r="T73" s="27">
        <f>EscapeNew!S72</f>
        <v>1071.2568047524403</v>
      </c>
      <c r="U73" s="27">
        <f>EscapeNew!T72</f>
        <v>797</v>
      </c>
      <c r="V73" s="27">
        <f>EscapeNew!U72</f>
        <v>1501.3083362264963</v>
      </c>
      <c r="W73" s="27">
        <f>EscapeNew!V72</f>
        <v>2187.1307505083832</v>
      </c>
      <c r="X73" s="27">
        <f>EscapeNew!W72</f>
        <v>2135.2940840514098</v>
      </c>
      <c r="Y73" s="27">
        <f>EscapeNew!X72</f>
        <v>1324</v>
      </c>
      <c r="Z73" s="27">
        <f>EscapeNew!Y72</f>
        <v>1280.4234651753218</v>
      </c>
      <c r="AA73" s="27">
        <f>EscapeNew!Z72</f>
        <v>1710.6700866601143</v>
      </c>
      <c r="AB73" s="27">
        <f>EscapeNew!AA72</f>
        <v>1933.0244371808317</v>
      </c>
      <c r="AC73" s="27">
        <f>EscapeNew!AB72</f>
        <v>515</v>
      </c>
      <c r="AD73" s="27">
        <f>EscapeNew!AC72</f>
        <v>1510</v>
      </c>
      <c r="AE73" s="27">
        <f>EscapeNew!AD72</f>
        <v>692</v>
      </c>
      <c r="AF73" s="27">
        <f>EscapeNew!AE72</f>
        <v>720</v>
      </c>
      <c r="AG73" s="27">
        <f>EscapeNew!AF72</f>
        <v>1694.8468154813827</v>
      </c>
      <c r="AH73" s="27">
        <f>EscapeNew!AG72</f>
        <v>700.26618436123579</v>
      </c>
      <c r="AI73" s="27">
        <f>EscapeNew!AH72</f>
        <v>635</v>
      </c>
      <c r="AJ73" s="27">
        <f>EscapeNew!AI72</f>
        <v>906</v>
      </c>
      <c r="AK73" s="27">
        <f>EscapeNew!AJ72</f>
        <v>1167.2745400297799</v>
      </c>
      <c r="AL73" s="27">
        <f>EscapeNew!AK72</f>
        <v>1040.6911227968631</v>
      </c>
      <c r="AM73" s="27">
        <f>EscapeNew!AL72</f>
        <v>587</v>
      </c>
      <c r="AN73" s="27">
        <f>EscapeNew!AM72</f>
        <v>1841</v>
      </c>
      <c r="AO73" s="27">
        <f>EscapeNew!AN72</f>
        <v>1112</v>
      </c>
      <c r="AP73" s="27">
        <f>EscapeNew!AO72</f>
        <v>1416</v>
      </c>
      <c r="AQ73" s="27">
        <f>EscapeNew!AP72</f>
        <v>1122</v>
      </c>
      <c r="AR73" s="27">
        <f>EscapeNew!AQ72</f>
        <v>874</v>
      </c>
      <c r="AS73" s="27">
        <f>EscapeNew!AR72</f>
        <v>862</v>
      </c>
      <c r="AT73" s="27">
        <f>EscapeNew!AS72/StockList!F72</f>
        <v>1443</v>
      </c>
      <c r="AU73" s="27">
        <f>EscapeNew!AT72/StockList!G72</f>
        <v>2439</v>
      </c>
      <c r="AV73" s="27">
        <f>EscapeNew!AU72</f>
        <v>2353</v>
      </c>
      <c r="AW73" s="27">
        <f>EscapeNew!AV72</f>
        <v>3265</v>
      </c>
      <c r="AX73" s="27">
        <f t="shared" si="1"/>
        <v>1276.0517434289409</v>
      </c>
    </row>
    <row r="74" spans="1:50" ht="10.5" customHeight="1" x14ac:dyDescent="0.2">
      <c r="A74" s="49" t="s">
        <v>146</v>
      </c>
      <c r="B74" s="41">
        <v>72</v>
      </c>
      <c r="C74" s="47">
        <v>11</v>
      </c>
      <c r="D74" s="48">
        <v>2</v>
      </c>
      <c r="E74" s="18" t="str">
        <f>EscapeNew!D73</f>
        <v>Summer 5.2</v>
      </c>
      <c r="F74" s="27">
        <f>EscapeNew!E73</f>
        <v>4.7286802290366499</v>
      </c>
      <c r="G74" s="27">
        <f>EscapeNew!F73</f>
        <v>6.2818530845565332</v>
      </c>
      <c r="H74" s="27">
        <f>EscapeNew!G73</f>
        <v>5.9978676003139508</v>
      </c>
      <c r="I74" s="27">
        <f>EscapeNew!H73</f>
        <v>25</v>
      </c>
      <c r="J74" s="27">
        <f>EscapeNew!I73</f>
        <v>15</v>
      </c>
      <c r="K74" s="27">
        <f>EscapeNew!J73</f>
        <v>6.4105515175135386</v>
      </c>
      <c r="L74" s="27">
        <f>EscapeNew!K73</f>
        <v>8.6481285783393851</v>
      </c>
      <c r="M74" s="27">
        <f>EscapeNew!L73</f>
        <v>14.728927037761858</v>
      </c>
      <c r="N74" s="27">
        <f>EscapeNew!M73</f>
        <v>0</v>
      </c>
      <c r="O74" s="27">
        <f>EscapeNew!N73</f>
        <v>14.356975749771616</v>
      </c>
      <c r="P74" s="27">
        <f>EscapeNew!O73</f>
        <v>7.6156508892735371</v>
      </c>
      <c r="Q74" s="27">
        <f>EscapeNew!P73</f>
        <v>14.758054643324751</v>
      </c>
      <c r="R74" s="27">
        <f>EscapeNew!Q73</f>
        <v>12.580082909450097</v>
      </c>
      <c r="S74" s="27">
        <f>EscapeNew!R73</f>
        <v>16.822327857326915</v>
      </c>
      <c r="T74" s="27">
        <f>EscapeNew!S73</f>
        <v>9.3510684639113286</v>
      </c>
      <c r="U74" s="27">
        <f>EscapeNew!T73</f>
        <v>10.29903540662753</v>
      </c>
      <c r="V74" s="27">
        <f>EscapeNew!U73</f>
        <v>13.105015506285675</v>
      </c>
      <c r="W74" s="27">
        <f>EscapeNew!V73</f>
        <v>19.091602776101823</v>
      </c>
      <c r="X74" s="27">
        <f>EscapeNew!W73</f>
        <v>18.639117233111865</v>
      </c>
      <c r="Y74" s="27">
        <f>EscapeNew!X73</f>
        <v>15.889540053069046</v>
      </c>
      <c r="Z74" s="27">
        <f>EscapeNew!Y73</f>
        <v>11.1768974839044</v>
      </c>
      <c r="AA74" s="27">
        <f>EscapeNew!Z73</f>
        <v>14.932547479332513</v>
      </c>
      <c r="AB74" s="27">
        <f>EscapeNew!AA73</f>
        <v>16.873492681027887</v>
      </c>
      <c r="AC74" s="27">
        <f>EscapeNew!AB73</f>
        <v>46</v>
      </c>
      <c r="AD74" s="27">
        <f>EscapeNew!AC73</f>
        <v>0</v>
      </c>
      <c r="AE74" s="27">
        <f>EscapeNew!AD73</f>
        <v>7</v>
      </c>
      <c r="AF74" s="27">
        <f>EscapeNew!AE73</f>
        <v>0</v>
      </c>
      <c r="AG74" s="27">
        <f>EscapeNew!AF73</f>
        <v>0</v>
      </c>
      <c r="AH74" s="27">
        <f>EscapeNew!AG73</f>
        <v>6.1126678531924172</v>
      </c>
      <c r="AI74" s="27">
        <f>EscapeNew!AH73</f>
        <v>0</v>
      </c>
      <c r="AJ74" s="27">
        <f>EscapeNew!AI73</f>
        <v>12.088563908951985</v>
      </c>
      <c r="AK74" s="27">
        <f>EscapeNew!AJ73</f>
        <v>10.189213353488583</v>
      </c>
      <c r="AL74" s="27">
        <f>EscapeNew!AK73</f>
        <v>9.0842586911801373</v>
      </c>
      <c r="AM74" s="27">
        <f>EscapeNew!AL73</f>
        <v>4.8877139094777622</v>
      </c>
      <c r="AN74" s="27">
        <f>EscapeNew!AM73</f>
        <v>6.6533639931760753</v>
      </c>
      <c r="AO74" s="27">
        <f>EscapeNew!AN73</f>
        <v>12.00843853996466</v>
      </c>
      <c r="AP74" s="27">
        <f>EscapeNew!AO73</f>
        <v>16.448238461030613</v>
      </c>
      <c r="AQ74" s="27">
        <f>EscapeNew!AP73</f>
        <v>0</v>
      </c>
      <c r="AR74" s="27">
        <f>EscapeNew!AQ73</f>
        <v>29</v>
      </c>
      <c r="AS74" s="27">
        <f>EscapeNew!AR73</f>
        <v>0</v>
      </c>
      <c r="AT74" s="27">
        <f>EscapeNew!AS73/StockList!F73</f>
        <v>0</v>
      </c>
      <c r="AU74" s="27">
        <f>EscapeNew!AT73/StockList!G73</f>
        <v>34</v>
      </c>
      <c r="AV74" s="27">
        <f>EscapeNew!AU73</f>
        <v>8.2876005797741357</v>
      </c>
      <c r="AW74" s="27">
        <f>EscapeNew!AV73</f>
        <v>14.871496850705963</v>
      </c>
      <c r="AX74" s="27">
        <f t="shared" si="1"/>
        <v>11.339067575476891</v>
      </c>
    </row>
    <row r="75" spans="1:50" ht="10.5" customHeight="1" x14ac:dyDescent="0.2">
      <c r="A75" s="49" t="s">
        <v>154</v>
      </c>
      <c r="B75" s="41">
        <v>73</v>
      </c>
      <c r="C75" s="47">
        <v>1</v>
      </c>
      <c r="D75" s="48">
        <v>1</v>
      </c>
      <c r="E75" s="18" t="str">
        <f>EscapeNew!D74</f>
        <v>Spring 5.2</v>
      </c>
      <c r="F75" s="27">
        <f>EscapeNew!E74</f>
        <v>16.781827749899541</v>
      </c>
      <c r="G75" s="27">
        <f>EscapeNew!F74</f>
        <v>19.54959025412068</v>
      </c>
      <c r="H75" s="27">
        <f>EscapeNew!G74</f>
        <v>12.842285080153221</v>
      </c>
      <c r="I75" s="27">
        <f>EscapeNew!H74</f>
        <v>16.329023783221945</v>
      </c>
      <c r="J75" s="27">
        <f>EscapeNew!I74</f>
        <v>24.780644442790077</v>
      </c>
      <c r="K75" s="27">
        <f>EscapeNew!J74</f>
        <v>31.988371488205534</v>
      </c>
      <c r="L75" s="27">
        <f>EscapeNew!K74</f>
        <v>47.420205131462488</v>
      </c>
      <c r="M75" s="27">
        <f>EscapeNew!L74</f>
        <v>58.816659054591355</v>
      </c>
      <c r="N75" s="27">
        <f>EscapeNew!M74</f>
        <v>57.705879483473495</v>
      </c>
      <c r="O75" s="27">
        <f>EscapeNew!N74</f>
        <v>49.689017330651083</v>
      </c>
      <c r="P75" s="27">
        <f>EscapeNew!O74</f>
        <v>36.900034358972427</v>
      </c>
      <c r="Q75" s="27">
        <f>EscapeNew!P74</f>
        <v>46.230612532744637</v>
      </c>
      <c r="R75" s="27">
        <f>EscapeNew!Q74</f>
        <v>32.812051873051786</v>
      </c>
      <c r="S75" s="27">
        <f>EscapeNew!R74</f>
        <v>41.074200106509409</v>
      </c>
      <c r="T75" s="27">
        <f>EscapeNew!S74</f>
        <v>41.176628830466782</v>
      </c>
      <c r="U75" s="27">
        <f>EscapeNew!T74</f>
        <v>59.776225978547281</v>
      </c>
      <c r="V75" s="27">
        <f>EscapeNew!U74</f>
        <v>8</v>
      </c>
      <c r="W75" s="27">
        <f>EscapeNew!V74</f>
        <v>14</v>
      </c>
      <c r="X75" s="27">
        <f>EscapeNew!W74</f>
        <v>45</v>
      </c>
      <c r="Y75" s="27">
        <f>EscapeNew!X74</f>
        <v>18</v>
      </c>
      <c r="Z75" s="27">
        <f>EscapeNew!Y74</f>
        <v>24.559772428691456</v>
      </c>
      <c r="AA75" s="27">
        <f>EscapeNew!Z74</f>
        <v>15</v>
      </c>
      <c r="AB75" s="27">
        <f>EscapeNew!AA74</f>
        <v>74</v>
      </c>
      <c r="AC75" s="27">
        <f>EscapeNew!AB74</f>
        <v>126</v>
      </c>
      <c r="AD75" s="27">
        <f>EscapeNew!AC74</f>
        <v>48</v>
      </c>
      <c r="AE75" s="27">
        <f>EscapeNew!AD74</f>
        <v>54</v>
      </c>
      <c r="AF75" s="27">
        <f>EscapeNew!AE74</f>
        <v>17</v>
      </c>
      <c r="AG75" s="27">
        <f>EscapeNew!AF74</f>
        <v>72</v>
      </c>
      <c r="AH75" s="27">
        <f>EscapeNew!AG74</f>
        <v>6</v>
      </c>
      <c r="AI75" s="27">
        <f>EscapeNew!AH74</f>
        <v>6</v>
      </c>
      <c r="AJ75" s="27">
        <f>EscapeNew!AI74</f>
        <v>86</v>
      </c>
      <c r="AK75" s="27">
        <f>EscapeNew!AJ74</f>
        <v>14</v>
      </c>
      <c r="AL75" s="27">
        <f>EscapeNew!AK74</f>
        <v>11</v>
      </c>
      <c r="AM75" s="27">
        <f>EscapeNew!AL74</f>
        <v>25</v>
      </c>
      <c r="AN75" s="27">
        <f>EscapeNew!AM74</f>
        <v>31</v>
      </c>
      <c r="AO75" s="27">
        <f>EscapeNew!AN74</f>
        <v>28</v>
      </c>
      <c r="AP75" s="27">
        <f>EscapeNew!AO74</f>
        <v>5</v>
      </c>
      <c r="AQ75" s="27">
        <f>EscapeNew!AP74</f>
        <v>22</v>
      </c>
      <c r="AR75" s="27">
        <f>EscapeNew!AQ74</f>
        <v>2</v>
      </c>
      <c r="AS75" s="27">
        <f>EscapeNew!AR74</f>
        <v>15</v>
      </c>
      <c r="AT75" s="27">
        <f>EscapeNew!AS74/StockList!F74</f>
        <v>25.635990958659811</v>
      </c>
      <c r="AU75" s="27">
        <f>EscapeNew!AT74/StockList!G74</f>
        <v>26.95272747434581</v>
      </c>
      <c r="AV75" s="27">
        <f>EscapeNew!AU74</f>
        <v>9</v>
      </c>
      <c r="AW75" s="27">
        <f>EscapeNew!AV74</f>
        <v>26</v>
      </c>
      <c r="AX75" s="27">
        <f t="shared" si="1"/>
        <v>32.909585189558157</v>
      </c>
    </row>
    <row r="76" spans="1:50" ht="10.5" customHeight="1" x14ac:dyDescent="0.2">
      <c r="A76" s="49" t="s">
        <v>158</v>
      </c>
      <c r="B76" s="41">
        <v>74</v>
      </c>
      <c r="C76" s="47">
        <v>2</v>
      </c>
      <c r="D76" s="48">
        <v>2</v>
      </c>
      <c r="E76" s="18" t="str">
        <f>EscapeNew!D75</f>
        <v>Summer 5.2</v>
      </c>
      <c r="F76" s="27">
        <f>EscapeNew!E75</f>
        <v>25</v>
      </c>
      <c r="G76" s="27">
        <f>EscapeNew!F75</f>
        <v>2.5775731791183571</v>
      </c>
      <c r="H76" s="27">
        <f>EscapeNew!G75</f>
        <v>2</v>
      </c>
      <c r="I76" s="27">
        <f>EscapeNew!H75</f>
        <v>2.7782589329114415</v>
      </c>
      <c r="J76" s="27">
        <f>EscapeNew!I75</f>
        <v>0</v>
      </c>
      <c r="K76" s="27">
        <f>EscapeNew!J75</f>
        <v>0</v>
      </c>
      <c r="L76" s="27">
        <f>EscapeNew!K75</f>
        <v>5</v>
      </c>
      <c r="M76" s="27">
        <f>EscapeNew!L75</f>
        <v>6.0435808954303631</v>
      </c>
      <c r="N76" s="27">
        <f>EscapeNew!M75</f>
        <v>5.2810066648729226</v>
      </c>
      <c r="O76" s="27">
        <f>EscapeNew!N75</f>
        <v>5.890961652197956</v>
      </c>
      <c r="P76" s="27">
        <f>EscapeNew!O75</f>
        <v>3.1248577783487126</v>
      </c>
      <c r="Q76" s="27">
        <f>EscapeNew!P75</f>
        <v>6.0555325494821632</v>
      </c>
      <c r="R76" s="27">
        <f>EscapeNew!Q75</f>
        <v>5.1618660707301327</v>
      </c>
      <c r="S76" s="27">
        <f>EscapeNew!R75</f>
        <v>6.9025461932531789</v>
      </c>
      <c r="T76" s="27">
        <f>EscapeNew!S75</f>
        <v>3.8369352075318215</v>
      </c>
      <c r="U76" s="27">
        <f>EscapeNew!T75</f>
        <v>5</v>
      </c>
      <c r="V76" s="27">
        <f>EscapeNew!U75</f>
        <v>5.3772566830599109</v>
      </c>
      <c r="W76" s="27">
        <f>EscapeNew!V75</f>
        <v>0</v>
      </c>
      <c r="X76" s="27">
        <f>EscapeNew!W75</f>
        <v>7.648012141612119</v>
      </c>
      <c r="Y76" s="27">
        <f>EscapeNew!X75</f>
        <v>0</v>
      </c>
      <c r="Z76" s="27">
        <f>EscapeNew!Y75</f>
        <v>0.01</v>
      </c>
      <c r="AA76" s="27">
        <f>EscapeNew!Z75</f>
        <v>0.01</v>
      </c>
      <c r="AB76" s="27">
        <f>EscapeNew!AA75</f>
        <v>0</v>
      </c>
      <c r="AC76" s="27">
        <f>EscapeNew!AB75</f>
        <v>0</v>
      </c>
      <c r="AD76" s="27">
        <f>EscapeNew!AC75</f>
        <v>3</v>
      </c>
      <c r="AE76" s="27">
        <f>EscapeNew!AD75</f>
        <v>8</v>
      </c>
      <c r="AF76" s="27">
        <f>EscapeNew!AE75</f>
        <v>4.3265403278826984</v>
      </c>
      <c r="AG76" s="27">
        <f>EscapeNew!AF75</f>
        <v>6.0704561117784515</v>
      </c>
      <c r="AH76" s="27">
        <f>EscapeNew!AG75</f>
        <v>2.5081530082233763</v>
      </c>
      <c r="AI76" s="27">
        <f>EscapeNew!AH75</f>
        <v>35</v>
      </c>
      <c r="AJ76" s="27">
        <f>EscapeNew!AI75</f>
        <v>18</v>
      </c>
      <c r="AK76" s="27">
        <f>EscapeNew!AJ75</f>
        <v>0</v>
      </c>
      <c r="AL76" s="27">
        <f>EscapeNew!AK75</f>
        <v>0</v>
      </c>
      <c r="AM76" s="27">
        <f>EscapeNew!AL75</f>
        <v>6</v>
      </c>
      <c r="AN76" s="27">
        <f>EscapeNew!AM75</f>
        <v>14</v>
      </c>
      <c r="AO76" s="27">
        <f>EscapeNew!AN75</f>
        <v>0</v>
      </c>
      <c r="AP76" s="27">
        <f>EscapeNew!AO75</f>
        <v>0</v>
      </c>
      <c r="AQ76" s="27">
        <f>EscapeNew!AP75</f>
        <v>0</v>
      </c>
      <c r="AR76" s="27">
        <f>EscapeNew!AQ75</f>
        <v>0</v>
      </c>
      <c r="AS76" s="27">
        <f>EscapeNew!AR75</f>
        <v>5</v>
      </c>
      <c r="AT76" s="27">
        <f>EscapeNew!AS75/StockList!F75</f>
        <v>0</v>
      </c>
      <c r="AU76" s="27">
        <f>EscapeNew!AT75/StockList!G75</f>
        <v>0</v>
      </c>
      <c r="AV76" s="27">
        <f>EscapeNew!AU75</f>
        <v>2</v>
      </c>
      <c r="AW76" s="27">
        <f>EscapeNew!AV75</f>
        <v>0</v>
      </c>
      <c r="AX76" s="27">
        <f t="shared" si="1"/>
        <v>4.5818985771916729</v>
      </c>
    </row>
    <row r="77" spans="1:50" ht="10.5" customHeight="1" x14ac:dyDescent="0.2">
      <c r="A77" s="49" t="s">
        <v>159</v>
      </c>
      <c r="B77" s="41">
        <v>75</v>
      </c>
      <c r="C77" s="47">
        <v>2</v>
      </c>
      <c r="D77" s="48">
        <v>2</v>
      </c>
      <c r="E77" s="18" t="str">
        <f>EscapeNew!D76</f>
        <v>Summer 5.2</v>
      </c>
      <c r="F77" s="27">
        <f>EscapeNew!E76</f>
        <v>75</v>
      </c>
      <c r="G77" s="27">
        <f>EscapeNew!F76</f>
        <v>25</v>
      </c>
      <c r="H77" s="27">
        <f>EscapeNew!G76</f>
        <v>13</v>
      </c>
      <c r="I77" s="27">
        <f>EscapeNew!H76</f>
        <v>15</v>
      </c>
      <c r="J77" s="27">
        <f>EscapeNew!I76</f>
        <v>10</v>
      </c>
      <c r="K77" s="27">
        <f>EscapeNew!J76</f>
        <v>0</v>
      </c>
      <c r="L77" s="27">
        <f>EscapeNew!K76</f>
        <v>0</v>
      </c>
      <c r="M77" s="27">
        <f>EscapeNew!L76</f>
        <v>125</v>
      </c>
      <c r="N77" s="27">
        <f>EscapeNew!M76</f>
        <v>10</v>
      </c>
      <c r="O77" s="27">
        <f>EscapeNew!N76</f>
        <v>100</v>
      </c>
      <c r="P77" s="27">
        <f>EscapeNew!O76</f>
        <v>71.548063739226265</v>
      </c>
      <c r="Q77" s="27">
        <f>EscapeNew!P76</f>
        <v>0</v>
      </c>
      <c r="R77" s="27">
        <f>EscapeNew!Q76</f>
        <v>118.18826610314143</v>
      </c>
      <c r="S77" s="27">
        <f>EscapeNew!R76</f>
        <v>158.04361351088673</v>
      </c>
      <c r="T77" s="27">
        <f>EscapeNew!S76</f>
        <v>87.85208936351566</v>
      </c>
      <c r="U77" s="27">
        <f>EscapeNew!T76</f>
        <v>30</v>
      </c>
      <c r="V77" s="27">
        <f>EscapeNew!U76</f>
        <v>123.11994055136081</v>
      </c>
      <c r="W77" s="27">
        <f>EscapeNew!V76</f>
        <v>20</v>
      </c>
      <c r="X77" s="27">
        <f>EscapeNew!W76</f>
        <v>48</v>
      </c>
      <c r="Y77" s="27">
        <f>EscapeNew!X76</f>
        <v>149.28019167806409</v>
      </c>
      <c r="Z77" s="27">
        <f>EscapeNew!Y76</f>
        <v>105.00551892570698</v>
      </c>
      <c r="AA77" s="27">
        <f>EscapeNew!Z76</f>
        <v>140.28936913916496</v>
      </c>
      <c r="AB77" s="27">
        <f>EscapeNew!AA76</f>
        <v>215</v>
      </c>
      <c r="AC77" s="27">
        <f>EscapeNew!AB76</f>
        <v>300</v>
      </c>
      <c r="AD77" s="27">
        <f>EscapeNew!AC76</f>
        <v>345</v>
      </c>
      <c r="AE77" s="27">
        <f>EscapeNew!AD76</f>
        <v>245</v>
      </c>
      <c r="AF77" s="27">
        <f>EscapeNew!AE76</f>
        <v>265</v>
      </c>
      <c r="AG77" s="27">
        <f>EscapeNew!AF76</f>
        <v>111</v>
      </c>
      <c r="AH77" s="27">
        <f>EscapeNew!AG76</f>
        <v>97</v>
      </c>
      <c r="AI77" s="27">
        <f>EscapeNew!AH76</f>
        <v>639</v>
      </c>
      <c r="AJ77" s="27">
        <f>EscapeNew!AI76</f>
        <v>189</v>
      </c>
      <c r="AK77" s="27">
        <f>EscapeNew!AJ76</f>
        <v>225</v>
      </c>
      <c r="AL77" s="27">
        <f>EscapeNew!AK76</f>
        <v>37</v>
      </c>
      <c r="AM77" s="27">
        <f>EscapeNew!AL76</f>
        <v>35</v>
      </c>
      <c r="AN77" s="27">
        <f>EscapeNew!AM76</f>
        <v>80</v>
      </c>
      <c r="AO77" s="27">
        <f>EscapeNew!AN76</f>
        <v>75</v>
      </c>
      <c r="AP77" s="27">
        <f>EscapeNew!AO76</f>
        <v>117</v>
      </c>
      <c r="AQ77" s="27">
        <f>EscapeNew!AP76</f>
        <v>37</v>
      </c>
      <c r="AR77" s="27">
        <f>EscapeNew!AQ76</f>
        <v>35</v>
      </c>
      <c r="AS77" s="27">
        <f>EscapeNew!AR76</f>
        <v>42</v>
      </c>
      <c r="AT77" s="27">
        <f>EscapeNew!AS76/StockList!F76</f>
        <v>22</v>
      </c>
      <c r="AU77" s="27">
        <f>EscapeNew!AT76/StockList!G76</f>
        <v>25</v>
      </c>
      <c r="AV77" s="27">
        <f>EscapeNew!AU76</f>
        <v>51</v>
      </c>
      <c r="AW77" s="27">
        <f>EscapeNew!AV76</f>
        <v>28</v>
      </c>
      <c r="AX77" s="27">
        <f t="shared" si="1"/>
        <v>105.43925120479699</v>
      </c>
    </row>
    <row r="78" spans="1:50" ht="10.5" customHeight="1" x14ac:dyDescent="0.2">
      <c r="A78" s="49" t="s">
        <v>171</v>
      </c>
      <c r="B78" s="41">
        <v>76</v>
      </c>
      <c r="C78" s="47">
        <v>3</v>
      </c>
      <c r="D78" s="48">
        <v>1</v>
      </c>
      <c r="E78" s="18" t="str">
        <f>EscapeNew!D77</f>
        <v>Spring 5.2</v>
      </c>
      <c r="F78" s="27">
        <f>EscapeNew!E77</f>
        <v>100.45633114007668</v>
      </c>
      <c r="G78" s="27">
        <f>EscapeNew!F77</f>
        <v>117.02420865525322</v>
      </c>
      <c r="H78" s="27">
        <f>EscapeNew!G77</f>
        <v>76.874155892516583</v>
      </c>
      <c r="I78" s="27">
        <f>EscapeNew!H77</f>
        <v>97.745838225002075</v>
      </c>
      <c r="J78" s="27">
        <f>EscapeNew!I77</f>
        <v>148.33739572999266</v>
      </c>
      <c r="K78" s="27">
        <f>EscapeNew!J77</f>
        <v>191.48298306602501</v>
      </c>
      <c r="L78" s="27">
        <f>EscapeNew!K77</f>
        <v>283.85822452772311</v>
      </c>
      <c r="M78" s="27">
        <f>EscapeNew!L77</f>
        <v>352.0776083866304</v>
      </c>
      <c r="N78" s="27">
        <f>EscapeNew!M77</f>
        <v>150</v>
      </c>
      <c r="O78" s="27">
        <f>EscapeNew!N77</f>
        <v>297.43937629337034</v>
      </c>
      <c r="P78" s="27">
        <f>EscapeNew!O77</f>
        <v>25</v>
      </c>
      <c r="Q78" s="27">
        <f>EscapeNew!P77</f>
        <v>300</v>
      </c>
      <c r="R78" s="27">
        <f>EscapeNew!Q77</f>
        <v>300</v>
      </c>
      <c r="S78" s="27">
        <f>EscapeNew!R77</f>
        <v>200</v>
      </c>
      <c r="T78" s="27">
        <f>EscapeNew!S77</f>
        <v>250</v>
      </c>
      <c r="U78" s="27">
        <f>EscapeNew!T77</f>
        <v>350</v>
      </c>
      <c r="V78" s="27">
        <f>EscapeNew!U77</f>
        <v>250</v>
      </c>
      <c r="W78" s="27">
        <f>EscapeNew!V77</f>
        <v>150</v>
      </c>
      <c r="X78" s="27">
        <f>EscapeNew!W77</f>
        <v>251</v>
      </c>
      <c r="Y78" s="27">
        <f>EscapeNew!X77</f>
        <v>125</v>
      </c>
      <c r="Z78" s="27">
        <f>EscapeNew!Y77</f>
        <v>162</v>
      </c>
      <c r="AA78" s="27">
        <f>EscapeNew!Z77</f>
        <v>218</v>
      </c>
      <c r="AB78" s="27">
        <f>EscapeNew!AA77</f>
        <v>383</v>
      </c>
      <c r="AC78" s="27">
        <f>EscapeNew!AB77</f>
        <v>149</v>
      </c>
      <c r="AD78" s="27">
        <f>EscapeNew!AC77</f>
        <v>584</v>
      </c>
      <c r="AE78" s="27">
        <f>EscapeNew!AD77</f>
        <v>218.10527191661146</v>
      </c>
      <c r="AF78" s="27">
        <f>EscapeNew!AE77</f>
        <v>147.09553632048173</v>
      </c>
      <c r="AG78" s="27">
        <f>EscapeNew!AF77</f>
        <v>60</v>
      </c>
      <c r="AH78" s="27">
        <f>EscapeNew!AG77</f>
        <v>80.966448942725208</v>
      </c>
      <c r="AI78" s="27">
        <f>EscapeNew!AH77</f>
        <v>48</v>
      </c>
      <c r="AJ78" s="27">
        <f>EscapeNew!AI77</f>
        <v>180.1872667779956</v>
      </c>
      <c r="AK78" s="27">
        <f>EscapeNew!AJ77</f>
        <v>124.25060534165318</v>
      </c>
      <c r="AL78" s="27">
        <f>EscapeNew!AK77</f>
        <v>22</v>
      </c>
      <c r="AM78" s="27">
        <f>EscapeNew!AL77</f>
        <v>78.494895774864275</v>
      </c>
      <c r="AN78" s="27">
        <f>EscapeNew!AM77</f>
        <v>117.51864594392215</v>
      </c>
      <c r="AO78" s="27">
        <f>EscapeNew!AN77</f>
        <v>240.98418893895305</v>
      </c>
      <c r="AP78" s="27">
        <f>EscapeNew!AO77</f>
        <v>167.23132986757224</v>
      </c>
      <c r="AQ78" s="27">
        <f>EscapeNew!AP77</f>
        <v>99.266004389767815</v>
      </c>
      <c r="AR78" s="27">
        <f>EscapeNew!AQ77</f>
        <v>63.067039197925112</v>
      </c>
      <c r="AS78" s="27">
        <f>EscapeNew!AR77</f>
        <v>65.79217997604313</v>
      </c>
      <c r="AT78" s="27">
        <f>EscapeNew!AS77/StockList!F77</f>
        <v>90</v>
      </c>
      <c r="AU78" s="27">
        <f>EscapeNew!AT77/StockList!G77</f>
        <v>47.435897435897431</v>
      </c>
      <c r="AV78" s="27">
        <f>EscapeNew!AU77</f>
        <v>5</v>
      </c>
      <c r="AW78" s="27">
        <f>EscapeNew!AV77</f>
        <v>74</v>
      </c>
      <c r="AX78" s="27">
        <f t="shared" si="1"/>
        <v>169.12935074411368</v>
      </c>
    </row>
    <row r="79" spans="1:50" ht="10.5" customHeight="1" x14ac:dyDescent="0.2">
      <c r="A79" s="49" t="s">
        <v>172</v>
      </c>
      <c r="B79" s="41">
        <v>77</v>
      </c>
      <c r="C79" s="47">
        <v>3</v>
      </c>
      <c r="D79" s="48">
        <v>1</v>
      </c>
      <c r="E79" s="18" t="str">
        <f>EscapeNew!D78</f>
        <v>Spring 5.2</v>
      </c>
      <c r="F79" s="27">
        <f>EscapeNew!E78</f>
        <v>128.14134006409489</v>
      </c>
      <c r="G79" s="27">
        <f>EscapeNew!F78</f>
        <v>149.27519994846742</v>
      </c>
      <c r="H79" s="27">
        <f>EscapeNew!G78</f>
        <v>98.06009477518424</v>
      </c>
      <c r="I79" s="27">
        <f>EscapeNew!H78</f>
        <v>124.6838556982008</v>
      </c>
      <c r="J79" s="27">
        <f>EscapeNew!I78</f>
        <v>189.21806574793351</v>
      </c>
      <c r="K79" s="27">
        <f>EscapeNew!J78</f>
        <v>244.25425228138693</v>
      </c>
      <c r="L79" s="27">
        <f>EscapeNew!K78</f>
        <v>100</v>
      </c>
      <c r="M79" s="27">
        <f>EscapeNew!L78</f>
        <v>100</v>
      </c>
      <c r="N79" s="27">
        <f>EscapeNew!M78</f>
        <v>100</v>
      </c>
      <c r="O79" s="27">
        <f>EscapeNew!N78</f>
        <v>379.41143015579928</v>
      </c>
      <c r="P79" s="27">
        <f>EscapeNew!O78</f>
        <v>281.75833536357067</v>
      </c>
      <c r="Q79" s="27">
        <f>EscapeNew!P78</f>
        <v>100</v>
      </c>
      <c r="R79" s="27">
        <f>EscapeNew!Q78</f>
        <v>300</v>
      </c>
      <c r="S79" s="27">
        <f>EscapeNew!R78</f>
        <v>400</v>
      </c>
      <c r="T79" s="27">
        <f>EscapeNew!S78</f>
        <v>250</v>
      </c>
      <c r="U79" s="27">
        <f>EscapeNew!T78</f>
        <v>250</v>
      </c>
      <c r="V79" s="27">
        <f>EscapeNew!U78</f>
        <v>125</v>
      </c>
      <c r="W79" s="27">
        <f>EscapeNew!V78</f>
        <v>150</v>
      </c>
      <c r="X79" s="27">
        <f>EscapeNew!W78</f>
        <v>358</v>
      </c>
      <c r="Y79" s="27">
        <f>EscapeNew!X78</f>
        <v>880</v>
      </c>
      <c r="Z79" s="27">
        <f>EscapeNew!Y78</f>
        <v>52</v>
      </c>
      <c r="AA79" s="27">
        <f>EscapeNew!Z78</f>
        <v>231</v>
      </c>
      <c r="AB79" s="27">
        <f>EscapeNew!AA78</f>
        <v>240</v>
      </c>
      <c r="AC79" s="27">
        <f>EscapeNew!AB78</f>
        <v>281</v>
      </c>
      <c r="AD79" s="27">
        <f>EscapeNew!AC78</f>
        <v>489</v>
      </c>
      <c r="AE79" s="27">
        <f>EscapeNew!AD78</f>
        <v>278.21344360533317</v>
      </c>
      <c r="AF79" s="27">
        <f>EscapeNew!AE78</f>
        <v>187.6339592302065</v>
      </c>
      <c r="AG79" s="27">
        <f>EscapeNew!AF78</f>
        <v>214</v>
      </c>
      <c r="AH79" s="27">
        <f>EscapeNew!AG78</f>
        <v>103.28019299535019</v>
      </c>
      <c r="AI79" s="27">
        <f>EscapeNew!AH78</f>
        <v>142.19385419264634</v>
      </c>
      <c r="AJ79" s="27">
        <f>EscapeNew!AI78</f>
        <v>229</v>
      </c>
      <c r="AK79" s="27">
        <f>EscapeNew!AJ78</f>
        <v>158.49313718269516</v>
      </c>
      <c r="AL79" s="27">
        <f>EscapeNew!AK78</f>
        <v>103.54520378684225</v>
      </c>
      <c r="AM79" s="27">
        <f>EscapeNew!AL78</f>
        <v>100.12749837297005</v>
      </c>
      <c r="AN79" s="27">
        <f>EscapeNew!AM78</f>
        <v>149.90590043323178</v>
      </c>
      <c r="AO79" s="27">
        <f>EscapeNew!AN78</f>
        <v>307.39761799420324</v>
      </c>
      <c r="AP79" s="27">
        <f>EscapeNew!AO78</f>
        <v>213.31902595616779</v>
      </c>
      <c r="AQ79" s="27">
        <f>EscapeNew!AP78</f>
        <v>126.62296821866059</v>
      </c>
      <c r="AR79" s="27">
        <f>EscapeNew!AQ78</f>
        <v>80.44784061870682</v>
      </c>
      <c r="AS79" s="27">
        <f>EscapeNew!AR78</f>
        <v>83.924009688473291</v>
      </c>
      <c r="AT79" s="27">
        <f>EscapeNew!AS78/StockList!F78</f>
        <v>75</v>
      </c>
      <c r="AU79" s="27">
        <f>EscapeNew!AT78/StockList!G78</f>
        <v>326.92307692307691</v>
      </c>
      <c r="AV79" s="27">
        <f>EscapeNew!AU78</f>
        <v>29</v>
      </c>
      <c r="AW79" s="27">
        <f>EscapeNew!AV78</f>
        <v>88</v>
      </c>
      <c r="AX79" s="27">
        <f t="shared" si="1"/>
        <v>204.49614325530001</v>
      </c>
    </row>
    <row r="80" spans="1:50" ht="10.5" customHeight="1" x14ac:dyDescent="0.2">
      <c r="A80" s="49" t="s">
        <v>177</v>
      </c>
      <c r="B80" s="41">
        <v>78</v>
      </c>
      <c r="C80" s="47">
        <v>2</v>
      </c>
      <c r="D80" s="48">
        <v>2</v>
      </c>
      <c r="E80" s="18" t="str">
        <f>EscapeNew!D79</f>
        <v>Summer 5.2</v>
      </c>
      <c r="F80" s="27">
        <f>EscapeNew!E79</f>
        <v>25</v>
      </c>
      <c r="G80" s="27">
        <f>EscapeNew!F79</f>
        <v>8.9850381576853948</v>
      </c>
      <c r="H80" s="27">
        <f>EscapeNew!G79</f>
        <v>8.5788490319923199</v>
      </c>
      <c r="I80" s="27">
        <f>EscapeNew!H79</f>
        <v>9.6845989577987339</v>
      </c>
      <c r="J80" s="27">
        <f>EscapeNew!I79</f>
        <v>0</v>
      </c>
      <c r="K80" s="27">
        <f>EscapeNew!J79</f>
        <v>0</v>
      </c>
      <c r="L80" s="27">
        <f>EscapeNew!K79</f>
        <v>0</v>
      </c>
      <c r="M80" s="27">
        <f>EscapeNew!L79</f>
        <v>2</v>
      </c>
      <c r="N80" s="27">
        <f>EscapeNew!M79</f>
        <v>18.408806694327914</v>
      </c>
      <c r="O80" s="27">
        <f>EscapeNew!N79</f>
        <v>125</v>
      </c>
      <c r="P80" s="27">
        <f>EscapeNew!O79</f>
        <v>10.89279117398589</v>
      </c>
      <c r="Q80" s="27">
        <f>EscapeNew!P79</f>
        <v>0</v>
      </c>
      <c r="R80" s="27">
        <f>EscapeNew!Q79</f>
        <v>17.993500237396038</v>
      </c>
      <c r="S80" s="27">
        <f>EscapeNew!R79</f>
        <v>24.061253210579771</v>
      </c>
      <c r="T80" s="27">
        <f>EscapeNew!S79</f>
        <v>13.374987576504775</v>
      </c>
      <c r="U80" s="27">
        <f>EscapeNew!T79</f>
        <v>14.730880342203026</v>
      </c>
      <c r="V80" s="27">
        <f>EscapeNew!U79</f>
        <v>18.744319995402765</v>
      </c>
      <c r="W80" s="27">
        <f>EscapeNew!V79</f>
        <v>27.307034584486317</v>
      </c>
      <c r="X80" s="27">
        <f>EscapeNew!W79</f>
        <v>11</v>
      </c>
      <c r="Y80" s="27">
        <f>EscapeNew!X79</f>
        <v>2</v>
      </c>
      <c r="Z80" s="27">
        <f>EscapeNew!Y79</f>
        <v>11</v>
      </c>
      <c r="AA80" s="27">
        <f>EscapeNew!Z79</f>
        <v>45</v>
      </c>
      <c r="AB80" s="27">
        <f>EscapeNew!AA79</f>
        <v>11</v>
      </c>
      <c r="AC80" s="27">
        <f>EscapeNew!AB79</f>
        <v>0.01</v>
      </c>
      <c r="AD80" s="27">
        <f>EscapeNew!AC79</f>
        <v>15</v>
      </c>
      <c r="AE80" s="27">
        <f>EscapeNew!AD79</f>
        <v>25</v>
      </c>
      <c r="AF80" s="27">
        <f>EscapeNew!AE79</f>
        <v>40</v>
      </c>
      <c r="AG80" s="27">
        <f>EscapeNew!AF79</f>
        <v>17</v>
      </c>
      <c r="AH80" s="27">
        <f>EscapeNew!AG79</f>
        <v>17</v>
      </c>
      <c r="AI80" s="27">
        <f>EscapeNew!AH79</f>
        <v>60</v>
      </c>
      <c r="AJ80" s="27">
        <f>EscapeNew!AI79</f>
        <v>25</v>
      </c>
      <c r="AK80" s="27">
        <f>EscapeNew!AJ79</f>
        <v>9</v>
      </c>
      <c r="AL80" s="27">
        <f>EscapeNew!AK79</f>
        <v>5</v>
      </c>
      <c r="AM80" s="27">
        <f>EscapeNew!AL79</f>
        <v>2</v>
      </c>
      <c r="AN80" s="27">
        <f>EscapeNew!AM79</f>
        <v>18</v>
      </c>
      <c r="AO80" s="27">
        <f>EscapeNew!AN79</f>
        <v>8</v>
      </c>
      <c r="AP80" s="27">
        <f>EscapeNew!AO79</f>
        <v>5</v>
      </c>
      <c r="AQ80" s="27">
        <f>EscapeNew!AP79</f>
        <v>3</v>
      </c>
      <c r="AR80" s="27">
        <f>EscapeNew!AQ79</f>
        <v>9</v>
      </c>
      <c r="AS80" s="27">
        <f>EscapeNew!AR79</f>
        <v>2</v>
      </c>
      <c r="AT80" s="27">
        <f>EscapeNew!AS79/StockList!F79</f>
        <v>4</v>
      </c>
      <c r="AU80" s="27">
        <f>EscapeNew!AT79/StockList!G79</f>
        <v>9</v>
      </c>
      <c r="AV80" s="27">
        <f>EscapeNew!AU79</f>
        <v>9</v>
      </c>
      <c r="AW80" s="27">
        <f>EscapeNew!AV79</f>
        <v>0</v>
      </c>
      <c r="AX80" s="27">
        <f t="shared" si="1"/>
        <v>15.60845590823552</v>
      </c>
    </row>
    <row r="81" spans="1:50" ht="10.5" customHeight="1" x14ac:dyDescent="0.2">
      <c r="A81" s="49" t="s">
        <v>186</v>
      </c>
      <c r="B81" s="41">
        <v>79</v>
      </c>
      <c r="C81" s="47">
        <v>11</v>
      </c>
      <c r="D81" s="48">
        <v>2</v>
      </c>
      <c r="E81" s="18" t="str">
        <f>EscapeNew!D80</f>
        <v>Summer 5.2</v>
      </c>
      <c r="F81" s="27">
        <f>EscapeNew!E80</f>
        <v>19.803874463486824</v>
      </c>
      <c r="G81" s="27">
        <f>EscapeNew!F80</f>
        <v>0</v>
      </c>
      <c r="H81" s="27">
        <f>EscapeNew!G80</f>
        <v>25</v>
      </c>
      <c r="I81" s="27">
        <f>EscapeNew!H80</f>
        <v>25</v>
      </c>
      <c r="J81" s="27">
        <f>EscapeNew!I80</f>
        <v>15</v>
      </c>
      <c r="K81" s="27">
        <f>EscapeNew!J80</f>
        <v>26.847608919501145</v>
      </c>
      <c r="L81" s="27">
        <f>EscapeNew!K80</f>
        <v>36.218658148600845</v>
      </c>
      <c r="M81" s="27">
        <f>EscapeNew!L80</f>
        <v>61.685249987207783</v>
      </c>
      <c r="N81" s="27">
        <f>EscapeNew!M80</f>
        <v>53.901854205858086</v>
      </c>
      <c r="O81" s="27">
        <f>EscapeNew!N80</f>
        <v>60.127505276821296</v>
      </c>
      <c r="P81" s="27">
        <f>EscapeNew!O80</f>
        <v>31.894606288410543</v>
      </c>
      <c r="Q81" s="27">
        <f>EscapeNew!P80</f>
        <v>61.807237395120751</v>
      </c>
      <c r="R81" s="27">
        <f>EscapeNew!Q80</f>
        <v>52.6858173130816</v>
      </c>
      <c r="S81" s="27">
        <f>EscapeNew!R80</f>
        <v>70.45248418880503</v>
      </c>
      <c r="T81" s="27">
        <f>EscapeNew!S80</f>
        <v>39.162594421508977</v>
      </c>
      <c r="U81" s="27">
        <f>EscapeNew!T80</f>
        <v>43.132712386730681</v>
      </c>
      <c r="V81" s="27">
        <f>EscapeNew!U80</f>
        <v>54.884252975042564</v>
      </c>
      <c r="W81" s="27">
        <f>EscapeNew!V80</f>
        <v>79.956285130682843</v>
      </c>
      <c r="X81" s="27">
        <f>EscapeNew!W80</f>
        <v>78.061260207049685</v>
      </c>
      <c r="Y81" s="27">
        <f>EscapeNew!X80</f>
        <v>66.545936974391722</v>
      </c>
      <c r="Z81" s="27">
        <f>EscapeNew!Y80</f>
        <v>46.809228778744917</v>
      </c>
      <c r="AA81" s="27">
        <f>EscapeNew!Z80</f>
        <v>62.538019357888302</v>
      </c>
      <c r="AB81" s="27">
        <f>EscapeNew!AA80</f>
        <v>70.666764219689441</v>
      </c>
      <c r="AC81" s="27">
        <f>EscapeNew!AB80</f>
        <v>97</v>
      </c>
      <c r="AD81" s="27">
        <f>EscapeNew!AC80</f>
        <v>86</v>
      </c>
      <c r="AE81" s="27">
        <f>EscapeNew!AD80</f>
        <v>139</v>
      </c>
      <c r="AF81" s="27">
        <f>EscapeNew!AE80</f>
        <v>43</v>
      </c>
      <c r="AG81" s="27">
        <f>EscapeNew!AF80</f>
        <v>126</v>
      </c>
      <c r="AH81" s="27">
        <f>EscapeNew!AG80</f>
        <v>25.600061949267388</v>
      </c>
      <c r="AI81" s="27">
        <f>EscapeNew!AH80</f>
        <v>11</v>
      </c>
      <c r="AJ81" s="27">
        <f>EscapeNew!AI80</f>
        <v>50.627318934927118</v>
      </c>
      <c r="AK81" s="27">
        <f>EscapeNew!AJ80</f>
        <v>42.672773873584667</v>
      </c>
      <c r="AL81" s="27">
        <f>EscapeNew!AK80</f>
        <v>38.045185971609122</v>
      </c>
      <c r="AM81" s="27">
        <f>EscapeNew!AL80</f>
        <v>20.469912954223108</v>
      </c>
      <c r="AN81" s="27">
        <f>EscapeNew!AM80</f>
        <v>27.864515868857069</v>
      </c>
      <c r="AO81" s="27">
        <f>EscapeNew!AN80</f>
        <v>50.291751150279346</v>
      </c>
      <c r="AP81" s="27">
        <f>EscapeNew!AO80</f>
        <v>68.885785007735038</v>
      </c>
      <c r="AQ81" s="27">
        <f>EscapeNew!AP80</f>
        <v>32</v>
      </c>
      <c r="AR81" s="27">
        <f>EscapeNew!AQ80</f>
        <v>58</v>
      </c>
      <c r="AS81" s="27">
        <f>EscapeNew!AR80</f>
        <v>9</v>
      </c>
      <c r="AT81" s="27">
        <f>EscapeNew!AS80/StockList!F80</f>
        <v>12</v>
      </c>
      <c r="AU81" s="27">
        <f>EscapeNew!AT80/StockList!G80</f>
        <v>22</v>
      </c>
      <c r="AV81" s="27">
        <f>EscapeNew!AU80</f>
        <v>34.708754564866034</v>
      </c>
      <c r="AW81" s="27">
        <f>EscapeNew!AV80</f>
        <v>62.282337237999329</v>
      </c>
      <c r="AX81" s="27">
        <f t="shared" si="1"/>
        <v>48.605235185272086</v>
      </c>
    </row>
    <row r="82" spans="1:50" ht="10.5" customHeight="1" x14ac:dyDescent="0.2">
      <c r="A82" s="49" t="s">
        <v>187</v>
      </c>
      <c r="B82" s="41">
        <v>80</v>
      </c>
      <c r="C82" s="47">
        <v>1</v>
      </c>
      <c r="D82" s="48">
        <v>1</v>
      </c>
      <c r="E82" s="18" t="str">
        <f>EscapeNew!D81</f>
        <v>Spring 5.2</v>
      </c>
      <c r="F82" s="27">
        <f>EscapeNew!E81</f>
        <v>20.518322216736895</v>
      </c>
      <c r="G82" s="27">
        <f>EscapeNew!F81</f>
        <v>23.90233042653108</v>
      </c>
      <c r="H82" s="27">
        <f>EscapeNew!G81</f>
        <v>15.701635554884893</v>
      </c>
      <c r="I82" s="27">
        <f>EscapeNew!H81</f>
        <v>19.964700893257206</v>
      </c>
      <c r="J82" s="27">
        <f>EscapeNew!I81</f>
        <v>30.298085226062518</v>
      </c>
      <c r="K82" s="27">
        <f>EscapeNew!J81</f>
        <v>39.110621510676012</v>
      </c>
      <c r="L82" s="27">
        <f>EscapeNew!K81</f>
        <v>57.978371782354401</v>
      </c>
      <c r="M82" s="27">
        <f>EscapeNew!L81</f>
        <v>71.912260105356239</v>
      </c>
      <c r="N82" s="27">
        <f>EscapeNew!M81</f>
        <v>70.554164104632989</v>
      </c>
      <c r="O82" s="27">
        <f>EscapeNew!N81</f>
        <v>60.752337791658348</v>
      </c>
      <c r="P82" s="27">
        <f>EscapeNew!O81</f>
        <v>45.115872124869774</v>
      </c>
      <c r="Q82" s="27">
        <f>EscapeNew!P81</f>
        <v>56.523914937075176</v>
      </c>
      <c r="R82" s="27">
        <f>EscapeNew!Q81</f>
        <v>40.117695340282118</v>
      </c>
      <c r="S82" s="27">
        <f>EscapeNew!R81</f>
        <v>50.219420979644717</v>
      </c>
      <c r="T82" s="27">
        <f>EscapeNew!S81</f>
        <v>50.344655584225805</v>
      </c>
      <c r="U82" s="27">
        <f>EscapeNew!T81</f>
        <v>73.08547577814663</v>
      </c>
      <c r="V82" s="27">
        <f>EscapeNew!U81</f>
        <v>0</v>
      </c>
      <c r="W82" s="27">
        <f>EscapeNew!V81</f>
        <v>49</v>
      </c>
      <c r="X82" s="27">
        <f>EscapeNew!W81</f>
        <v>34</v>
      </c>
      <c r="Y82" s="27">
        <f>EscapeNew!X81</f>
        <v>25</v>
      </c>
      <c r="Z82" s="27">
        <f>EscapeNew!Y81</f>
        <v>37</v>
      </c>
      <c r="AA82" s="27">
        <f>EscapeNew!Z81</f>
        <v>34</v>
      </c>
      <c r="AB82" s="27">
        <f>EscapeNew!AA81</f>
        <v>48</v>
      </c>
      <c r="AC82" s="27">
        <f>EscapeNew!AB81</f>
        <v>268</v>
      </c>
      <c r="AD82" s="27">
        <f>EscapeNew!AC81</f>
        <v>212</v>
      </c>
      <c r="AE82" s="27">
        <f>EscapeNew!AD81</f>
        <v>6</v>
      </c>
      <c r="AF82" s="27">
        <f>EscapeNew!AE81</f>
        <v>15</v>
      </c>
      <c r="AG82" s="27">
        <f>EscapeNew!AF81</f>
        <v>77</v>
      </c>
      <c r="AH82" s="27">
        <f>EscapeNew!AG81</f>
        <v>49</v>
      </c>
      <c r="AI82" s="27">
        <f>EscapeNew!AH81</f>
        <v>0</v>
      </c>
      <c r="AJ82" s="27">
        <f>EscapeNew!AI81</f>
        <v>20</v>
      </c>
      <c r="AK82" s="27">
        <f>EscapeNew!AJ81</f>
        <v>5</v>
      </c>
      <c r="AL82" s="27">
        <f>EscapeNew!AK81</f>
        <v>45</v>
      </c>
      <c r="AM82" s="27">
        <f>EscapeNew!AL81</f>
        <v>5</v>
      </c>
      <c r="AN82" s="27">
        <f>EscapeNew!AM81</f>
        <v>0</v>
      </c>
      <c r="AO82" s="27">
        <f>EscapeNew!AN81</f>
        <v>15</v>
      </c>
      <c r="AP82" s="27">
        <f>EscapeNew!AO81</f>
        <v>20</v>
      </c>
      <c r="AQ82" s="27">
        <f>EscapeNew!AP81</f>
        <v>8</v>
      </c>
      <c r="AR82" s="27">
        <f>EscapeNew!AQ81</f>
        <v>0</v>
      </c>
      <c r="AS82" s="27">
        <f>EscapeNew!AR81</f>
        <v>2</v>
      </c>
      <c r="AT82" s="27">
        <f>EscapeNew!AS81/StockList!F81</f>
        <v>31.343875689481109</v>
      </c>
      <c r="AU82" s="27">
        <f>EscapeNew!AT81/StockList!G81</f>
        <v>32.953785200294107</v>
      </c>
      <c r="AV82" s="27">
        <f>EscapeNew!AU81</f>
        <v>3</v>
      </c>
      <c r="AW82" s="27">
        <f>EscapeNew!AV81</f>
        <v>11</v>
      </c>
      <c r="AX82" s="27">
        <f t="shared" si="1"/>
        <v>40.418125573776592</v>
      </c>
    </row>
    <row r="83" spans="1:50" ht="10.5" customHeight="1" x14ac:dyDescent="0.2">
      <c r="A83" s="49" t="s">
        <v>196</v>
      </c>
      <c r="B83" s="41">
        <v>81</v>
      </c>
      <c r="C83" s="47">
        <v>11</v>
      </c>
      <c r="D83" s="48">
        <v>2</v>
      </c>
      <c r="E83" s="18" t="str">
        <f>EscapeNew!D82</f>
        <v>Summer 5.2</v>
      </c>
      <c r="F83" s="27">
        <f>EscapeNew!E82</f>
        <v>3.5364061541940758E-2</v>
      </c>
      <c r="G83" s="27">
        <f>EscapeNew!F82</f>
        <v>4.6979670504162116E-2</v>
      </c>
      <c r="H83" s="27">
        <f>EscapeNew!G82</f>
        <v>4.4855847438245368E-2</v>
      </c>
      <c r="I83" s="27">
        <f>EscapeNew!H82</f>
        <v>5.0637433032286863E-2</v>
      </c>
      <c r="J83" s="27">
        <f>EscapeNew!I82</f>
        <v>5.6252355811970786E-2</v>
      </c>
      <c r="K83" s="27">
        <f>EscapeNew!J82</f>
        <v>4.7942158784823483E-2</v>
      </c>
      <c r="L83" s="27">
        <f>EscapeNew!K82</f>
        <v>6.4676175265358654E-2</v>
      </c>
      <c r="M83" s="27">
        <f>EscapeNew!L82</f>
        <v>0.11015223212001392</v>
      </c>
      <c r="N83" s="27">
        <f>EscapeNew!M82</f>
        <v>9.6253311081889448E-2</v>
      </c>
      <c r="O83" s="27">
        <f>EscapeNew!N82</f>
        <v>0.10737054513718089</v>
      </c>
      <c r="P83" s="27">
        <f>EscapeNew!O82</f>
        <v>5.6954654086447398E-2</v>
      </c>
      <c r="Q83" s="27">
        <f>EscapeNew!P82</f>
        <v>0.11037006677700135</v>
      </c>
      <c r="R83" s="27">
        <f>EscapeNew!Q82</f>
        <v>9.4081816630502871E-2</v>
      </c>
      <c r="S83" s="27">
        <f>EscapeNew!R82</f>
        <v>0.12580800748000898</v>
      </c>
      <c r="T83" s="27">
        <f>EscapeNew!S82</f>
        <v>6.9933204324123185E-2</v>
      </c>
      <c r="U83" s="27">
        <f>EscapeNew!T82</f>
        <v>7.7022700690590515E-2</v>
      </c>
      <c r="V83" s="27">
        <f>EscapeNew!U82</f>
        <v>9.800759459829031E-2</v>
      </c>
      <c r="W83" s="27">
        <f>EscapeNew!V82</f>
        <v>0.14277908059050509</v>
      </c>
      <c r="X83" s="27">
        <f>EscapeNew!W82</f>
        <v>0.13939510751258874</v>
      </c>
      <c r="Y83" s="27">
        <f>EscapeNew!X82</f>
        <v>0.11883203031141382</v>
      </c>
      <c r="Z83" s="27">
        <f>EscapeNew!Y82</f>
        <v>8.3587908533473074E-2</v>
      </c>
      <c r="AA83" s="27">
        <f>EscapeNew!Z82</f>
        <v>0.11167503456765769</v>
      </c>
      <c r="AB83" s="27">
        <f>EscapeNew!AA82</f>
        <v>0.12619065039230257</v>
      </c>
      <c r="AC83" s="27">
        <f>EscapeNew!AB82</f>
        <v>0</v>
      </c>
      <c r="AD83" s="27">
        <f>EscapeNew!AC82</f>
        <v>0</v>
      </c>
      <c r="AE83" s="27">
        <f>EscapeNew!AD82</f>
        <v>1</v>
      </c>
      <c r="AF83" s="27">
        <f>EscapeNew!AE82</f>
        <v>0</v>
      </c>
      <c r="AG83" s="27">
        <f>EscapeNew!AF82</f>
        <v>0</v>
      </c>
      <c r="AH83" s="27">
        <f>EscapeNew!AG82</f>
        <v>4.5714396337977484E-2</v>
      </c>
      <c r="AI83" s="27">
        <f>EscapeNew!AH82</f>
        <v>0</v>
      </c>
      <c r="AJ83" s="27">
        <f>EscapeNew!AI82</f>
        <v>9.0405926669512721E-2</v>
      </c>
      <c r="AK83" s="27">
        <f>EscapeNew!AJ82</f>
        <v>7.6201381917115479E-2</v>
      </c>
      <c r="AL83" s="27">
        <f>EscapeNew!AK82</f>
        <v>6.7937832092159159E-2</v>
      </c>
      <c r="AM83" s="27">
        <f>EscapeNew!AL82</f>
        <v>3.6553415989684125E-2</v>
      </c>
      <c r="AN83" s="27">
        <f>EscapeNew!AM82</f>
        <v>4.9758064051530486E-2</v>
      </c>
      <c r="AO83" s="27">
        <f>EscapeNew!AN82</f>
        <v>8.9806698482641695E-2</v>
      </c>
      <c r="AP83" s="27">
        <f>EscapeNew!AO82</f>
        <v>0.12301033037095545</v>
      </c>
      <c r="AQ83" s="27">
        <f>EscapeNew!AP82</f>
        <v>0</v>
      </c>
      <c r="AR83" s="27">
        <f>EscapeNew!AQ82</f>
        <v>0</v>
      </c>
      <c r="AS83" s="27">
        <f>EscapeNew!AR82</f>
        <v>0</v>
      </c>
      <c r="AT83" s="27">
        <f>EscapeNew!AS82/StockList!F82</f>
        <v>0</v>
      </c>
      <c r="AU83" s="27">
        <f>EscapeNew!AT82/StockList!G82</f>
        <v>0</v>
      </c>
      <c r="AV83" s="27">
        <f>EscapeNew!AU82</f>
        <v>6.1979918865832213E-2</v>
      </c>
      <c r="AW83" s="27">
        <f>EscapeNew!AV82</f>
        <v>0</v>
      </c>
      <c r="AX83" s="27">
        <f t="shared" si="1"/>
        <v>8.3102036636140603E-2</v>
      </c>
    </row>
    <row r="84" spans="1:50" ht="10.5" customHeight="1" x14ac:dyDescent="0.2">
      <c r="A84" s="49" t="s">
        <v>200</v>
      </c>
      <c r="B84" s="41">
        <v>82</v>
      </c>
      <c r="C84" s="47">
        <v>10</v>
      </c>
      <c r="D84" s="48">
        <v>4</v>
      </c>
      <c r="E84" s="18" t="str">
        <f>EscapeNew!D83</f>
        <v>Summer 4.1</v>
      </c>
      <c r="F84" s="27">
        <f>EscapeNew!E83</f>
        <v>14.550376562526472</v>
      </c>
      <c r="G84" s="27">
        <f>EscapeNew!F83</f>
        <v>5.9923014720092302</v>
      </c>
      <c r="H84" s="27">
        <f>EscapeNew!G83</f>
        <v>9.3637352467490516</v>
      </c>
      <c r="I84" s="27">
        <f>EscapeNew!H83</f>
        <v>4.515778956845752</v>
      </c>
      <c r="J84" s="27">
        <f>EscapeNew!I83</f>
        <v>5.3851894690071029</v>
      </c>
      <c r="K84" s="27">
        <f>EscapeNew!J83</f>
        <v>9.0276630453950339</v>
      </c>
      <c r="L84" s="27">
        <f>EscapeNew!K83</f>
        <v>11.762238813660463</v>
      </c>
      <c r="M84" s="27">
        <f>EscapeNew!L83</f>
        <v>18.557052053579852</v>
      </c>
      <c r="N84" s="27">
        <f>EscapeNew!M83</f>
        <v>17.587044994470801</v>
      </c>
      <c r="O84" s="27">
        <f>EscapeNew!N83</f>
        <v>24.007457215784651</v>
      </c>
      <c r="P84" s="27">
        <f>EscapeNew!O83</f>
        <v>19.059064541125167</v>
      </c>
      <c r="Q84" s="27">
        <f>EscapeNew!P83</f>
        <v>20.772208450421076</v>
      </c>
      <c r="R84" s="27">
        <f>EscapeNew!Q83</f>
        <v>19.896254195976997</v>
      </c>
      <c r="S84" s="27">
        <f>EscapeNew!R83</f>
        <v>25.544635696504255</v>
      </c>
      <c r="T84" s="27">
        <f>EscapeNew!S83</f>
        <v>11.704455620155329</v>
      </c>
      <c r="U84" s="27">
        <f>EscapeNew!T83</f>
        <v>22.36084640431401</v>
      </c>
      <c r="V84" s="27">
        <f>EscapeNew!U83</f>
        <v>16.685118062961777</v>
      </c>
      <c r="W84" s="27">
        <f>EscapeNew!V83</f>
        <v>30</v>
      </c>
      <c r="X84" s="27">
        <f>EscapeNew!W83</f>
        <v>80</v>
      </c>
      <c r="Y84" s="27">
        <f>EscapeNew!X83</f>
        <v>117</v>
      </c>
      <c r="Z84" s="27">
        <f>EscapeNew!Y83</f>
        <v>99</v>
      </c>
      <c r="AA84" s="27">
        <f>EscapeNew!Z83</f>
        <v>40</v>
      </c>
      <c r="AB84" s="27">
        <f>EscapeNew!AA83</f>
        <v>191</v>
      </c>
      <c r="AC84" s="27">
        <f>EscapeNew!AB83</f>
        <v>149</v>
      </c>
      <c r="AD84" s="27">
        <f>EscapeNew!AC83</f>
        <v>52.460827663833726</v>
      </c>
      <c r="AE84" s="27">
        <f>EscapeNew!AD83</f>
        <v>34.443210637732491</v>
      </c>
      <c r="AF84" s="27">
        <f>EscapeNew!AE83</f>
        <v>55.959341237128164</v>
      </c>
      <c r="AG84" s="27">
        <f>EscapeNew!AF83</f>
        <v>104.70205358443998</v>
      </c>
      <c r="AH84" s="27">
        <f>EscapeNew!AG83</f>
        <v>45</v>
      </c>
      <c r="AI84" s="27">
        <f>EscapeNew!AH83</f>
        <v>54.84451380115982</v>
      </c>
      <c r="AJ84" s="27">
        <f>EscapeNew!AI83</f>
        <v>5</v>
      </c>
      <c r="AK84" s="27">
        <f>EscapeNew!AJ83</f>
        <v>15</v>
      </c>
      <c r="AL84" s="27">
        <f>EscapeNew!AK83</f>
        <v>2</v>
      </c>
      <c r="AM84" s="27">
        <f>EscapeNew!AL83</f>
        <v>27.346955900362957</v>
      </c>
      <c r="AN84" s="27">
        <f>EscapeNew!AM83</f>
        <v>0</v>
      </c>
      <c r="AO84" s="27">
        <f>EscapeNew!AN83</f>
        <v>9</v>
      </c>
      <c r="AP84" s="27">
        <f>EscapeNew!AO83</f>
        <v>5</v>
      </c>
      <c r="AQ84" s="27">
        <f>EscapeNew!AP83</f>
        <v>51.087964374067461</v>
      </c>
      <c r="AR84" s="27">
        <f>EscapeNew!AQ83</f>
        <v>2</v>
      </c>
      <c r="AS84" s="27">
        <f>EscapeNew!AR83</f>
        <v>12</v>
      </c>
      <c r="AT84" s="27">
        <f>EscapeNew!AS83/StockList!F83</f>
        <v>0</v>
      </c>
      <c r="AU84" s="27">
        <f>EscapeNew!AT83/StockList!G83</f>
        <v>86.296616279103219</v>
      </c>
      <c r="AV84" s="27">
        <f>EscapeNew!AU83</f>
        <v>3</v>
      </c>
      <c r="AW84" s="27">
        <f>EscapeNew!AV83</f>
        <v>0</v>
      </c>
      <c r="AX84" s="27">
        <f t="shared" si="1"/>
        <v>34.725293279075338</v>
      </c>
    </row>
    <row r="85" spans="1:50" ht="10.5" customHeight="1" x14ac:dyDescent="0.2">
      <c r="A85" s="50" t="s">
        <v>253</v>
      </c>
      <c r="B85" s="51">
        <v>83</v>
      </c>
      <c r="C85" s="47">
        <v>4</v>
      </c>
      <c r="D85" s="48">
        <v>1</v>
      </c>
      <c r="E85" s="18" t="str">
        <f>EscapeNew!D84</f>
        <v>Spring 5.2</v>
      </c>
      <c r="F85" s="27">
        <f>EscapeNew!E84</f>
        <v>29.908882176710549</v>
      </c>
      <c r="G85" s="27">
        <f>EscapeNew!F84</f>
        <v>34.84163943447485</v>
      </c>
      <c r="H85" s="27">
        <f>EscapeNew!G84</f>
        <v>22.887756748923234</v>
      </c>
      <c r="I85" s="27">
        <f>EscapeNew!H84</f>
        <v>29.101886616373651</v>
      </c>
      <c r="J85" s="27">
        <f>EscapeNew!I84</f>
        <v>44.164520453190924</v>
      </c>
      <c r="K85" s="27">
        <f>EscapeNew!J84</f>
        <v>57.010264205060352</v>
      </c>
      <c r="L85" s="27">
        <f>EscapeNew!K84</f>
        <v>84.5131620470152</v>
      </c>
      <c r="M85" s="27">
        <f>EscapeNew!L84</f>
        <v>100</v>
      </c>
      <c r="N85" s="27">
        <f>EscapeNew!M84</f>
        <v>102.84448011838275</v>
      </c>
      <c r="O85" s="27">
        <f>EscapeNew!N84</f>
        <v>88.556680891201964</v>
      </c>
      <c r="P85" s="27">
        <f>EscapeNew!O84</f>
        <v>65.76392014068216</v>
      </c>
      <c r="Q85" s="27">
        <f>EscapeNew!P84</f>
        <v>279</v>
      </c>
      <c r="R85" s="27">
        <f>EscapeNew!Q84</f>
        <v>58.478242541435648</v>
      </c>
      <c r="S85" s="27">
        <f>EscapeNew!R84</f>
        <v>73.203195134426025</v>
      </c>
      <c r="T85" s="27">
        <f>EscapeNew!S84</f>
        <v>101</v>
      </c>
      <c r="U85" s="27">
        <f>EscapeNew!T84</f>
        <v>218</v>
      </c>
      <c r="V85" s="27">
        <f>EscapeNew!U84</f>
        <v>81.490965353387892</v>
      </c>
      <c r="W85" s="27">
        <f>EscapeNew!V84</f>
        <v>64.521163181473099</v>
      </c>
      <c r="X85" s="27">
        <f>EscapeNew!W84</f>
        <v>90</v>
      </c>
      <c r="Y85" s="27">
        <f>EscapeNew!X84</f>
        <v>18</v>
      </c>
      <c r="Z85" s="27">
        <f>EscapeNew!Y84</f>
        <v>115</v>
      </c>
      <c r="AA85" s="27">
        <f>EscapeNew!Z84</f>
        <v>31</v>
      </c>
      <c r="AB85" s="27">
        <f>EscapeNew!AA84</f>
        <v>199</v>
      </c>
      <c r="AC85" s="27">
        <f>EscapeNew!AB84</f>
        <v>80.65503580387751</v>
      </c>
      <c r="AD85" s="27">
        <f>EscapeNew!AC84</f>
        <v>17</v>
      </c>
      <c r="AE85" s="27">
        <f>EscapeNew!AD84</f>
        <v>64.936523221988423</v>
      </c>
      <c r="AF85" s="27">
        <f>EscapeNew!AE84</f>
        <v>43.794781419945622</v>
      </c>
      <c r="AG85" s="27">
        <f>EscapeNew!AF84</f>
        <v>43.724892406709543</v>
      </c>
      <c r="AH85" s="27">
        <f>EscapeNew!AG84</f>
        <v>24.10615592080412</v>
      </c>
      <c r="AI85" s="27">
        <f>EscapeNew!AH84</f>
        <v>22</v>
      </c>
      <c r="AJ85" s="27">
        <f>EscapeNew!AI84</f>
        <v>9</v>
      </c>
      <c r="AK85" s="27">
        <f>EscapeNew!AJ84</f>
        <v>1E-3</v>
      </c>
      <c r="AL85" s="27">
        <f>EscapeNew!AK84</f>
        <v>3</v>
      </c>
      <c r="AM85" s="27">
        <f>EscapeNew!AL84</f>
        <v>2</v>
      </c>
      <c r="AN85" s="27">
        <f>EscapeNew!AM84</f>
        <v>12</v>
      </c>
      <c r="AO85" s="27">
        <f>EscapeNew!AN84</f>
        <v>42</v>
      </c>
      <c r="AP85" s="27">
        <f>EscapeNew!AO84</f>
        <v>0</v>
      </c>
      <c r="AQ85" s="27">
        <f>EscapeNew!AP84</f>
        <v>11</v>
      </c>
      <c r="AR85" s="27">
        <f>EscapeNew!AQ84</f>
        <v>0</v>
      </c>
      <c r="AS85" s="27">
        <f>EscapeNew!AR84</f>
        <v>0</v>
      </c>
      <c r="AT85" s="27">
        <f>EscapeNew!AS84/StockList!F84</f>
        <v>0</v>
      </c>
      <c r="AU85" s="27">
        <f>EscapeNew!AT84/StockList!G84</f>
        <v>48.035646795148615</v>
      </c>
      <c r="AV85" s="27">
        <f>EscapeNew!AU84</f>
        <v>0</v>
      </c>
      <c r="AW85" s="27">
        <f>EscapeNew!AV84</f>
        <v>5</v>
      </c>
      <c r="AX85" s="27">
        <f t="shared" si="1"/>
        <v>54.921381695709371</v>
      </c>
    </row>
    <row r="86" spans="1:50" ht="10.5" customHeight="1" x14ac:dyDescent="0.2">
      <c r="A86" s="50" t="s">
        <v>254</v>
      </c>
      <c r="B86" s="51">
        <v>84</v>
      </c>
      <c r="C86" s="47">
        <v>10</v>
      </c>
      <c r="D86" s="48">
        <v>2</v>
      </c>
      <c r="E86" s="18" t="str">
        <f>EscapeNew!D85</f>
        <v>Summer 5.2</v>
      </c>
      <c r="F86" s="27">
        <f>EscapeNew!E85</f>
        <v>396.53014925747334</v>
      </c>
      <c r="G86" s="27">
        <f>EscapeNew!F85</f>
        <v>526.773649429069</v>
      </c>
      <c r="H86" s="27">
        <f>EscapeNew!G85</f>
        <v>502.95964615555766</v>
      </c>
      <c r="I86" s="27">
        <f>EscapeNew!H85</f>
        <v>567.78740910442616</v>
      </c>
      <c r="J86" s="27">
        <f>EscapeNew!I85</f>
        <v>630.74641524846606</v>
      </c>
      <c r="K86" s="27">
        <f>EscapeNew!J85</f>
        <v>537.56583802246871</v>
      </c>
      <c r="L86" s="27">
        <f>EscapeNew!K85</f>
        <v>725.20101801541364</v>
      </c>
      <c r="M86" s="27">
        <f>EscapeNew!L85</f>
        <v>1235.1149483152919</v>
      </c>
      <c r="N86" s="27">
        <f>EscapeNew!M85</f>
        <v>1079.2691264990101</v>
      </c>
      <c r="O86" s="27">
        <f>EscapeNew!N85</f>
        <v>1203.9244485141819</v>
      </c>
      <c r="P86" s="27">
        <f>EscapeNew!O85</f>
        <v>638.62114534051739</v>
      </c>
      <c r="Q86" s="27">
        <f>EscapeNew!P85</f>
        <v>1237.5574847571609</v>
      </c>
      <c r="R86" s="27">
        <f>EscapeNew!Q85</f>
        <v>1054.9205935145026</v>
      </c>
      <c r="S86" s="27">
        <f>EscapeNew!R85</f>
        <v>1410.6600262718448</v>
      </c>
      <c r="T86" s="27">
        <f>EscapeNew!S85</f>
        <v>325</v>
      </c>
      <c r="U86" s="27">
        <f>EscapeNew!T85</f>
        <v>734</v>
      </c>
      <c r="V86" s="27">
        <f>EscapeNew!U85</f>
        <v>1003</v>
      </c>
      <c r="W86" s="27">
        <f>EscapeNew!V85</f>
        <v>1030</v>
      </c>
      <c r="X86" s="27">
        <f>EscapeNew!W85</f>
        <v>2182</v>
      </c>
      <c r="Y86" s="27">
        <f>EscapeNew!X85</f>
        <v>703</v>
      </c>
      <c r="Z86" s="27">
        <f>EscapeNew!Y85</f>
        <v>565</v>
      </c>
      <c r="AA86" s="27">
        <f>EscapeNew!Z85</f>
        <v>637</v>
      </c>
      <c r="AB86" s="27">
        <f>EscapeNew!AA85</f>
        <v>1458</v>
      </c>
      <c r="AC86" s="27">
        <f>EscapeNew!AB85</f>
        <v>990</v>
      </c>
      <c r="AD86" s="27">
        <f>EscapeNew!AC85</f>
        <v>1486</v>
      </c>
      <c r="AE86" s="27">
        <f>EscapeNew!AD85</f>
        <v>1511</v>
      </c>
      <c r="AF86" s="27">
        <f>EscapeNew!AE85</f>
        <v>1000</v>
      </c>
      <c r="AG86" s="27">
        <f>EscapeNew!AF85</f>
        <v>1240.6073843437118</v>
      </c>
      <c r="AH86" s="27">
        <f>EscapeNew!AG85</f>
        <v>512.58638325847392</v>
      </c>
      <c r="AI86" s="27">
        <f>EscapeNew!AH85</f>
        <v>1589</v>
      </c>
      <c r="AJ86" s="27">
        <f>EscapeNew!AI85</f>
        <v>1013.7035745599122</v>
      </c>
      <c r="AK86" s="27">
        <f>EscapeNew!AJ85</f>
        <v>854.43085516023245</v>
      </c>
      <c r="AL86" s="27">
        <f>EscapeNew!AK85</f>
        <v>1305</v>
      </c>
      <c r="AM86" s="27">
        <f>EscapeNew!AL85</f>
        <v>409.86614280913017</v>
      </c>
      <c r="AN86" s="27">
        <f>EscapeNew!AM85</f>
        <v>1087</v>
      </c>
      <c r="AO86" s="27">
        <f>EscapeNew!AN85</f>
        <v>1186</v>
      </c>
      <c r="AP86" s="27">
        <f>EscapeNew!AO85</f>
        <v>279</v>
      </c>
      <c r="AQ86" s="27">
        <f>EscapeNew!AP85</f>
        <v>1160</v>
      </c>
      <c r="AR86" s="27">
        <f>EscapeNew!AQ85</f>
        <v>324</v>
      </c>
      <c r="AS86" s="27">
        <f>EscapeNew!AR85</f>
        <v>262</v>
      </c>
      <c r="AT86" s="27">
        <f>EscapeNew!AS85/StockList!F85</f>
        <v>501</v>
      </c>
      <c r="AU86" s="27">
        <f>EscapeNew!AT85/StockList!G85</f>
        <v>923</v>
      </c>
      <c r="AV86" s="27">
        <f>EscapeNew!AU85</f>
        <v>479</v>
      </c>
      <c r="AW86" s="27">
        <f>EscapeNew!AV85</f>
        <v>641</v>
      </c>
      <c r="AX86" s="27">
        <f t="shared" si="1"/>
        <v>889.51877814947375</v>
      </c>
    </row>
    <row r="87" spans="1:50" s="32" customFormat="1" ht="19.5" customHeight="1" x14ac:dyDescent="0.2">
      <c r="A87" s="31" t="s">
        <v>247</v>
      </c>
      <c r="B87" s="37"/>
      <c r="C87" s="37"/>
      <c r="D87" s="37"/>
      <c r="F87" s="24">
        <f>SUM(F3:F86)</f>
        <v>138689.56861079816</v>
      </c>
      <c r="G87" s="24">
        <f t="shared" ref="G87:AS87" si="2">SUM(G3:G86)</f>
        <v>106642.06344677812</v>
      </c>
      <c r="H87" s="24">
        <f t="shared" si="2"/>
        <v>154486.80862287115</v>
      </c>
      <c r="I87" s="24">
        <f t="shared" si="2"/>
        <v>163725.50671003852</v>
      </c>
      <c r="J87" s="24">
        <f t="shared" si="2"/>
        <v>88641.228672813508</v>
      </c>
      <c r="K87" s="24">
        <f>SUM(K3:K86)</f>
        <v>196800.66279766036</v>
      </c>
      <c r="L87" s="24">
        <f t="shared" si="2"/>
        <v>280706.68949436792</v>
      </c>
      <c r="M87" s="24">
        <f t="shared" si="2"/>
        <v>313329.89181154442</v>
      </c>
      <c r="N87" s="24">
        <f t="shared" si="2"/>
        <v>227988.25158638775</v>
      </c>
      <c r="O87" s="24">
        <f t="shared" si="2"/>
        <v>190257.88967108398</v>
      </c>
      <c r="P87" s="24">
        <f t="shared" si="2"/>
        <v>181316.96227871129</v>
      </c>
      <c r="Q87" s="24">
        <f t="shared" si="2"/>
        <v>310162.23097341071</v>
      </c>
      <c r="R87" s="24">
        <f t="shared" si="2"/>
        <v>212378.86247585661</v>
      </c>
      <c r="S87" s="24">
        <f t="shared" si="2"/>
        <v>314332.29102101113</v>
      </c>
      <c r="T87" s="24">
        <f t="shared" si="2"/>
        <v>241491.08273152742</v>
      </c>
      <c r="U87" s="24">
        <f t="shared" si="2"/>
        <v>253424.94357374133</v>
      </c>
      <c r="V87" s="24">
        <f t="shared" si="2"/>
        <v>190529.65767881516</v>
      </c>
      <c r="W87" s="24">
        <f t="shared" si="2"/>
        <v>253806.51133811241</v>
      </c>
      <c r="X87" s="24">
        <f t="shared" si="2"/>
        <v>334593.54587357061</v>
      </c>
      <c r="Y87" s="24">
        <f t="shared" si="2"/>
        <v>464150.57160990481</v>
      </c>
      <c r="Z87" s="24">
        <f t="shared" si="2"/>
        <v>318821.26959333249</v>
      </c>
      <c r="AA87" s="24">
        <f t="shared" si="2"/>
        <v>282670.17921349121</v>
      </c>
      <c r="AB87" s="24">
        <f t="shared" si="2"/>
        <v>364146.10373446671</v>
      </c>
      <c r="AC87" s="24">
        <f t="shared" si="2"/>
        <v>387243.14850149263</v>
      </c>
      <c r="AD87" s="24">
        <f t="shared" si="2"/>
        <v>545741.81583311083</v>
      </c>
      <c r="AE87" s="24">
        <f t="shared" si="2"/>
        <v>359580.82839838805</v>
      </c>
      <c r="AF87" s="24">
        <f t="shared" si="2"/>
        <v>293610.72885448381</v>
      </c>
      <c r="AG87" s="24">
        <f t="shared" si="2"/>
        <v>385992.71040427033</v>
      </c>
      <c r="AH87" s="24">
        <f t="shared" si="2"/>
        <v>217487.61323505972</v>
      </c>
      <c r="AI87" s="24">
        <f t="shared" si="2"/>
        <v>245459.50377046809</v>
      </c>
      <c r="AJ87" s="24">
        <f t="shared" si="2"/>
        <v>247565.64151754166</v>
      </c>
      <c r="AK87" s="24">
        <f t="shared" si="2"/>
        <v>412049.65359760216</v>
      </c>
      <c r="AL87" s="24">
        <f t="shared" si="2"/>
        <v>360687.72452542</v>
      </c>
      <c r="AM87" s="24">
        <f t="shared" si="2"/>
        <v>155464.89261643979</v>
      </c>
      <c r="AN87" s="24">
        <f t="shared" si="2"/>
        <v>276380.4761588503</v>
      </c>
      <c r="AO87" s="24">
        <f t="shared" si="2"/>
        <v>290297.85724908661</v>
      </c>
      <c r="AP87" s="24">
        <f t="shared" si="2"/>
        <v>410735.55826170353</v>
      </c>
      <c r="AQ87" s="24">
        <f t="shared" si="2"/>
        <v>220738.57089740658</v>
      </c>
      <c r="AR87" s="24">
        <f t="shared" si="2"/>
        <v>177631.12638502877</v>
      </c>
      <c r="AS87" s="24">
        <f t="shared" si="2"/>
        <v>153053.75262163358</v>
      </c>
      <c r="AT87" s="24">
        <f>SUM(AT3:AT86)</f>
        <v>330745.21543023712</v>
      </c>
      <c r="AU87" s="24">
        <f>SUM(AU3:AU86)</f>
        <v>307330.35384953005</v>
      </c>
      <c r="AV87" s="24">
        <f>SUM(AV3:AV86)</f>
        <v>346667.18559686863</v>
      </c>
      <c r="AW87" s="24">
        <f>SUM(AW3:AW86)</f>
        <v>364107.12213343428</v>
      </c>
      <c r="AX87" s="24">
        <f>AVERAGE(F87:AW87)</f>
        <v>274356.00575814437</v>
      </c>
    </row>
    <row r="88" spans="1:50" ht="4.5" customHeight="1" x14ac:dyDescent="0.2"/>
    <row r="89" spans="1:50" ht="11.25" customHeight="1" x14ac:dyDescent="0.2">
      <c r="A89" s="30" t="s">
        <v>248</v>
      </c>
      <c r="F89" s="27">
        <f>SUM(F71:F86)</f>
        <v>1598.2874302308985</v>
      </c>
      <c r="G89" s="27">
        <f t="shared" ref="G89:AQ89" si="3">SUM(G71:G86)</f>
        <v>1805.648679828349</v>
      </c>
      <c r="H89" s="27">
        <f t="shared" si="3"/>
        <v>1676.1701286109087</v>
      </c>
      <c r="I89" s="27">
        <f t="shared" si="3"/>
        <v>1855.0602979166088</v>
      </c>
      <c r="J89" s="27">
        <f t="shared" si="3"/>
        <v>2234.4262054360429</v>
      </c>
      <c r="K89" s="27">
        <f t="shared" si="3"/>
        <v>2166.6243540087034</v>
      </c>
      <c r="L89" s="27">
        <f t="shared" si="3"/>
        <v>2734.9301044319636</v>
      </c>
      <c r="M89" s="27">
        <f t="shared" si="3"/>
        <v>4296.8923802858353</v>
      </c>
      <c r="N89" s="27">
        <f t="shared" si="3"/>
        <v>3641.0739884294608</v>
      </c>
      <c r="O89" s="27">
        <f t="shared" si="3"/>
        <v>4503.3906028011734</v>
      </c>
      <c r="P89" s="27">
        <f t="shared" si="3"/>
        <v>2426.7788294194438</v>
      </c>
      <c r="Q89" s="27">
        <f t="shared" si="3"/>
        <v>4222.9628844286117</v>
      </c>
      <c r="R89" s="27">
        <f t="shared" si="3"/>
        <v>3157.1002983275521</v>
      </c>
      <c r="S89" s="27">
        <f t="shared" si="3"/>
        <v>4746.7704329959506</v>
      </c>
      <c r="T89" s="27">
        <f t="shared" si="3"/>
        <v>2605.5471966345822</v>
      </c>
      <c r="U89" s="27">
        <f t="shared" si="3"/>
        <v>2914.0916584742345</v>
      </c>
      <c r="V89" s="27">
        <f t="shared" si="3"/>
        <v>3522.8714121155544</v>
      </c>
      <c r="W89" s="27">
        <f t="shared" si="3"/>
        <v>4076.125188514337</v>
      </c>
      <c r="X89" s="27">
        <f t="shared" si="3"/>
        <v>5733.2694408641819</v>
      </c>
      <c r="Y89" s="27">
        <f t="shared" si="3"/>
        <v>3891.2034657909508</v>
      </c>
      <c r="Z89" s="27">
        <f t="shared" si="3"/>
        <v>2604.5248729903597</v>
      </c>
      <c r="AA89" s="27">
        <f t="shared" si="3"/>
        <v>3543.6586192401201</v>
      </c>
      <c r="AB89" s="27">
        <f t="shared" si="3"/>
        <v>5650.4701336896051</v>
      </c>
      <c r="AC89" s="27">
        <f t="shared" si="3"/>
        <v>3503.8996943771763</v>
      </c>
      <c r="AD89" s="27">
        <f t="shared" si="3"/>
        <v>5390.5944313598948</v>
      </c>
      <c r="AE89" s="27">
        <f t="shared" si="3"/>
        <v>3636.0775382501688</v>
      </c>
      <c r="AF89" s="27">
        <f t="shared" si="3"/>
        <v>2856.0134365385093</v>
      </c>
      <c r="AG89" s="27">
        <f t="shared" si="3"/>
        <v>4006.9516019280218</v>
      </c>
      <c r="AH89" s="27">
        <f t="shared" si="3"/>
        <v>1832.3133561473469</v>
      </c>
      <c r="AI89" s="27">
        <f t="shared" si="3"/>
        <v>3337.0383679938059</v>
      </c>
      <c r="AJ89" s="27">
        <f t="shared" si="3"/>
        <v>3006.115210723653</v>
      </c>
      <c r="AK89" s="27">
        <f t="shared" si="3"/>
        <v>2812.1388970193671</v>
      </c>
      <c r="AL89" s="27">
        <f t="shared" si="3"/>
        <v>2847.4337090785866</v>
      </c>
      <c r="AM89" s="27">
        <f t="shared" si="3"/>
        <v>1488.9928179078902</v>
      </c>
      <c r="AN89" s="27">
        <f t="shared" si="3"/>
        <v>3609.35829235751</v>
      </c>
      <c r="AO89" s="27">
        <f t="shared" si="3"/>
        <v>3423.9107094018664</v>
      </c>
      <c r="AP89" s="27">
        <f t="shared" si="3"/>
        <v>2615.2892218449442</v>
      </c>
      <c r="AQ89" s="27">
        <f t="shared" si="3"/>
        <v>2843.6099026955417</v>
      </c>
      <c r="AR89" s="27">
        <f>SUM(AR71:AR86)</f>
        <v>1660.0630710399316</v>
      </c>
      <c r="AS89" s="27">
        <f>SUM(AS71:AS86)</f>
        <v>1462.6584656850785</v>
      </c>
      <c r="AT89" s="27">
        <f t="shared" ref="AT89:AW89" si="4">SUM(AT71:AT86)</f>
        <v>2260.9798666481411</v>
      </c>
      <c r="AU89" s="27">
        <f t="shared" si="4"/>
        <v>4200.5977501078669</v>
      </c>
      <c r="AV89" s="27">
        <f t="shared" si="4"/>
        <v>3060.0583350635061</v>
      </c>
      <c r="AW89" s="27">
        <f t="shared" si="4"/>
        <v>4241.1538340887055</v>
      </c>
      <c r="AX89" s="27">
        <f>SUM(AX71:AX86)</f>
        <v>3175.0710708118854</v>
      </c>
    </row>
    <row r="92" spans="1:50" ht="9" customHeight="1" x14ac:dyDescent="0.2">
      <c r="E92" s="29" t="s">
        <v>82</v>
      </c>
      <c r="F92" s="27">
        <f>SUMIF($E$3:$E$86,"Spring 4.2",F$3:F$86)</f>
        <v>3506.1681494661921</v>
      </c>
      <c r="G92" s="27">
        <f>SUMIF($E$3:$E$86,"Spring 4.2",G$3:G$86)</f>
        <v>7529.1681494661916</v>
      </c>
      <c r="H92" s="27">
        <f t="shared" ref="H92:AX92" si="5">SUMIF($E$3:$E$86,"Spring 4.2",H$3:H$86)</f>
        <v>3773.3345195729535</v>
      </c>
      <c r="I92" s="27">
        <f t="shared" si="5"/>
        <v>6650.8336298932381</v>
      </c>
      <c r="J92" s="27">
        <f t="shared" si="5"/>
        <v>3283.8336298932381</v>
      </c>
      <c r="K92" s="27">
        <f t="shared" si="5"/>
        <v>8215.3362989323832</v>
      </c>
      <c r="L92" s="27">
        <f t="shared" si="5"/>
        <v>12076.672597864768</v>
      </c>
      <c r="M92" s="27">
        <f t="shared" si="5"/>
        <v>13771.173487544484</v>
      </c>
      <c r="N92" s="27">
        <f t="shared" si="5"/>
        <v>7093</v>
      </c>
      <c r="O92" s="27">
        <f t="shared" si="5"/>
        <v>6501.1681494661916</v>
      </c>
      <c r="P92" s="27">
        <f t="shared" si="5"/>
        <v>9126.8389679715292</v>
      </c>
      <c r="Q92" s="27">
        <f t="shared" si="5"/>
        <v>5379.6725978647682</v>
      </c>
      <c r="R92" s="27">
        <f t="shared" si="5"/>
        <v>7397.005338078292</v>
      </c>
      <c r="S92" s="27">
        <f t="shared" si="5"/>
        <v>9920.6690391459069</v>
      </c>
      <c r="T92" s="27">
        <f t="shared" si="5"/>
        <v>13507.50253613633</v>
      </c>
      <c r="U92" s="27">
        <f t="shared" si="5"/>
        <v>17249.672597864766</v>
      </c>
      <c r="V92" s="27">
        <f t="shared" si="5"/>
        <v>18980.062155963304</v>
      </c>
      <c r="W92" s="27">
        <f t="shared" si="5"/>
        <v>27891</v>
      </c>
      <c r="X92" s="27">
        <f t="shared" si="5"/>
        <v>22591.503447722898</v>
      </c>
      <c r="Y92" s="27">
        <f t="shared" si="5"/>
        <v>5619</v>
      </c>
      <c r="Z92" s="27">
        <f t="shared" si="5"/>
        <v>12096.890825251125</v>
      </c>
      <c r="AA92" s="27">
        <f t="shared" si="5"/>
        <v>16400</v>
      </c>
      <c r="AB92" s="27">
        <f t="shared" si="5"/>
        <v>18969</v>
      </c>
      <c r="AC92" s="27">
        <f t="shared" si="5"/>
        <v>24995</v>
      </c>
      <c r="AD92" s="27">
        <f t="shared" si="5"/>
        <v>29220</v>
      </c>
      <c r="AE92" s="27">
        <f t="shared" si="5"/>
        <v>20856</v>
      </c>
      <c r="AF92" s="27">
        <f t="shared" si="5"/>
        <v>9368</v>
      </c>
      <c r="AG92" s="27">
        <f t="shared" si="5"/>
        <v>10199</v>
      </c>
      <c r="AH92" s="27">
        <f t="shared" si="5"/>
        <v>2657</v>
      </c>
      <c r="AI92" s="27">
        <f t="shared" si="5"/>
        <v>12190</v>
      </c>
      <c r="AJ92" s="27">
        <f t="shared" si="5"/>
        <v>2516</v>
      </c>
      <c r="AK92" s="27">
        <f t="shared" si="5"/>
        <v>9888</v>
      </c>
      <c r="AL92" s="27">
        <f t="shared" si="5"/>
        <v>5428</v>
      </c>
      <c r="AM92" s="27">
        <f t="shared" si="5"/>
        <v>11647</v>
      </c>
      <c r="AN92" s="27">
        <f t="shared" si="5"/>
        <v>7343</v>
      </c>
      <c r="AO92" s="27">
        <f t="shared" si="5"/>
        <v>24955</v>
      </c>
      <c r="AP92" s="27">
        <f t="shared" si="5"/>
        <v>11512</v>
      </c>
      <c r="AQ92" s="27">
        <f t="shared" si="5"/>
        <v>9303.2437110786523</v>
      </c>
      <c r="AR92" s="27">
        <f t="shared" si="5"/>
        <v>5477.0232403682203</v>
      </c>
      <c r="AS92" s="27">
        <f t="shared" si="5"/>
        <v>2352</v>
      </c>
      <c r="AT92" s="27">
        <f t="shared" si="5"/>
        <v>6154</v>
      </c>
      <c r="AU92" s="27">
        <f t="shared" si="5"/>
        <v>8886.1434577923355</v>
      </c>
      <c r="AV92" s="27">
        <f t="shared" si="5"/>
        <v>6613</v>
      </c>
      <c r="AW92" s="27">
        <f t="shared" si="5"/>
        <v>10479</v>
      </c>
      <c r="AX92" s="27">
        <f t="shared" si="5"/>
        <v>11126.543557439494</v>
      </c>
    </row>
    <row r="93" spans="1:50" ht="11.25" x14ac:dyDescent="0.2">
      <c r="E93" s="60" t="s">
        <v>15</v>
      </c>
      <c r="F93" s="27">
        <f>SUMIF($E$3:$E$86,"Spring 5.2",F$3:F$86)</f>
        <v>16096.754988137771</v>
      </c>
      <c r="G93" s="27">
        <f t="shared" ref="G93:U93" si="6">SUMIF($E$3:$E$86,"Spring 5.2",G$3:G$86)</f>
        <v>18751.53106853634</v>
      </c>
      <c r="H93" s="27">
        <f t="shared" si="6"/>
        <v>12318.033500509568</v>
      </c>
      <c r="I93" s="27">
        <f t="shared" si="6"/>
        <v>15662.435519609691</v>
      </c>
      <c r="J93" s="27">
        <f t="shared" si="6"/>
        <v>23769.041607886695</v>
      </c>
      <c r="K93" s="27">
        <f t="shared" si="6"/>
        <v>30682.532676946274</v>
      </c>
      <c r="L93" s="27">
        <f t="shared" si="6"/>
        <v>45484.403419225557</v>
      </c>
      <c r="M93" s="27">
        <f t="shared" si="6"/>
        <v>56415.627912058582</v>
      </c>
      <c r="N93" s="27">
        <f>SUMIF($E$3:$E$86,"Spring 5.2",N$3:N$86)</f>
        <v>55350.192914835476</v>
      </c>
      <c r="O93" s="27">
        <f t="shared" si="6"/>
        <v>48853.597492285073</v>
      </c>
      <c r="P93" s="27">
        <f t="shared" si="6"/>
        <v>35393.690185730826</v>
      </c>
      <c r="Q93" s="27">
        <f t="shared" si="6"/>
        <v>44343.37272324683</v>
      </c>
      <c r="R93" s="27">
        <f t="shared" si="6"/>
        <v>31472.588536236366</v>
      </c>
      <c r="S93" s="27">
        <f t="shared" si="6"/>
        <v>39397.456898113021</v>
      </c>
      <c r="T93" s="27">
        <f t="shared" si="6"/>
        <v>39495.704246248228</v>
      </c>
      <c r="U93" s="27">
        <f t="shared" si="6"/>
        <v>57336.023109758804</v>
      </c>
      <c r="V93" s="27">
        <f>SUMIF($E$3:$E$86,"Spring 5.2",V$3:V$86)</f>
        <v>43857.877913663222</v>
      </c>
      <c r="W93" s="27">
        <f>SUMIF($E$3:$E$86,"Spring 5.2",W$3:W$86)</f>
        <v>34724.846924922887</v>
      </c>
      <c r="X93" s="27">
        <f t="shared" ref="X93:AQ93" si="7">SUMIF($E$3:$E$86,"Spring 5.2",X$3:X$86)</f>
        <v>39708.49186019328</v>
      </c>
      <c r="Y93" s="27">
        <f>SUMIF($E$3:$E$86,"Spring 5.2",Y$3:Y$86)</f>
        <v>33826.31825605419</v>
      </c>
      <c r="Z93" s="27">
        <f t="shared" si="7"/>
        <v>23557.186096814417</v>
      </c>
      <c r="AA93" s="27">
        <f t="shared" si="7"/>
        <v>28484.53309681972</v>
      </c>
      <c r="AB93" s="27">
        <f t="shared" si="7"/>
        <v>32827.016747268019</v>
      </c>
      <c r="AC93" s="27">
        <f t="shared" si="7"/>
        <v>43407.986370866252</v>
      </c>
      <c r="AD93" s="27">
        <f t="shared" si="7"/>
        <v>52940.182116782526</v>
      </c>
      <c r="AE93" s="27">
        <f t="shared" si="7"/>
        <v>34948.390846241506</v>
      </c>
      <c r="AF93" s="27">
        <f t="shared" si="7"/>
        <v>23570.050599378363</v>
      </c>
      <c r="AG93" s="27">
        <f t="shared" si="7"/>
        <v>23532.436812417778</v>
      </c>
      <c r="AH93" s="27">
        <f t="shared" si="7"/>
        <v>12973.767567454679</v>
      </c>
      <c r="AI93" s="27">
        <f t="shared" si="7"/>
        <v>17861.992317336098</v>
      </c>
      <c r="AJ93" s="27">
        <f t="shared" si="7"/>
        <v>28872.548423685126</v>
      </c>
      <c r="AK93" s="27">
        <f t="shared" si="7"/>
        <v>19909.462436205664</v>
      </c>
      <c r="AL93" s="27">
        <f t="shared" si="7"/>
        <v>13007.05747824948</v>
      </c>
      <c r="AM93" s="27">
        <f t="shared" si="7"/>
        <v>12577.7349298727</v>
      </c>
      <c r="AN93" s="27">
        <f t="shared" si="7"/>
        <v>18830.757890802077</v>
      </c>
      <c r="AO93" s="27">
        <f t="shared" si="7"/>
        <v>38614.424808690725</v>
      </c>
      <c r="AP93" s="27">
        <f t="shared" si="7"/>
        <v>26796.536491713865</v>
      </c>
      <c r="AQ93" s="27">
        <f t="shared" si="7"/>
        <v>15906.021384410693</v>
      </c>
      <c r="AR93" s="27">
        <f t="shared" ref="AR93:AW93" si="8">SUMIF($E$3:$E$86,"Spring 5.2",AR$3:AR$86)</f>
        <v>10105.631633915818</v>
      </c>
      <c r="AS93" s="27">
        <f t="shared" si="8"/>
        <v>10542.298222429607</v>
      </c>
      <c r="AT93" s="27">
        <f t="shared" si="8"/>
        <v>16293.470913985064</v>
      </c>
      <c r="AU93" s="27">
        <f t="shared" si="8"/>
        <v>25194.198895527545</v>
      </c>
      <c r="AV93" s="27">
        <f t="shared" si="8"/>
        <v>22536.686261406354</v>
      </c>
      <c r="AW93" s="27">
        <f t="shared" si="8"/>
        <v>26833.314989079907</v>
      </c>
      <c r="AX93" s="27">
        <f>SUMIF($E$3:$E$86,"Spring 5.2",AX$3:AX$86)</f>
        <v>29615.095661035284</v>
      </c>
    </row>
    <row r="94" spans="1:50" ht="11.25" x14ac:dyDescent="0.2">
      <c r="E94" s="60" t="s">
        <v>18</v>
      </c>
      <c r="F94" s="27">
        <f t="shared" ref="F94:U94" si="9">SUMIF($E$3:$E$86,"Summer 5.2",F$3:F$86)</f>
        <v>12363.988451891812</v>
      </c>
      <c r="G94" s="27">
        <f t="shared" si="9"/>
        <v>16425.039383507014</v>
      </c>
      <c r="H94" s="27">
        <f t="shared" si="9"/>
        <v>15682.508047571129</v>
      </c>
      <c r="I94" s="27">
        <f t="shared" si="9"/>
        <v>17703.866862185107</v>
      </c>
      <c r="J94" s="27">
        <f t="shared" si="9"/>
        <v>19666.956998874943</v>
      </c>
      <c r="K94" s="27">
        <f t="shared" si="9"/>
        <v>16761.544679231181</v>
      </c>
      <c r="L94" s="27">
        <f t="shared" si="9"/>
        <v>22612.094008066833</v>
      </c>
      <c r="M94" s="27">
        <f t="shared" si="9"/>
        <v>38511.439763975053</v>
      </c>
      <c r="N94" s="27">
        <f t="shared" si="9"/>
        <v>33652.096925050224</v>
      </c>
      <c r="O94" s="27">
        <f t="shared" si="9"/>
        <v>37538.905947639039</v>
      </c>
      <c r="P94" s="27">
        <f t="shared" si="9"/>
        <v>19912.494625968888</v>
      </c>
      <c r="Q94" s="27">
        <f t="shared" si="9"/>
        <v>38587.599149124304</v>
      </c>
      <c r="R94" s="27">
        <f t="shared" si="9"/>
        <v>32892.898712241738</v>
      </c>
      <c r="S94" s="27">
        <f t="shared" si="9"/>
        <v>43985.014272005646</v>
      </c>
      <c r="T94" s="27">
        <f t="shared" si="9"/>
        <v>24450.057288860778</v>
      </c>
      <c r="U94" s="27">
        <f t="shared" si="9"/>
        <v>26928.688062104266</v>
      </c>
      <c r="V94" s="27">
        <f>SUMIF($E$3:$E$86,"Summer 5.2",V$3:V$86)</f>
        <v>34265.42978876557</v>
      </c>
      <c r="W94" s="27">
        <f>SUMIF($E$3:$E$86,"Summer 5.2",W$3:W$86)</f>
        <v>49918.443375038194</v>
      </c>
      <c r="X94" s="27">
        <f t="shared" ref="X94:AW94" si="10">SUMIF($E$3:$E$86,"Summer 5.2",X$3:X$86)</f>
        <v>48735.338204630934</v>
      </c>
      <c r="Y94" s="27">
        <f t="shared" si="10"/>
        <v>41546.072097592754</v>
      </c>
      <c r="Z94" s="27">
        <f t="shared" si="10"/>
        <v>29224.017003815374</v>
      </c>
      <c r="AA94" s="27">
        <f t="shared" si="10"/>
        <v>39043.84218203021</v>
      </c>
      <c r="AB94" s="27">
        <f t="shared" si="10"/>
        <v>44118.793943867859</v>
      </c>
      <c r="AC94" s="27">
        <f t="shared" si="10"/>
        <v>39104.584240547498</v>
      </c>
      <c r="AD94" s="27">
        <f t="shared" si="10"/>
        <v>57126.456257684447</v>
      </c>
      <c r="AE94" s="27">
        <f t="shared" si="10"/>
        <v>38391.564057570344</v>
      </c>
      <c r="AF94" s="27">
        <f t="shared" si="10"/>
        <v>27569.962263539506</v>
      </c>
      <c r="AG94" s="27">
        <f t="shared" si="10"/>
        <v>38682.696390376099</v>
      </c>
      <c r="AH94" s="27">
        <f t="shared" si="10"/>
        <v>15982.674041487951</v>
      </c>
      <c r="AI94" s="27">
        <f t="shared" si="10"/>
        <v>24555.526431193925</v>
      </c>
      <c r="AJ94" s="27">
        <f t="shared" si="10"/>
        <v>31607.733517791243</v>
      </c>
      <c r="AK94" s="27">
        <f t="shared" si="10"/>
        <v>26641.538470462372</v>
      </c>
      <c r="AL94" s="27">
        <f t="shared" si="10"/>
        <v>23752.434952581043</v>
      </c>
      <c r="AM94" s="27">
        <f t="shared" si="10"/>
        <v>12779.810730666699</v>
      </c>
      <c r="AN94" s="27">
        <f t="shared" si="10"/>
        <v>17396.421748446424</v>
      </c>
      <c r="AO94" s="27">
        <f t="shared" si="10"/>
        <v>31398.231270043631</v>
      </c>
      <c r="AP94" s="27">
        <f t="shared" si="10"/>
        <v>43006.88998536404</v>
      </c>
      <c r="AQ94" s="27">
        <f t="shared" si="10"/>
        <v>14305.913301358782</v>
      </c>
      <c r="AR94" s="27">
        <f t="shared" si="10"/>
        <v>9884.3627502635572</v>
      </c>
      <c r="AS94" s="27">
        <f t="shared" si="10"/>
        <v>8994.8608682380036</v>
      </c>
      <c r="AT94" s="27">
        <f t="shared" si="10"/>
        <v>14866.734516252043</v>
      </c>
      <c r="AU94" s="27">
        <f t="shared" si="10"/>
        <v>22028.152125507651</v>
      </c>
      <c r="AV94" s="27">
        <f t="shared" si="10"/>
        <v>21669.42844496265</v>
      </c>
      <c r="AW94" s="27">
        <f t="shared" si="10"/>
        <v>38884.214287827432</v>
      </c>
      <c r="AX94" s="27">
        <f>SUMIF($E$3:$E$86,"Summer 5.2",AX$3:AX$86)</f>
        <v>28708.12091877736</v>
      </c>
    </row>
    <row r="95" spans="1:50" ht="11.25" x14ac:dyDescent="0.2">
      <c r="E95" s="61" t="s">
        <v>9</v>
      </c>
      <c r="F95" s="27">
        <f t="shared" ref="F95:U96" si="11">SUMIF($E$3:$E$86,"Summer 4.1",F$3:F$86)</f>
        <v>28366.734024068879</v>
      </c>
      <c r="G95" s="27">
        <f t="shared" si="11"/>
        <v>11682.310854160276</v>
      </c>
      <c r="H95" s="27">
        <f t="shared" si="11"/>
        <v>18255.100551858734</v>
      </c>
      <c r="I95" s="27">
        <f t="shared" si="11"/>
        <v>8803.7515750787043</v>
      </c>
      <c r="J95" s="27">
        <f t="shared" si="11"/>
        <v>10498.713671092544</v>
      </c>
      <c r="K95" s="27">
        <f t="shared" si="11"/>
        <v>17599.909896982826</v>
      </c>
      <c r="L95" s="27">
        <f t="shared" si="11"/>
        <v>22931.110993649163</v>
      </c>
      <c r="M95" s="27">
        <f t="shared" si="11"/>
        <v>36177.96127905148</v>
      </c>
      <c r="N95" s="27">
        <f t="shared" si="11"/>
        <v>34286.880857251184</v>
      </c>
      <c r="O95" s="27">
        <f t="shared" si="11"/>
        <v>46803.816417252092</v>
      </c>
      <c r="P95" s="27">
        <f t="shared" si="11"/>
        <v>37156.661359407793</v>
      </c>
      <c r="Q95" s="27">
        <f t="shared" si="11"/>
        <v>40496.526648193998</v>
      </c>
      <c r="R95" s="27">
        <f t="shared" si="11"/>
        <v>38788.807178097195</v>
      </c>
      <c r="S95" s="27">
        <f t="shared" si="11"/>
        <v>49800.627731565168</v>
      </c>
      <c r="T95" s="27">
        <f t="shared" si="11"/>
        <v>22818.459580527466</v>
      </c>
      <c r="U95" s="27">
        <f t="shared" si="11"/>
        <v>43593.660946056945</v>
      </c>
      <c r="V95" s="27">
        <f>SUMIF($E$3:$E$86,"Summer 4.1",V$3:V$86)</f>
        <v>32528.526269978658</v>
      </c>
      <c r="W95" s="27">
        <f>SUMIF($E$3:$E$86,"Summer 4.1",W$3:W$86)</f>
        <v>78116.644358677091</v>
      </c>
      <c r="X95" s="27">
        <f t="shared" ref="X95:AQ95" si="12">SUMIF($E$3:$E$86,"Summer 4.1",X$3:X$86)</f>
        <v>68191.618599949143</v>
      </c>
      <c r="Y95" s="27">
        <f t="shared" si="12"/>
        <v>99495.181256257871</v>
      </c>
      <c r="Z95" s="27">
        <f t="shared" si="12"/>
        <v>70628.175667451549</v>
      </c>
      <c r="AA95" s="27">
        <f t="shared" si="12"/>
        <v>50250.803934641182</v>
      </c>
      <c r="AB95" s="27">
        <f t="shared" si="12"/>
        <v>85841.293043330908</v>
      </c>
      <c r="AC95" s="27">
        <f t="shared" si="12"/>
        <v>131696.57789007886</v>
      </c>
      <c r="AD95" s="27">
        <f t="shared" si="12"/>
        <v>102275.17745864378</v>
      </c>
      <c r="AE95" s="27">
        <f t="shared" si="12"/>
        <v>67148.87349457627</v>
      </c>
      <c r="AF95" s="27">
        <f t="shared" si="12"/>
        <v>109095.71599156586</v>
      </c>
      <c r="AG95" s="27">
        <f t="shared" si="12"/>
        <v>204122.22962344473</v>
      </c>
      <c r="AH95" s="27">
        <f t="shared" si="12"/>
        <v>82610</v>
      </c>
      <c r="AI95" s="27">
        <f t="shared" si="12"/>
        <v>106922.30053231966</v>
      </c>
      <c r="AJ95" s="27">
        <f t="shared" si="12"/>
        <v>98600.359576065341</v>
      </c>
      <c r="AK95" s="27">
        <f t="shared" si="12"/>
        <v>170527.65269093419</v>
      </c>
      <c r="AL95" s="27">
        <f t="shared" si="12"/>
        <v>140943</v>
      </c>
      <c r="AM95" s="27">
        <f t="shared" si="12"/>
        <v>53314.346955900364</v>
      </c>
      <c r="AN95" s="27">
        <f t="shared" si="12"/>
        <v>136520.2965196018</v>
      </c>
      <c r="AO95" s="27">
        <f t="shared" si="12"/>
        <v>89247.02337157361</v>
      </c>
      <c r="AP95" s="27">
        <f t="shared" si="12"/>
        <v>192262.13178462561</v>
      </c>
      <c r="AQ95" s="27">
        <f t="shared" si="12"/>
        <v>99598.707360096319</v>
      </c>
      <c r="AR95" s="27">
        <f>SUMIF($E$3:$E$86,"Summer 4.1",AR$3:AR$86)</f>
        <v>96574.070014474622</v>
      </c>
      <c r="AS95" s="27">
        <f>SUMIF($E$3:$E$86,"Summer 4.1",AS$3:AS$86)</f>
        <v>56735</v>
      </c>
      <c r="AT95" s="27">
        <f t="shared" ref="AT95" si="13">SUMIF($E$3:$E$86,"Summer 4.1",AT$3:AT$86)</f>
        <v>173431</v>
      </c>
      <c r="AU95" s="27">
        <f>SUMIF($E$3:$E$86,"Summer 4.1",AU$3:AU$86)</f>
        <v>168239.84937070255</v>
      </c>
      <c r="AV95" s="27">
        <f>SUMIF($E$3:$E$86,"Summer 4.1",AV$3:AV$86)</f>
        <v>200039.00604436279</v>
      </c>
      <c r="AW95" s="27">
        <f>SUMIF($E$3:$E$86,"Summer 4.1",AW$3:AW$86)</f>
        <v>126449.20334252222</v>
      </c>
      <c r="AX95" s="27">
        <f>SUMIF($E$3:$E$86,"Summer 4.1",AX$3:AX$86)</f>
        <v>80896.949970819755</v>
      </c>
    </row>
    <row r="96" spans="1:50" ht="9" customHeight="1" x14ac:dyDescent="0.2">
      <c r="E96" s="29" t="s">
        <v>138</v>
      </c>
      <c r="F96" s="27">
        <f>SUMIF($E$3:$E$86,"Fall",F$3:F$86)</f>
        <v>78355.922997233516</v>
      </c>
      <c r="G96" s="27">
        <f t="shared" ref="G96:AX96" si="14">SUMIF($E$3:$E$86,"Fall",G$3:G$86)</f>
        <v>52254.013991108324</v>
      </c>
      <c r="H96" s="27">
        <f t="shared" si="14"/>
        <v>104457.83200335872</v>
      </c>
      <c r="I96" s="27">
        <f t="shared" si="14"/>
        <v>114904.61912327175</v>
      </c>
      <c r="J96" s="27">
        <f t="shared" si="14"/>
        <v>31422.6827650661</v>
      </c>
      <c r="K96" s="27">
        <f t="shared" si="14"/>
        <v>123541.33924556771</v>
      </c>
      <c r="L96" s="27">
        <f t="shared" si="14"/>
        <v>177602.40847556162</v>
      </c>
      <c r="M96" s="27">
        <f t="shared" si="14"/>
        <v>168453.68936891475</v>
      </c>
      <c r="N96" s="27">
        <f t="shared" si="14"/>
        <v>97606.08088925085</v>
      </c>
      <c r="O96" s="27">
        <f t="shared" si="14"/>
        <v>50560.401664441662</v>
      </c>
      <c r="P96" s="27">
        <f t="shared" si="14"/>
        <v>79727.27713963225</v>
      </c>
      <c r="Q96" s="27">
        <f t="shared" si="14"/>
        <v>181355.0598549807</v>
      </c>
      <c r="R96" s="27">
        <f t="shared" si="14"/>
        <v>101827.56271120302</v>
      </c>
      <c r="S96" s="27">
        <f t="shared" si="14"/>
        <v>171228.52308018127</v>
      </c>
      <c r="T96" s="27">
        <f t="shared" si="14"/>
        <v>141219.35907975459</v>
      </c>
      <c r="U96" s="27">
        <f t="shared" si="14"/>
        <v>108316.89885795661</v>
      </c>
      <c r="V96" s="27">
        <f t="shared" si="14"/>
        <v>60897.761550444397</v>
      </c>
      <c r="W96" s="27">
        <f t="shared" si="14"/>
        <v>63155.57667947423</v>
      </c>
      <c r="X96" s="27">
        <f t="shared" si="14"/>
        <v>155366.59376107444</v>
      </c>
      <c r="Y96" s="27">
        <f t="shared" si="14"/>
        <v>283664</v>
      </c>
      <c r="Z96" s="27">
        <f t="shared" si="14"/>
        <v>183315</v>
      </c>
      <c r="AA96" s="27">
        <f t="shared" si="14"/>
        <v>148491</v>
      </c>
      <c r="AB96" s="27">
        <f t="shared" si="14"/>
        <v>182390</v>
      </c>
      <c r="AC96" s="27">
        <f t="shared" si="14"/>
        <v>148039</v>
      </c>
      <c r="AD96" s="27">
        <f t="shared" si="14"/>
        <v>304180</v>
      </c>
      <c r="AE96" s="27">
        <f t="shared" si="14"/>
        <v>198236</v>
      </c>
      <c r="AF96" s="27">
        <f t="shared" si="14"/>
        <v>124007</v>
      </c>
      <c r="AG96" s="27">
        <f t="shared" si="14"/>
        <v>109456.34757803169</v>
      </c>
      <c r="AH96" s="27">
        <f t="shared" si="14"/>
        <v>103264.17162611707</v>
      </c>
      <c r="AI96" s="27">
        <f t="shared" si="14"/>
        <v>83929.684489618405</v>
      </c>
      <c r="AJ96" s="27">
        <f t="shared" si="14"/>
        <v>85969</v>
      </c>
      <c r="AK96" s="27">
        <f t="shared" si="14"/>
        <v>185083</v>
      </c>
      <c r="AL96" s="27">
        <f t="shared" si="14"/>
        <v>177557.23209458948</v>
      </c>
      <c r="AM96" s="27">
        <f t="shared" si="14"/>
        <v>65146</v>
      </c>
      <c r="AN96" s="27">
        <f t="shared" si="14"/>
        <v>96290</v>
      </c>
      <c r="AO96" s="27">
        <f t="shared" si="14"/>
        <v>106083.17779877859</v>
      </c>
      <c r="AP96" s="27">
        <f t="shared" si="14"/>
        <v>137158</v>
      </c>
      <c r="AQ96" s="27">
        <f t="shared" si="14"/>
        <v>81624.685140462127</v>
      </c>
      <c r="AR96" s="27">
        <f t="shared" si="14"/>
        <v>55590.038746006554</v>
      </c>
      <c r="AS96" s="27">
        <f t="shared" si="14"/>
        <v>74429.593530965998</v>
      </c>
      <c r="AT96" s="27">
        <f t="shared" si="14"/>
        <v>120000.01</v>
      </c>
      <c r="AU96" s="27">
        <f t="shared" si="14"/>
        <v>82982.009999999995</v>
      </c>
      <c r="AV96" s="27">
        <f t="shared" si="14"/>
        <v>95809.064846136855</v>
      </c>
      <c r="AW96" s="27">
        <f t="shared" si="14"/>
        <v>161461.38951400467</v>
      </c>
      <c r="AX96" s="27">
        <f t="shared" si="14"/>
        <v>124009.29565007245</v>
      </c>
    </row>
    <row r="99" spans="26:49" ht="9" customHeight="1" x14ac:dyDescent="0.2">
      <c r="AJ99" s="33"/>
      <c r="AK99" s="33"/>
    </row>
    <row r="101" spans="26:49" ht="9" customHeight="1" x14ac:dyDescent="0.2">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157"/>
      <c r="AV101" s="34"/>
      <c r="AW101" s="34"/>
    </row>
  </sheetData>
  <pageMargins left="0.74" right="0.51181102362204722" top="0.98425196850393704" bottom="0.98425196850393704" header="0.5" footer="0.5"/>
  <pageSetup orientation="portrait" horizontalDpi="4294967292" verticalDpi="4294967292" r:id="rId1"/>
  <headerFooter alignWithMargins="0">
    <oddHeader>&amp;C&amp;F</oddHeader>
    <oddFooter>Page &amp;P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AV85"/>
  <sheetViews>
    <sheetView topLeftCell="D1" zoomScale="60" zoomScaleNormal="60" workbookViewId="0">
      <selection activeCell="N25" sqref="N25"/>
    </sheetView>
  </sheetViews>
  <sheetFormatPr defaultRowHeight="15" x14ac:dyDescent="0.25"/>
  <cols>
    <col min="1" max="1" width="16.5703125" customWidth="1"/>
    <col min="4" max="4" width="12" customWidth="1"/>
    <col min="5" max="44" width="9.140625" customWidth="1"/>
    <col min="45" max="45" width="13.140625" customWidth="1"/>
    <col min="47" max="47" width="8.7109375" customWidth="1"/>
  </cols>
  <sheetData>
    <row r="1" spans="1:48" x14ac:dyDescent="0.25">
      <c r="E1">
        <v>1979</v>
      </c>
      <c r="F1">
        <v>1980</v>
      </c>
      <c r="G1">
        <v>1981</v>
      </c>
      <c r="H1">
        <v>1982</v>
      </c>
      <c r="I1">
        <v>1983</v>
      </c>
      <c r="J1">
        <v>1984</v>
      </c>
      <c r="K1">
        <v>1985</v>
      </c>
      <c r="L1">
        <v>1986</v>
      </c>
      <c r="M1">
        <v>1987</v>
      </c>
      <c r="N1">
        <v>1988</v>
      </c>
      <c r="O1">
        <v>1989</v>
      </c>
      <c r="P1">
        <v>1990</v>
      </c>
      <c r="Q1">
        <v>1991</v>
      </c>
      <c r="R1">
        <v>1992</v>
      </c>
      <c r="S1">
        <v>1993</v>
      </c>
      <c r="T1">
        <v>1994</v>
      </c>
      <c r="U1">
        <v>1995</v>
      </c>
      <c r="V1">
        <v>1996</v>
      </c>
      <c r="W1">
        <v>1997</v>
      </c>
      <c r="X1">
        <v>1998</v>
      </c>
      <c r="Y1">
        <v>1999</v>
      </c>
      <c r="Z1">
        <v>2000</v>
      </c>
      <c r="AA1">
        <v>2001</v>
      </c>
      <c r="AB1">
        <v>2002</v>
      </c>
      <c r="AC1">
        <v>2003</v>
      </c>
      <c r="AD1">
        <v>2004</v>
      </c>
      <c r="AE1">
        <v>2005</v>
      </c>
      <c r="AF1">
        <v>2006</v>
      </c>
      <c r="AG1">
        <v>2007</v>
      </c>
      <c r="AH1">
        <v>2008</v>
      </c>
      <c r="AI1">
        <v>2009</v>
      </c>
      <c r="AJ1">
        <v>2010</v>
      </c>
      <c r="AK1">
        <v>2011</v>
      </c>
      <c r="AL1">
        <v>2012</v>
      </c>
      <c r="AM1">
        <v>2013</v>
      </c>
      <c r="AN1">
        <v>2014</v>
      </c>
      <c r="AO1">
        <v>2015</v>
      </c>
      <c r="AP1">
        <v>2016</v>
      </c>
      <c r="AQ1">
        <v>2017</v>
      </c>
      <c r="AR1">
        <v>2018</v>
      </c>
      <c r="AS1">
        <v>2019</v>
      </c>
      <c r="AT1">
        <v>2020</v>
      </c>
      <c r="AU1">
        <v>2021</v>
      </c>
      <c r="AV1">
        <v>2022</v>
      </c>
    </row>
    <row r="2" spans="1:48" x14ac:dyDescent="0.25">
      <c r="A2" t="s">
        <v>194</v>
      </c>
      <c r="B2">
        <v>1</v>
      </c>
      <c r="C2">
        <v>1</v>
      </c>
      <c r="D2" t="s">
        <v>15</v>
      </c>
      <c r="E2">
        <v>350</v>
      </c>
      <c r="F2">
        <v>350</v>
      </c>
      <c r="G2">
        <v>300</v>
      </c>
      <c r="H2">
        <v>570</v>
      </c>
      <c r="I2">
        <v>700</v>
      </c>
      <c r="J2">
        <v>1200</v>
      </c>
      <c r="K2">
        <v>1200</v>
      </c>
      <c r="L2">
        <v>900</v>
      </c>
      <c r="M2">
        <v>1000</v>
      </c>
      <c r="N2">
        <v>1500</v>
      </c>
      <c r="O2">
        <v>850</v>
      </c>
      <c r="P2">
        <v>1200</v>
      </c>
      <c r="Q2">
        <v>600</v>
      </c>
      <c r="R2">
        <v>980</v>
      </c>
      <c r="S2">
        <v>1000</v>
      </c>
      <c r="T2">
        <v>886</v>
      </c>
      <c r="U2">
        <v>1646</v>
      </c>
      <c r="V2">
        <v>1508</v>
      </c>
      <c r="W2">
        <v>1195</v>
      </c>
      <c r="X2">
        <v>1098</v>
      </c>
      <c r="Y2">
        <v>375</v>
      </c>
      <c r="Z2">
        <v>486</v>
      </c>
      <c r="AA2">
        <v>982</v>
      </c>
      <c r="AB2">
        <v>1516</v>
      </c>
      <c r="AC2">
        <v>835</v>
      </c>
      <c r="AD2">
        <v>520</v>
      </c>
      <c r="AE2">
        <v>335</v>
      </c>
      <c r="AF2">
        <v>643</v>
      </c>
      <c r="AG2">
        <v>328</v>
      </c>
      <c r="AH2">
        <v>422</v>
      </c>
      <c r="AI2">
        <v>747</v>
      </c>
      <c r="AJ2">
        <v>378</v>
      </c>
      <c r="AK2">
        <v>363</v>
      </c>
      <c r="AL2">
        <v>208</v>
      </c>
      <c r="AM2">
        <v>392</v>
      </c>
      <c r="AN2">
        <v>823</v>
      </c>
      <c r="AO2">
        <v>435</v>
      </c>
      <c r="AP2">
        <v>260</v>
      </c>
      <c r="AQ2">
        <v>174</v>
      </c>
      <c r="AR2">
        <v>134</v>
      </c>
      <c r="AS2">
        <v>2</v>
      </c>
      <c r="AT2">
        <v>268</v>
      </c>
      <c r="AU2">
        <v>183</v>
      </c>
      <c r="AV2">
        <v>402</v>
      </c>
    </row>
    <row r="3" spans="1:48" x14ac:dyDescent="0.25">
      <c r="A3" t="s">
        <v>151</v>
      </c>
      <c r="B3">
        <v>2</v>
      </c>
      <c r="C3">
        <v>1</v>
      </c>
      <c r="D3" t="s">
        <v>15</v>
      </c>
      <c r="E3">
        <v>1800</v>
      </c>
      <c r="F3">
        <v>4000</v>
      </c>
      <c r="G3">
        <v>1800</v>
      </c>
      <c r="H3">
        <v>1800</v>
      </c>
      <c r="I3">
        <v>4300</v>
      </c>
      <c r="J3">
        <v>5814</v>
      </c>
      <c r="K3">
        <v>6050</v>
      </c>
      <c r="L3">
        <v>6500</v>
      </c>
      <c r="M3">
        <v>3500</v>
      </c>
      <c r="N3">
        <v>4000</v>
      </c>
      <c r="O3">
        <v>5000</v>
      </c>
      <c r="P3">
        <v>6000</v>
      </c>
      <c r="Q3">
        <v>4027</v>
      </c>
      <c r="R3">
        <v>3224</v>
      </c>
      <c r="S3">
        <v>3300</v>
      </c>
      <c r="T3">
        <v>4240</v>
      </c>
      <c r="U3">
        <v>5862</v>
      </c>
      <c r="V3">
        <v>2837</v>
      </c>
      <c r="W3">
        <v>2335</v>
      </c>
      <c r="X3">
        <v>1289</v>
      </c>
      <c r="Y3">
        <v>2081</v>
      </c>
      <c r="Z3">
        <v>2262</v>
      </c>
      <c r="AA3">
        <v>3832</v>
      </c>
      <c r="AB3">
        <v>4302</v>
      </c>
      <c r="AC3">
        <v>3048</v>
      </c>
      <c r="AD3">
        <v>2062</v>
      </c>
      <c r="AE3">
        <v>2538</v>
      </c>
      <c r="AF3">
        <v>2142</v>
      </c>
      <c r="AG3">
        <v>1021</v>
      </c>
      <c r="AH3">
        <v>1858</v>
      </c>
      <c r="AI3">
        <v>3281</v>
      </c>
      <c r="AJ3">
        <v>1500</v>
      </c>
      <c r="AK3">
        <v>1046</v>
      </c>
      <c r="AL3">
        <v>768</v>
      </c>
      <c r="AM3">
        <v>1432</v>
      </c>
      <c r="AN3">
        <v>4345</v>
      </c>
      <c r="AO3">
        <v>1443</v>
      </c>
      <c r="AP3">
        <v>3022</v>
      </c>
      <c r="AQ3">
        <v>1114</v>
      </c>
      <c r="AR3">
        <v>1283</v>
      </c>
      <c r="AS3">
        <v>218</v>
      </c>
      <c r="AT3">
        <v>3412</v>
      </c>
      <c r="AU3">
        <v>1951</v>
      </c>
      <c r="AV3">
        <v>2786</v>
      </c>
    </row>
    <row r="4" spans="1:48" x14ac:dyDescent="0.25">
      <c r="A4" t="s">
        <v>157</v>
      </c>
      <c r="B4">
        <v>3</v>
      </c>
      <c r="C4">
        <v>1</v>
      </c>
      <c r="D4" t="s">
        <v>15</v>
      </c>
      <c r="E4">
        <v>25</v>
      </c>
      <c r="F4">
        <v>20</v>
      </c>
      <c r="G4">
        <v>20</v>
      </c>
      <c r="H4">
        <v>15</v>
      </c>
      <c r="I4">
        <v>100</v>
      </c>
      <c r="J4">
        <v>250</v>
      </c>
      <c r="K4">
        <v>325</v>
      </c>
      <c r="L4">
        <v>175</v>
      </c>
      <c r="M4">
        <v>200</v>
      </c>
      <c r="N4">
        <v>180</v>
      </c>
      <c r="O4">
        <v>100</v>
      </c>
      <c r="P4">
        <v>100</v>
      </c>
      <c r="Q4">
        <v>50</v>
      </c>
      <c r="R4">
        <v>90</v>
      </c>
      <c r="S4">
        <v>130</v>
      </c>
      <c r="T4">
        <v>180.24087259573</v>
      </c>
      <c r="U4">
        <v>172</v>
      </c>
      <c r="V4">
        <v>22</v>
      </c>
      <c r="W4">
        <v>111</v>
      </c>
      <c r="X4">
        <v>57</v>
      </c>
      <c r="Y4">
        <v>14</v>
      </c>
      <c r="Z4">
        <v>128</v>
      </c>
      <c r="AA4">
        <v>94</v>
      </c>
      <c r="AB4">
        <v>308</v>
      </c>
      <c r="AC4">
        <v>288</v>
      </c>
      <c r="AD4">
        <v>62</v>
      </c>
      <c r="AE4">
        <v>34</v>
      </c>
      <c r="AF4">
        <v>146</v>
      </c>
      <c r="AG4">
        <v>22</v>
      </c>
      <c r="AH4">
        <v>0</v>
      </c>
      <c r="AI4">
        <v>111</v>
      </c>
      <c r="AJ4">
        <v>68</v>
      </c>
      <c r="AK4">
        <v>49</v>
      </c>
      <c r="AL4">
        <v>48</v>
      </c>
      <c r="AM4">
        <v>80</v>
      </c>
      <c r="AN4">
        <v>132</v>
      </c>
      <c r="AO4">
        <v>52</v>
      </c>
      <c r="AP4">
        <v>68</v>
      </c>
      <c r="AQ4">
        <v>22</v>
      </c>
      <c r="AR4">
        <v>23</v>
      </c>
      <c r="AS4">
        <v>0</v>
      </c>
      <c r="AT4">
        <v>14</v>
      </c>
      <c r="AU4">
        <v>29</v>
      </c>
      <c r="AV4">
        <v>2</v>
      </c>
    </row>
    <row r="5" spans="1:48" x14ac:dyDescent="0.25">
      <c r="A5" t="s">
        <v>174</v>
      </c>
      <c r="B5">
        <v>4</v>
      </c>
      <c r="C5">
        <v>1</v>
      </c>
      <c r="D5" t="s">
        <v>15</v>
      </c>
      <c r="E5">
        <v>20</v>
      </c>
      <c r="F5">
        <v>12</v>
      </c>
      <c r="G5">
        <v>5</v>
      </c>
      <c r="H5">
        <v>40</v>
      </c>
      <c r="I5">
        <v>45</v>
      </c>
      <c r="J5">
        <v>60</v>
      </c>
      <c r="K5">
        <v>100</v>
      </c>
      <c r="L5">
        <v>125</v>
      </c>
      <c r="M5">
        <v>110</v>
      </c>
      <c r="N5">
        <v>140</v>
      </c>
      <c r="O5">
        <v>60</v>
      </c>
      <c r="P5">
        <v>20</v>
      </c>
      <c r="Q5">
        <v>55</v>
      </c>
      <c r="R5">
        <v>74</v>
      </c>
      <c r="S5">
        <v>80</v>
      </c>
      <c r="T5">
        <v>90</v>
      </c>
      <c r="U5">
        <v>131</v>
      </c>
      <c r="V5">
        <v>29</v>
      </c>
      <c r="W5">
        <v>45</v>
      </c>
      <c r="X5">
        <v>161</v>
      </c>
      <c r="Y5">
        <v>46</v>
      </c>
      <c r="Z5">
        <v>62</v>
      </c>
      <c r="AA5">
        <v>57</v>
      </c>
      <c r="AB5">
        <v>132</v>
      </c>
      <c r="AC5">
        <v>385</v>
      </c>
      <c r="AD5">
        <v>238</v>
      </c>
      <c r="AE5">
        <v>77</v>
      </c>
      <c r="AF5">
        <v>174</v>
      </c>
      <c r="AG5">
        <v>42</v>
      </c>
      <c r="AH5">
        <v>20</v>
      </c>
      <c r="AI5">
        <v>174</v>
      </c>
      <c r="AJ5">
        <v>58</v>
      </c>
      <c r="AK5">
        <v>86</v>
      </c>
      <c r="AL5">
        <v>38</v>
      </c>
      <c r="AM5">
        <v>66</v>
      </c>
      <c r="AN5">
        <v>145</v>
      </c>
      <c r="AO5">
        <v>71</v>
      </c>
      <c r="AP5">
        <v>51</v>
      </c>
      <c r="AQ5">
        <v>68</v>
      </c>
      <c r="AR5">
        <v>23</v>
      </c>
      <c r="AS5">
        <v>0</v>
      </c>
      <c r="AT5">
        <v>15</v>
      </c>
      <c r="AU5">
        <v>74</v>
      </c>
      <c r="AV5">
        <v>132</v>
      </c>
    </row>
    <row r="6" spans="1:48" x14ac:dyDescent="0.25">
      <c r="A6" t="s">
        <v>155</v>
      </c>
      <c r="B6">
        <v>5</v>
      </c>
      <c r="C6">
        <v>1</v>
      </c>
      <c r="D6" t="s">
        <v>15</v>
      </c>
      <c r="E6">
        <v>450</v>
      </c>
      <c r="F6">
        <v>500</v>
      </c>
      <c r="G6">
        <v>400</v>
      </c>
      <c r="H6">
        <v>900</v>
      </c>
      <c r="I6">
        <v>1100</v>
      </c>
      <c r="J6">
        <v>1750</v>
      </c>
      <c r="K6">
        <v>2400</v>
      </c>
      <c r="L6">
        <v>3000</v>
      </c>
      <c r="M6">
        <v>3000</v>
      </c>
      <c r="N6">
        <v>2700</v>
      </c>
      <c r="O6">
        <v>1500</v>
      </c>
      <c r="P6">
        <v>2100</v>
      </c>
      <c r="Q6">
        <v>1500</v>
      </c>
      <c r="R6">
        <v>2150</v>
      </c>
      <c r="S6">
        <v>2100</v>
      </c>
      <c r="T6">
        <v>1877</v>
      </c>
      <c r="U6">
        <v>2803</v>
      </c>
      <c r="V6">
        <v>2774</v>
      </c>
      <c r="W6">
        <v>2668</v>
      </c>
      <c r="X6">
        <v>1262</v>
      </c>
      <c r="Y6">
        <v>523</v>
      </c>
      <c r="Z6">
        <v>1784</v>
      </c>
      <c r="AA6">
        <v>1018</v>
      </c>
      <c r="AB6">
        <v>3740</v>
      </c>
      <c r="AC6">
        <v>4110</v>
      </c>
      <c r="AD6">
        <v>1376</v>
      </c>
      <c r="AE6">
        <v>821</v>
      </c>
      <c r="AF6">
        <v>1456</v>
      </c>
      <c r="AG6">
        <v>763</v>
      </c>
      <c r="AH6">
        <v>454</v>
      </c>
      <c r="AI6">
        <v>2187</v>
      </c>
      <c r="AJ6">
        <v>212</v>
      </c>
      <c r="AK6">
        <v>420</v>
      </c>
      <c r="AL6">
        <v>203</v>
      </c>
      <c r="AM6">
        <v>1069</v>
      </c>
      <c r="AN6">
        <v>2011</v>
      </c>
      <c r="AO6">
        <v>860</v>
      </c>
      <c r="AP6">
        <v>658</v>
      </c>
      <c r="AQ6">
        <v>428</v>
      </c>
      <c r="AR6">
        <v>637</v>
      </c>
      <c r="AS6">
        <v>28</v>
      </c>
      <c r="AT6">
        <v>412</v>
      </c>
      <c r="AU6">
        <v>188</v>
      </c>
      <c r="AV6">
        <v>805</v>
      </c>
    </row>
    <row r="7" spans="1:48" x14ac:dyDescent="0.25">
      <c r="A7" t="s">
        <v>167</v>
      </c>
      <c r="B7">
        <v>6</v>
      </c>
      <c r="C7">
        <v>1</v>
      </c>
      <c r="D7" t="s">
        <v>15</v>
      </c>
      <c r="E7">
        <v>10</v>
      </c>
      <c r="F7">
        <v>4</v>
      </c>
      <c r="G7">
        <v>10</v>
      </c>
      <c r="H7">
        <v>40</v>
      </c>
      <c r="I7">
        <v>15</v>
      </c>
      <c r="J7">
        <v>12</v>
      </c>
      <c r="K7">
        <v>5</v>
      </c>
      <c r="L7">
        <v>40</v>
      </c>
      <c r="M7">
        <v>15</v>
      </c>
      <c r="N7">
        <v>75</v>
      </c>
      <c r="O7">
        <v>34.55550870505953</v>
      </c>
      <c r="P7">
        <v>40</v>
      </c>
      <c r="Q7">
        <v>14</v>
      </c>
      <c r="R7">
        <v>15</v>
      </c>
      <c r="S7">
        <v>38.560380246643859</v>
      </c>
      <c r="T7">
        <v>55.978210672181554</v>
      </c>
      <c r="U7">
        <v>23</v>
      </c>
      <c r="V7">
        <v>0</v>
      </c>
      <c r="W7">
        <v>38.768128695800236</v>
      </c>
      <c r="X7">
        <v>20</v>
      </c>
      <c r="Y7">
        <v>22.999312729571187</v>
      </c>
      <c r="Z7">
        <v>32</v>
      </c>
      <c r="AA7">
        <v>9</v>
      </c>
      <c r="AB7">
        <v>122</v>
      </c>
      <c r="AC7">
        <v>49</v>
      </c>
      <c r="AD7">
        <v>68</v>
      </c>
      <c r="AE7">
        <v>78</v>
      </c>
      <c r="AF7">
        <v>11</v>
      </c>
      <c r="AG7">
        <v>17</v>
      </c>
      <c r="AH7">
        <v>18</v>
      </c>
      <c r="AI7">
        <v>118</v>
      </c>
      <c r="AJ7">
        <v>29</v>
      </c>
      <c r="AK7">
        <v>35</v>
      </c>
      <c r="AL7">
        <v>5</v>
      </c>
      <c r="AM7">
        <v>25</v>
      </c>
      <c r="AN7">
        <v>23</v>
      </c>
      <c r="AO7">
        <v>28</v>
      </c>
      <c r="AP7">
        <v>8</v>
      </c>
      <c r="AQ7">
        <v>6</v>
      </c>
      <c r="AR7">
        <v>0</v>
      </c>
      <c r="AS7">
        <v>4.8014302648983529</v>
      </c>
      <c r="AT7">
        <v>29</v>
      </c>
      <c r="AU7">
        <v>15</v>
      </c>
      <c r="AV7">
        <v>43</v>
      </c>
    </row>
    <row r="8" spans="1:48" x14ac:dyDescent="0.25">
      <c r="A8" t="s">
        <v>197</v>
      </c>
      <c r="B8">
        <v>7</v>
      </c>
      <c r="C8">
        <v>1</v>
      </c>
      <c r="D8" t="s">
        <v>15</v>
      </c>
      <c r="E8">
        <v>25</v>
      </c>
      <c r="F8">
        <v>0</v>
      </c>
      <c r="G8">
        <v>10</v>
      </c>
      <c r="H8">
        <v>20</v>
      </c>
      <c r="I8">
        <v>10</v>
      </c>
      <c r="J8">
        <v>45</v>
      </c>
      <c r="K8">
        <v>50</v>
      </c>
      <c r="L8">
        <v>50</v>
      </c>
      <c r="M8">
        <v>105</v>
      </c>
      <c r="N8">
        <v>70</v>
      </c>
      <c r="O8">
        <v>20</v>
      </c>
      <c r="P8">
        <v>70</v>
      </c>
      <c r="Q8">
        <v>42</v>
      </c>
      <c r="R8">
        <v>50</v>
      </c>
      <c r="S8">
        <v>60</v>
      </c>
      <c r="T8">
        <v>43</v>
      </c>
      <c r="U8">
        <v>0</v>
      </c>
      <c r="V8">
        <v>75</v>
      </c>
      <c r="W8">
        <v>0</v>
      </c>
      <c r="X8">
        <v>88</v>
      </c>
      <c r="Y8">
        <v>41.68847330512888</v>
      </c>
      <c r="Z8">
        <v>52</v>
      </c>
      <c r="AA8">
        <v>49</v>
      </c>
      <c r="AB8">
        <v>73</v>
      </c>
      <c r="AC8">
        <v>160</v>
      </c>
      <c r="AD8">
        <v>102</v>
      </c>
      <c r="AE8">
        <v>70</v>
      </c>
      <c r="AF8">
        <v>100</v>
      </c>
      <c r="AG8">
        <v>20</v>
      </c>
      <c r="AH8">
        <v>34</v>
      </c>
      <c r="AI8">
        <v>196</v>
      </c>
      <c r="AJ8">
        <v>23</v>
      </c>
      <c r="AK8">
        <v>17</v>
      </c>
      <c r="AL8">
        <v>51</v>
      </c>
      <c r="AM8">
        <v>73</v>
      </c>
      <c r="AN8">
        <v>97</v>
      </c>
      <c r="AO8">
        <v>21</v>
      </c>
      <c r="AP8">
        <v>24</v>
      </c>
      <c r="AQ8">
        <v>56</v>
      </c>
      <c r="AR8">
        <v>52</v>
      </c>
      <c r="AS8">
        <v>8.7030555990176701</v>
      </c>
      <c r="AT8">
        <v>35.685269039039923</v>
      </c>
      <c r="AU8">
        <v>2</v>
      </c>
      <c r="AV8">
        <v>58</v>
      </c>
    </row>
    <row r="9" spans="1:48" x14ac:dyDescent="0.25">
      <c r="A9" t="s">
        <v>152</v>
      </c>
      <c r="B9">
        <v>8</v>
      </c>
      <c r="C9">
        <v>1</v>
      </c>
      <c r="D9" t="s">
        <v>15</v>
      </c>
      <c r="E9">
        <v>15</v>
      </c>
      <c r="F9">
        <v>85</v>
      </c>
      <c r="G9">
        <v>20</v>
      </c>
      <c r="H9">
        <v>50</v>
      </c>
      <c r="I9">
        <v>10</v>
      </c>
      <c r="J9">
        <v>130</v>
      </c>
      <c r="K9">
        <v>85</v>
      </c>
      <c r="L9">
        <v>150</v>
      </c>
      <c r="M9">
        <v>160</v>
      </c>
      <c r="N9">
        <v>110</v>
      </c>
      <c r="O9">
        <v>50</v>
      </c>
      <c r="P9">
        <v>100</v>
      </c>
      <c r="Q9">
        <v>107</v>
      </c>
      <c r="R9">
        <v>100</v>
      </c>
      <c r="S9">
        <v>55</v>
      </c>
      <c r="T9">
        <v>293</v>
      </c>
      <c r="U9">
        <v>400</v>
      </c>
      <c r="V9">
        <v>442</v>
      </c>
      <c r="W9">
        <v>229</v>
      </c>
      <c r="X9">
        <v>186</v>
      </c>
      <c r="Y9">
        <v>86</v>
      </c>
      <c r="Z9">
        <v>212</v>
      </c>
      <c r="AA9">
        <v>411</v>
      </c>
      <c r="AB9">
        <v>820</v>
      </c>
      <c r="AC9">
        <v>569</v>
      </c>
      <c r="AD9">
        <v>183</v>
      </c>
      <c r="AE9">
        <v>151</v>
      </c>
      <c r="AF9">
        <v>172</v>
      </c>
      <c r="AG9">
        <v>114</v>
      </c>
      <c r="AH9">
        <v>145</v>
      </c>
      <c r="AI9">
        <v>311</v>
      </c>
      <c r="AJ9">
        <v>75</v>
      </c>
      <c r="AK9">
        <v>55</v>
      </c>
      <c r="AL9">
        <v>35</v>
      </c>
      <c r="AM9">
        <v>125</v>
      </c>
      <c r="AN9">
        <v>237</v>
      </c>
      <c r="AO9">
        <v>115</v>
      </c>
      <c r="AP9">
        <v>65</v>
      </c>
      <c r="AQ9">
        <v>42</v>
      </c>
      <c r="AR9">
        <v>55</v>
      </c>
      <c r="AS9">
        <v>2</v>
      </c>
      <c r="AT9">
        <v>62</v>
      </c>
      <c r="AU9">
        <v>148</v>
      </c>
      <c r="AV9">
        <v>112</v>
      </c>
    </row>
    <row r="10" spans="1:48" x14ac:dyDescent="0.25">
      <c r="A10" t="s">
        <v>169</v>
      </c>
      <c r="B10">
        <v>9</v>
      </c>
      <c r="C10">
        <v>1</v>
      </c>
      <c r="D10" t="s">
        <v>15</v>
      </c>
      <c r="E10">
        <v>200</v>
      </c>
      <c r="F10">
        <v>429.37725728655357</v>
      </c>
      <c r="G10">
        <v>150</v>
      </c>
      <c r="H10">
        <v>358.64237332180869</v>
      </c>
      <c r="I10">
        <v>544.26947093664637</v>
      </c>
      <c r="J10">
        <v>150</v>
      </c>
      <c r="K10">
        <v>400</v>
      </c>
      <c r="L10">
        <v>1000</v>
      </c>
      <c r="M10">
        <v>2000</v>
      </c>
      <c r="N10">
        <v>1800</v>
      </c>
      <c r="O10">
        <v>400</v>
      </c>
      <c r="P10">
        <v>1000</v>
      </c>
      <c r="Q10">
        <v>1000</v>
      </c>
      <c r="R10">
        <v>1800</v>
      </c>
      <c r="S10">
        <v>904.38253291807928</v>
      </c>
      <c r="T10">
        <v>1231</v>
      </c>
      <c r="U10">
        <v>314</v>
      </c>
      <c r="V10">
        <v>500</v>
      </c>
      <c r="W10">
        <v>549</v>
      </c>
      <c r="X10">
        <v>1788</v>
      </c>
      <c r="Y10">
        <v>591</v>
      </c>
      <c r="Z10">
        <v>694</v>
      </c>
      <c r="AA10">
        <v>751.68125548384376</v>
      </c>
      <c r="AB10">
        <v>0.01</v>
      </c>
      <c r="AC10">
        <v>241</v>
      </c>
      <c r="AD10">
        <v>1044</v>
      </c>
      <c r="AE10">
        <v>386</v>
      </c>
      <c r="AF10">
        <v>549</v>
      </c>
      <c r="AG10">
        <v>410</v>
      </c>
      <c r="AH10">
        <v>185</v>
      </c>
      <c r="AI10">
        <v>1309</v>
      </c>
      <c r="AJ10">
        <v>482</v>
      </c>
      <c r="AK10">
        <v>71</v>
      </c>
      <c r="AL10">
        <v>6</v>
      </c>
      <c r="AM10">
        <v>300</v>
      </c>
      <c r="AN10">
        <v>466</v>
      </c>
      <c r="AO10">
        <v>828</v>
      </c>
      <c r="AP10">
        <v>364.22006349333395</v>
      </c>
      <c r="AQ10">
        <v>231.40128548754811</v>
      </c>
      <c r="AR10">
        <v>241.40018645405794</v>
      </c>
      <c r="AS10">
        <v>112.61117335522736</v>
      </c>
      <c r="AT10">
        <v>461.7412783662827</v>
      </c>
      <c r="AU10">
        <v>516.05068940141393</v>
      </c>
      <c r="AV10">
        <v>614.43597068453255</v>
      </c>
    </row>
    <row r="11" spans="1:48" x14ac:dyDescent="0.25">
      <c r="A11" t="s">
        <v>199</v>
      </c>
      <c r="B11">
        <v>10</v>
      </c>
      <c r="C11">
        <v>1</v>
      </c>
      <c r="D11" t="s">
        <v>15</v>
      </c>
      <c r="E11">
        <v>200</v>
      </c>
      <c r="F11">
        <v>250</v>
      </c>
      <c r="G11">
        <v>140</v>
      </c>
      <c r="H11">
        <v>175</v>
      </c>
      <c r="I11">
        <v>125</v>
      </c>
      <c r="J11">
        <v>400</v>
      </c>
      <c r="K11">
        <v>500</v>
      </c>
      <c r="L11">
        <v>1000</v>
      </c>
      <c r="M11">
        <v>500</v>
      </c>
      <c r="N11">
        <v>800</v>
      </c>
      <c r="O11">
        <v>75</v>
      </c>
      <c r="P11">
        <v>200</v>
      </c>
      <c r="Q11">
        <v>100</v>
      </c>
      <c r="R11">
        <v>500</v>
      </c>
      <c r="S11">
        <v>150</v>
      </c>
      <c r="T11">
        <v>240</v>
      </c>
      <c r="U11">
        <v>91</v>
      </c>
      <c r="V11">
        <v>328</v>
      </c>
      <c r="W11">
        <v>94</v>
      </c>
      <c r="X11">
        <v>392</v>
      </c>
      <c r="Y11">
        <v>206</v>
      </c>
      <c r="Z11">
        <v>252</v>
      </c>
      <c r="AA11">
        <v>177</v>
      </c>
      <c r="AB11">
        <v>381</v>
      </c>
      <c r="AC11">
        <v>543</v>
      </c>
      <c r="AD11">
        <v>277</v>
      </c>
      <c r="AE11">
        <v>103</v>
      </c>
      <c r="AF11">
        <v>234</v>
      </c>
      <c r="AG11">
        <v>160</v>
      </c>
      <c r="AH11">
        <v>189</v>
      </c>
      <c r="AI11">
        <v>494</v>
      </c>
      <c r="AJ11">
        <v>75</v>
      </c>
      <c r="AK11">
        <v>80</v>
      </c>
      <c r="AL11">
        <v>40</v>
      </c>
      <c r="AM11">
        <v>294</v>
      </c>
      <c r="AN11">
        <v>294</v>
      </c>
      <c r="AO11">
        <v>46</v>
      </c>
      <c r="AP11">
        <v>128</v>
      </c>
      <c r="AQ11">
        <v>166</v>
      </c>
      <c r="AR11">
        <v>112</v>
      </c>
      <c r="AS11">
        <v>0</v>
      </c>
      <c r="AT11">
        <v>60</v>
      </c>
      <c r="AU11">
        <v>122</v>
      </c>
      <c r="AV11">
        <v>213</v>
      </c>
    </row>
    <row r="12" spans="1:48" x14ac:dyDescent="0.25">
      <c r="A12" t="s">
        <v>124</v>
      </c>
      <c r="B12">
        <v>11</v>
      </c>
      <c r="C12">
        <v>1</v>
      </c>
      <c r="D12" t="s">
        <v>15</v>
      </c>
      <c r="E12">
        <v>750</v>
      </c>
      <c r="F12">
        <v>550</v>
      </c>
      <c r="G12">
        <v>510</v>
      </c>
      <c r="H12">
        <v>300</v>
      </c>
      <c r="I12">
        <v>1000</v>
      </c>
      <c r="J12">
        <v>1500</v>
      </c>
      <c r="K12">
        <v>1500</v>
      </c>
      <c r="L12">
        <v>3000</v>
      </c>
      <c r="M12">
        <v>2800</v>
      </c>
      <c r="N12">
        <v>2000</v>
      </c>
      <c r="O12">
        <v>1900</v>
      </c>
      <c r="P12">
        <v>2000</v>
      </c>
      <c r="Q12">
        <v>2000</v>
      </c>
      <c r="R12">
        <v>2600</v>
      </c>
      <c r="S12">
        <v>1000</v>
      </c>
      <c r="T12">
        <v>1921</v>
      </c>
      <c r="U12">
        <v>1422</v>
      </c>
      <c r="V12">
        <v>738</v>
      </c>
      <c r="W12">
        <v>1042</v>
      </c>
      <c r="X12">
        <v>2293</v>
      </c>
      <c r="Y12">
        <v>1503</v>
      </c>
      <c r="Z12">
        <v>1466</v>
      </c>
      <c r="AA12">
        <v>1755</v>
      </c>
      <c r="AB12">
        <v>2565</v>
      </c>
      <c r="AC12">
        <v>4457</v>
      </c>
      <c r="AD12">
        <v>2730</v>
      </c>
      <c r="AE12">
        <v>1027</v>
      </c>
      <c r="AF12">
        <v>1221</v>
      </c>
      <c r="AG12">
        <v>886</v>
      </c>
      <c r="AH12">
        <v>941</v>
      </c>
      <c r="AI12">
        <v>1966</v>
      </c>
      <c r="AJ12">
        <v>905</v>
      </c>
      <c r="AK12">
        <v>698</v>
      </c>
      <c r="AL12">
        <v>615</v>
      </c>
      <c r="AM12">
        <v>1038</v>
      </c>
      <c r="AN12">
        <v>1160</v>
      </c>
      <c r="AO12">
        <v>1063</v>
      </c>
      <c r="AP12">
        <v>715</v>
      </c>
      <c r="AQ12">
        <v>588</v>
      </c>
      <c r="AR12">
        <v>643</v>
      </c>
      <c r="AS12">
        <v>8</v>
      </c>
      <c r="AT12">
        <v>469</v>
      </c>
      <c r="AU12">
        <v>909</v>
      </c>
      <c r="AV12">
        <v>1048</v>
      </c>
    </row>
    <row r="13" spans="1:48" x14ac:dyDescent="0.25">
      <c r="A13" t="s">
        <v>145</v>
      </c>
      <c r="B13">
        <v>12</v>
      </c>
      <c r="C13">
        <v>1</v>
      </c>
      <c r="D13" t="s">
        <v>15</v>
      </c>
      <c r="E13">
        <v>205.97387180166049</v>
      </c>
      <c r="F13">
        <v>239.94435271219777</v>
      </c>
      <c r="G13">
        <v>10</v>
      </c>
      <c r="H13">
        <v>80</v>
      </c>
      <c r="I13">
        <v>75</v>
      </c>
      <c r="J13">
        <v>200</v>
      </c>
      <c r="K13">
        <v>450</v>
      </c>
      <c r="L13">
        <v>450</v>
      </c>
      <c r="M13">
        <v>295</v>
      </c>
      <c r="N13">
        <v>205</v>
      </c>
      <c r="O13">
        <v>135</v>
      </c>
      <c r="P13">
        <v>486</v>
      </c>
      <c r="Q13">
        <v>665</v>
      </c>
      <c r="R13">
        <v>556</v>
      </c>
      <c r="S13">
        <v>718</v>
      </c>
      <c r="T13">
        <v>728</v>
      </c>
      <c r="U13">
        <v>666</v>
      </c>
      <c r="V13">
        <v>640</v>
      </c>
      <c r="W13">
        <v>665</v>
      </c>
      <c r="X13">
        <v>435</v>
      </c>
      <c r="Y13">
        <v>342</v>
      </c>
      <c r="Z13">
        <v>280</v>
      </c>
      <c r="AA13">
        <v>385</v>
      </c>
      <c r="AB13">
        <v>574</v>
      </c>
      <c r="AC13">
        <v>505</v>
      </c>
      <c r="AD13">
        <v>228</v>
      </c>
      <c r="AE13">
        <v>253</v>
      </c>
      <c r="AF13">
        <v>248</v>
      </c>
      <c r="AG13">
        <v>181</v>
      </c>
      <c r="AH13">
        <v>226</v>
      </c>
      <c r="AI13">
        <v>369.45276187591151</v>
      </c>
      <c r="AJ13">
        <v>254.76122774416555</v>
      </c>
      <c r="AK13">
        <v>166.43814181902596</v>
      </c>
      <c r="AL13">
        <v>160.94453595833619</v>
      </c>
      <c r="AM13">
        <v>240.95813812078737</v>
      </c>
      <c r="AN13">
        <v>494.10968801484302</v>
      </c>
      <c r="AO13">
        <v>342.88813963685266</v>
      </c>
      <c r="AP13">
        <v>203.53324703776849</v>
      </c>
      <c r="AQ13">
        <v>129.3115336707867</v>
      </c>
      <c r="AR13">
        <v>134.89911377552761</v>
      </c>
      <c r="AS13">
        <v>62.929311323185665</v>
      </c>
      <c r="AT13">
        <v>258.02999641446075</v>
      </c>
      <c r="AU13">
        <v>288.37915034812755</v>
      </c>
      <c r="AV13">
        <v>343.35875682069582</v>
      </c>
    </row>
    <row r="14" spans="1:48" x14ac:dyDescent="0.25">
      <c r="A14" t="s">
        <v>185</v>
      </c>
      <c r="B14">
        <v>13</v>
      </c>
      <c r="C14">
        <v>1</v>
      </c>
      <c r="D14" t="s">
        <v>15</v>
      </c>
      <c r="E14">
        <v>1500</v>
      </c>
      <c r="F14">
        <v>1900</v>
      </c>
      <c r="G14">
        <v>1335</v>
      </c>
      <c r="H14">
        <v>1800</v>
      </c>
      <c r="I14">
        <v>2000</v>
      </c>
      <c r="J14">
        <v>1800</v>
      </c>
      <c r="K14">
        <v>5000</v>
      </c>
      <c r="L14">
        <v>5500</v>
      </c>
      <c r="M14">
        <v>3750</v>
      </c>
      <c r="N14">
        <v>5066</v>
      </c>
      <c r="O14">
        <v>2000</v>
      </c>
      <c r="P14">
        <v>5000</v>
      </c>
      <c r="Q14">
        <v>2500</v>
      </c>
      <c r="R14">
        <v>1725</v>
      </c>
      <c r="S14">
        <v>1300</v>
      </c>
      <c r="T14">
        <v>2473</v>
      </c>
      <c r="U14">
        <v>4652</v>
      </c>
      <c r="V14">
        <v>1994</v>
      </c>
      <c r="W14">
        <v>2857</v>
      </c>
      <c r="X14">
        <v>2049</v>
      </c>
      <c r="Y14">
        <v>1235</v>
      </c>
      <c r="Z14">
        <v>1624</v>
      </c>
      <c r="AA14">
        <v>2212</v>
      </c>
      <c r="AB14">
        <v>3021</v>
      </c>
      <c r="AC14">
        <v>3676</v>
      </c>
      <c r="AD14">
        <v>2278</v>
      </c>
      <c r="AE14">
        <v>2161</v>
      </c>
      <c r="AF14">
        <v>2204</v>
      </c>
      <c r="AG14">
        <v>654</v>
      </c>
      <c r="AH14">
        <v>1389</v>
      </c>
      <c r="AI14">
        <v>3173</v>
      </c>
      <c r="AJ14">
        <v>1465</v>
      </c>
      <c r="AK14">
        <v>811</v>
      </c>
      <c r="AL14">
        <v>1600</v>
      </c>
      <c r="AM14">
        <v>1952</v>
      </c>
      <c r="AN14">
        <v>2162</v>
      </c>
      <c r="AO14">
        <v>2654</v>
      </c>
      <c r="AP14">
        <v>1403</v>
      </c>
      <c r="AQ14">
        <v>718</v>
      </c>
      <c r="AR14">
        <v>703</v>
      </c>
      <c r="AS14">
        <v>369</v>
      </c>
      <c r="AT14">
        <v>1400</v>
      </c>
      <c r="AU14">
        <v>2270</v>
      </c>
      <c r="AV14">
        <v>2271</v>
      </c>
    </row>
    <row r="15" spans="1:48" x14ac:dyDescent="0.25">
      <c r="A15" t="s">
        <v>123</v>
      </c>
      <c r="B15">
        <v>14</v>
      </c>
      <c r="C15">
        <v>1</v>
      </c>
      <c r="D15" t="s">
        <v>15</v>
      </c>
      <c r="E15">
        <v>1594.6396260771587</v>
      </c>
      <c r="F15">
        <v>2362.4290756698647</v>
      </c>
      <c r="G15">
        <v>1488.3303176720149</v>
      </c>
      <c r="H15">
        <v>1653.7003529689052</v>
      </c>
      <c r="I15">
        <v>5079.2225126902094</v>
      </c>
      <c r="J15">
        <v>5813.9379552235368</v>
      </c>
      <c r="K15">
        <v>8694.019814260173</v>
      </c>
      <c r="L15">
        <v>13008.465879320769</v>
      </c>
      <c r="M15">
        <v>14651.86094376067</v>
      </c>
      <c r="N15">
        <v>6978.61548952878</v>
      </c>
      <c r="O15">
        <v>7087.2872270095941</v>
      </c>
      <c r="P15">
        <v>7677.8944959270602</v>
      </c>
      <c r="Q15">
        <v>4961.1010589067155</v>
      </c>
      <c r="R15">
        <v>5516.2718916891345</v>
      </c>
      <c r="S15">
        <v>7252.6572623064849</v>
      </c>
      <c r="T15">
        <v>10753.777152449224</v>
      </c>
      <c r="U15">
        <v>8111.0649680811257</v>
      </c>
      <c r="V15">
        <v>3746</v>
      </c>
      <c r="W15">
        <v>6415</v>
      </c>
      <c r="X15">
        <v>7082</v>
      </c>
      <c r="Y15">
        <v>3430</v>
      </c>
      <c r="Z15">
        <v>2586</v>
      </c>
      <c r="AA15">
        <v>5490</v>
      </c>
      <c r="AB15">
        <v>7059</v>
      </c>
      <c r="AC15">
        <v>10047</v>
      </c>
      <c r="AD15">
        <v>8114</v>
      </c>
      <c r="AE15">
        <v>4594</v>
      </c>
      <c r="AF15">
        <v>3939</v>
      </c>
      <c r="AG15">
        <v>1821</v>
      </c>
      <c r="AH15">
        <v>3427</v>
      </c>
      <c r="AI15">
        <v>4902</v>
      </c>
      <c r="AJ15">
        <v>3066</v>
      </c>
      <c r="AK15">
        <v>2469</v>
      </c>
      <c r="AL15">
        <v>2614</v>
      </c>
      <c r="AM15">
        <v>3897</v>
      </c>
      <c r="AN15">
        <v>5298</v>
      </c>
      <c r="AO15">
        <v>6879</v>
      </c>
      <c r="AP15">
        <v>3558</v>
      </c>
      <c r="AQ15">
        <v>1914</v>
      </c>
      <c r="AR15">
        <v>2120</v>
      </c>
      <c r="AS15">
        <v>697</v>
      </c>
      <c r="AT15">
        <v>3499</v>
      </c>
      <c r="AU15">
        <v>4347</v>
      </c>
      <c r="AV15">
        <v>6409</v>
      </c>
    </row>
    <row r="16" spans="1:48" x14ac:dyDescent="0.25">
      <c r="A16" t="s">
        <v>122</v>
      </c>
      <c r="B16">
        <v>15</v>
      </c>
      <c r="C16">
        <v>1</v>
      </c>
      <c r="D16" t="s">
        <v>15</v>
      </c>
      <c r="E16">
        <v>1561.0659007512061</v>
      </c>
      <c r="F16">
        <v>823.71136890701939</v>
      </c>
      <c r="G16">
        <v>730.71169822396882</v>
      </c>
      <c r="H16">
        <v>1549.9945113841763</v>
      </c>
      <c r="I16">
        <v>858.0326759448119</v>
      </c>
      <c r="J16">
        <v>1605.3514582193254</v>
      </c>
      <c r="K16">
        <v>4223.6353175061731</v>
      </c>
      <c r="L16">
        <v>4207.1279594713351</v>
      </c>
      <c r="M16">
        <v>4151.7710126361862</v>
      </c>
      <c r="N16">
        <v>3166.4173589705315</v>
      </c>
      <c r="O16">
        <v>1660.7084050544745</v>
      </c>
      <c r="P16">
        <v>1664.3800356756699</v>
      </c>
      <c r="Q16">
        <v>1439.280617713878</v>
      </c>
      <c r="R16">
        <v>5654.2214734356839</v>
      </c>
      <c r="S16">
        <v>2572.0126405929655</v>
      </c>
      <c r="T16">
        <v>1837.8506349269519</v>
      </c>
      <c r="U16">
        <v>1813.6031851101329</v>
      </c>
      <c r="V16">
        <v>2934.7615200383452</v>
      </c>
      <c r="W16">
        <v>1818.1653197457849</v>
      </c>
      <c r="X16">
        <v>2528</v>
      </c>
      <c r="Y16">
        <v>1740</v>
      </c>
      <c r="Z16">
        <v>2251</v>
      </c>
      <c r="AA16">
        <v>2420</v>
      </c>
      <c r="AB16">
        <v>3753</v>
      </c>
      <c r="AC16">
        <v>4100</v>
      </c>
      <c r="AD16">
        <v>3263.3416049611396</v>
      </c>
      <c r="AE16">
        <v>1317.192378110854</v>
      </c>
      <c r="AF16">
        <v>1353.362420530374</v>
      </c>
      <c r="AG16">
        <v>1046.9217833649961</v>
      </c>
      <c r="AH16">
        <v>1264.9467612826584</v>
      </c>
      <c r="AI16">
        <v>2315.8874382498234</v>
      </c>
      <c r="AJ16">
        <v>765.59923121317377</v>
      </c>
      <c r="AK16">
        <v>584.74901911557367</v>
      </c>
      <c r="AL16">
        <v>806.79289063540489</v>
      </c>
      <c r="AM16">
        <v>1198.6350168468718</v>
      </c>
      <c r="AN16">
        <v>1770.3226317553965</v>
      </c>
      <c r="AO16">
        <v>984.67381971233772</v>
      </c>
      <c r="AP16">
        <v>779.44866513749014</v>
      </c>
      <c r="AQ16">
        <v>471.33190121506283</v>
      </c>
      <c r="AR16">
        <v>446.88390134549434</v>
      </c>
      <c r="AS16">
        <v>5.9386564962856392</v>
      </c>
      <c r="AT16">
        <v>1208.5165969941277</v>
      </c>
      <c r="AU16">
        <v>1696.9710938136213</v>
      </c>
      <c r="AV16">
        <v>1768.234971769049</v>
      </c>
    </row>
    <row r="17" spans="1:48" x14ac:dyDescent="0.25">
      <c r="A17" t="s">
        <v>201</v>
      </c>
      <c r="B17">
        <v>16</v>
      </c>
      <c r="C17">
        <v>1</v>
      </c>
      <c r="D17" t="s">
        <v>15</v>
      </c>
      <c r="E17">
        <v>835.75879862239924</v>
      </c>
      <c r="F17">
        <v>557.17253241493279</v>
      </c>
      <c r="G17">
        <v>490.31182852514087</v>
      </c>
      <c r="H17">
        <v>501.45527917343952</v>
      </c>
      <c r="I17">
        <v>869.1891505672952</v>
      </c>
      <c r="J17">
        <v>390.02077269045299</v>
      </c>
      <c r="K17">
        <v>1560.0830907618119</v>
      </c>
      <c r="L17">
        <v>1615.8003440033051</v>
      </c>
      <c r="M17">
        <v>1782.952103727785</v>
      </c>
      <c r="N17">
        <v>2005.8211166937581</v>
      </c>
      <c r="O17">
        <v>1337.2140777958389</v>
      </c>
      <c r="P17">
        <v>2005.8211166937581</v>
      </c>
      <c r="Q17">
        <v>612.88978565642606</v>
      </c>
      <c r="R17">
        <v>780.04154538090597</v>
      </c>
      <c r="S17">
        <v>668.60703889791944</v>
      </c>
      <c r="T17">
        <v>1303.7837258509428</v>
      </c>
      <c r="U17">
        <v>884.33503126783762</v>
      </c>
      <c r="V17">
        <v>1340</v>
      </c>
      <c r="W17">
        <v>1869</v>
      </c>
      <c r="X17">
        <v>1588</v>
      </c>
      <c r="Y17">
        <v>716</v>
      </c>
      <c r="Z17">
        <v>1277</v>
      </c>
      <c r="AA17">
        <v>893</v>
      </c>
      <c r="AB17">
        <v>1046</v>
      </c>
      <c r="AC17">
        <v>1739</v>
      </c>
      <c r="AD17">
        <v>1887</v>
      </c>
      <c r="AE17">
        <v>1010</v>
      </c>
      <c r="AF17">
        <v>1205</v>
      </c>
      <c r="AG17">
        <v>380</v>
      </c>
      <c r="AH17">
        <v>667</v>
      </c>
      <c r="AI17">
        <v>1002</v>
      </c>
      <c r="AJ17">
        <v>630.71930669370397</v>
      </c>
      <c r="AK17">
        <v>659</v>
      </c>
      <c r="AL17">
        <v>480</v>
      </c>
      <c r="AM17">
        <v>592</v>
      </c>
      <c r="AN17">
        <v>1474</v>
      </c>
      <c r="AO17">
        <v>868</v>
      </c>
      <c r="AP17">
        <v>395</v>
      </c>
      <c r="AQ17">
        <v>301</v>
      </c>
      <c r="AR17">
        <v>239</v>
      </c>
      <c r="AS17">
        <v>362</v>
      </c>
      <c r="AT17">
        <v>1238</v>
      </c>
      <c r="AU17">
        <v>960</v>
      </c>
      <c r="AV17">
        <v>800.23905265805161</v>
      </c>
    </row>
    <row r="18" spans="1:48" x14ac:dyDescent="0.25">
      <c r="A18" t="s">
        <v>202</v>
      </c>
      <c r="B18">
        <v>17</v>
      </c>
      <c r="C18">
        <v>1</v>
      </c>
      <c r="D18" t="s">
        <v>15</v>
      </c>
      <c r="E18">
        <v>750</v>
      </c>
      <c r="F18">
        <v>500</v>
      </c>
      <c r="G18">
        <v>175</v>
      </c>
      <c r="H18">
        <v>300</v>
      </c>
      <c r="I18">
        <v>250</v>
      </c>
      <c r="J18">
        <v>683.83549408907857</v>
      </c>
      <c r="K18">
        <v>350</v>
      </c>
      <c r="L18">
        <v>450</v>
      </c>
      <c r="M18">
        <v>700</v>
      </c>
      <c r="N18">
        <v>1200</v>
      </c>
      <c r="O18">
        <v>450</v>
      </c>
      <c r="P18">
        <v>700</v>
      </c>
      <c r="Q18">
        <v>300</v>
      </c>
      <c r="R18">
        <v>300</v>
      </c>
      <c r="S18">
        <v>50</v>
      </c>
      <c r="T18">
        <v>771</v>
      </c>
      <c r="U18">
        <v>901</v>
      </c>
      <c r="V18">
        <v>1020</v>
      </c>
      <c r="W18">
        <v>560</v>
      </c>
      <c r="X18">
        <v>1197</v>
      </c>
      <c r="Y18">
        <v>858</v>
      </c>
      <c r="Z18">
        <v>704</v>
      </c>
      <c r="AA18">
        <v>480</v>
      </c>
      <c r="AB18">
        <v>587</v>
      </c>
      <c r="AC18">
        <v>2448</v>
      </c>
      <c r="AD18">
        <v>1684</v>
      </c>
      <c r="AE18">
        <v>666</v>
      </c>
      <c r="AF18">
        <v>547</v>
      </c>
      <c r="AG18">
        <v>269</v>
      </c>
      <c r="AH18">
        <v>530</v>
      </c>
      <c r="AI18">
        <v>731</v>
      </c>
      <c r="AJ18">
        <v>308</v>
      </c>
      <c r="AK18">
        <v>509</v>
      </c>
      <c r="AL18">
        <v>125</v>
      </c>
      <c r="AM18">
        <v>313</v>
      </c>
      <c r="AN18">
        <v>1651</v>
      </c>
      <c r="AO18">
        <v>585</v>
      </c>
      <c r="AP18">
        <v>354.5046983873201</v>
      </c>
      <c r="AQ18">
        <v>225.22878649627927</v>
      </c>
      <c r="AR18">
        <v>234.96097240976101</v>
      </c>
      <c r="AS18">
        <v>109.60733371589163</v>
      </c>
      <c r="AT18">
        <v>449.42458976648476</v>
      </c>
      <c r="AU18">
        <v>502.28532784319032</v>
      </c>
      <c r="AV18">
        <v>598.04623714757838</v>
      </c>
    </row>
    <row r="19" spans="1:48" x14ac:dyDescent="0.25">
      <c r="A19" t="s">
        <v>193</v>
      </c>
      <c r="B19">
        <v>18</v>
      </c>
      <c r="C19">
        <v>2</v>
      </c>
      <c r="D19" t="s">
        <v>18</v>
      </c>
      <c r="E19">
        <v>750</v>
      </c>
      <c r="F19">
        <v>1800</v>
      </c>
      <c r="G19">
        <v>140</v>
      </c>
      <c r="H19">
        <v>600</v>
      </c>
      <c r="I19">
        <v>475</v>
      </c>
      <c r="J19">
        <v>500</v>
      </c>
      <c r="K19">
        <v>3000</v>
      </c>
      <c r="L19">
        <v>3065</v>
      </c>
      <c r="M19">
        <v>5052</v>
      </c>
      <c r="N19">
        <v>3065</v>
      </c>
      <c r="O19">
        <v>1659</v>
      </c>
      <c r="P19">
        <v>6064</v>
      </c>
      <c r="Q19">
        <v>7500</v>
      </c>
      <c r="R19">
        <v>15025</v>
      </c>
      <c r="S19">
        <v>1038</v>
      </c>
      <c r="T19">
        <v>2420</v>
      </c>
      <c r="U19">
        <v>3730</v>
      </c>
      <c r="V19">
        <v>7415</v>
      </c>
      <c r="W19">
        <v>6258</v>
      </c>
      <c r="X19">
        <v>4642</v>
      </c>
      <c r="Y19">
        <v>3875</v>
      </c>
      <c r="Z19">
        <v>1875</v>
      </c>
      <c r="AA19">
        <v>1954</v>
      </c>
      <c r="AB19">
        <v>4489</v>
      </c>
      <c r="AC19">
        <v>6775.6446281055396</v>
      </c>
      <c r="AD19">
        <v>0.01</v>
      </c>
      <c r="AE19">
        <v>3270.0132118364281</v>
      </c>
      <c r="AF19">
        <v>4588.0704172479218</v>
      </c>
      <c r="AG19">
        <v>1895.6701781655247</v>
      </c>
      <c r="AH19">
        <v>2912.4775393614927</v>
      </c>
      <c r="AI19">
        <v>3748.9244711832671</v>
      </c>
      <c r="AJ19">
        <v>3159.8948866633646</v>
      </c>
      <c r="AK19">
        <v>2817.2246071929803</v>
      </c>
      <c r="AL19">
        <v>1515.7855326235012</v>
      </c>
      <c r="AM19">
        <v>2063.3517163470769</v>
      </c>
      <c r="AN19">
        <v>3724.0758656068238</v>
      </c>
      <c r="AO19">
        <v>5100.9536069666474</v>
      </c>
      <c r="AP19">
        <v>1696.7932366267914</v>
      </c>
      <c r="AQ19">
        <v>1172.3627502635582</v>
      </c>
      <c r="AR19">
        <v>1066.8608682380036</v>
      </c>
      <c r="AS19">
        <v>1086.8470443504527</v>
      </c>
      <c r="AT19">
        <v>2612.711174364335</v>
      </c>
      <c r="AU19">
        <v>2570.1637394579034</v>
      </c>
      <c r="AV19">
        <v>4611.9720164154623</v>
      </c>
    </row>
    <row r="20" spans="1:48" x14ac:dyDescent="0.25">
      <c r="A20" t="s">
        <v>173</v>
      </c>
      <c r="B20">
        <v>19</v>
      </c>
      <c r="C20">
        <v>2</v>
      </c>
      <c r="D20" t="s">
        <v>18</v>
      </c>
      <c r="E20">
        <v>1800</v>
      </c>
      <c r="F20">
        <v>2038</v>
      </c>
      <c r="G20">
        <v>2814</v>
      </c>
      <c r="H20">
        <v>1590</v>
      </c>
      <c r="I20">
        <v>1114</v>
      </c>
      <c r="J20">
        <v>2099</v>
      </c>
      <c r="K20">
        <v>2591</v>
      </c>
      <c r="L20">
        <v>2685</v>
      </c>
      <c r="M20">
        <v>2042</v>
      </c>
      <c r="N20">
        <v>2801</v>
      </c>
      <c r="O20">
        <v>2928</v>
      </c>
      <c r="P20">
        <v>2628</v>
      </c>
      <c r="Q20">
        <v>2371</v>
      </c>
      <c r="R20">
        <v>2451</v>
      </c>
      <c r="S20">
        <v>685</v>
      </c>
      <c r="T20">
        <v>1138</v>
      </c>
      <c r="U20">
        <v>1736</v>
      </c>
      <c r="V20">
        <v>2005</v>
      </c>
      <c r="W20">
        <v>2021</v>
      </c>
      <c r="X20">
        <v>1919</v>
      </c>
      <c r="Y20">
        <v>1876</v>
      </c>
      <c r="Z20">
        <v>3459</v>
      </c>
      <c r="AA20">
        <v>5526</v>
      </c>
      <c r="AB20">
        <v>3397</v>
      </c>
      <c r="AC20">
        <v>5121</v>
      </c>
      <c r="AD20">
        <v>4978</v>
      </c>
      <c r="AE20">
        <v>3393</v>
      </c>
      <c r="AF20">
        <v>6803</v>
      </c>
      <c r="AG20">
        <v>1428</v>
      </c>
      <c r="AH20">
        <v>4670</v>
      </c>
      <c r="AI20">
        <v>2310</v>
      </c>
      <c r="AJ20">
        <v>6915</v>
      </c>
      <c r="AK20">
        <v>4200</v>
      </c>
      <c r="AL20">
        <v>1021</v>
      </c>
      <c r="AM20">
        <v>1117</v>
      </c>
      <c r="AN20">
        <v>5183</v>
      </c>
      <c r="AO20">
        <v>8291</v>
      </c>
      <c r="AP20">
        <v>3141</v>
      </c>
      <c r="AQ20">
        <v>505</v>
      </c>
      <c r="AR20">
        <v>1673</v>
      </c>
      <c r="AS20">
        <v>1450</v>
      </c>
      <c r="AT20">
        <v>1800</v>
      </c>
      <c r="AU20">
        <v>2770</v>
      </c>
      <c r="AV20">
        <v>4076</v>
      </c>
    </row>
    <row r="21" spans="1:48" x14ac:dyDescent="0.25">
      <c r="A21" t="s">
        <v>192</v>
      </c>
      <c r="B21">
        <v>20</v>
      </c>
      <c r="C21">
        <v>2</v>
      </c>
      <c r="D21" t="s">
        <v>18</v>
      </c>
      <c r="E21">
        <v>75</v>
      </c>
      <c r="F21">
        <v>50</v>
      </c>
      <c r="G21">
        <v>25</v>
      </c>
      <c r="H21">
        <v>12.52847538704591</v>
      </c>
      <c r="I21">
        <v>0</v>
      </c>
      <c r="J21">
        <v>0</v>
      </c>
      <c r="K21">
        <v>30</v>
      </c>
      <c r="L21">
        <v>75</v>
      </c>
      <c r="M21">
        <v>50</v>
      </c>
      <c r="N21">
        <v>50</v>
      </c>
      <c r="O21">
        <v>14.091452492167232</v>
      </c>
      <c r="P21">
        <v>0</v>
      </c>
      <c r="Q21">
        <v>23.277280332758405</v>
      </c>
      <c r="R21">
        <v>31.126825173021565</v>
      </c>
      <c r="S21">
        <v>17.302544316442443</v>
      </c>
      <c r="T21">
        <v>10</v>
      </c>
      <c r="U21">
        <v>24.248577843299113</v>
      </c>
      <c r="V21">
        <v>20</v>
      </c>
      <c r="W21">
        <v>34.488481523788174</v>
      </c>
      <c r="X21">
        <v>15</v>
      </c>
      <c r="Y21">
        <v>18</v>
      </c>
      <c r="Z21">
        <v>27.630111523155428</v>
      </c>
      <c r="AA21">
        <v>31.221496881708713</v>
      </c>
      <c r="AB21">
        <v>0</v>
      </c>
      <c r="AC21">
        <v>0.01</v>
      </c>
      <c r="AD21">
        <v>5</v>
      </c>
      <c r="AE21">
        <v>231</v>
      </c>
      <c r="AF21">
        <v>0</v>
      </c>
      <c r="AG21">
        <v>0</v>
      </c>
      <c r="AH21">
        <v>2</v>
      </c>
      <c r="AI21">
        <v>3</v>
      </c>
      <c r="AJ21">
        <v>7</v>
      </c>
      <c r="AK21">
        <v>3</v>
      </c>
      <c r="AL21">
        <v>0</v>
      </c>
      <c r="AM21">
        <v>0</v>
      </c>
      <c r="AN21">
        <v>15</v>
      </c>
      <c r="AO21">
        <v>6</v>
      </c>
      <c r="AP21">
        <v>3</v>
      </c>
      <c r="AQ21">
        <v>2</v>
      </c>
      <c r="AR21">
        <v>2</v>
      </c>
      <c r="AS21">
        <v>0</v>
      </c>
      <c r="AT21">
        <v>0</v>
      </c>
      <c r="AU21">
        <v>2</v>
      </c>
      <c r="AV21">
        <v>2</v>
      </c>
    </row>
    <row r="22" spans="1:48" x14ac:dyDescent="0.25">
      <c r="A22" t="s">
        <v>149</v>
      </c>
      <c r="B22">
        <v>21</v>
      </c>
      <c r="C22">
        <v>1</v>
      </c>
      <c r="D22" t="s">
        <v>15</v>
      </c>
      <c r="E22">
        <v>75</v>
      </c>
      <c r="F22">
        <v>50</v>
      </c>
      <c r="G22">
        <v>32</v>
      </c>
      <c r="H22">
        <v>65</v>
      </c>
      <c r="I22">
        <v>50</v>
      </c>
      <c r="J22">
        <v>300</v>
      </c>
      <c r="K22">
        <v>300</v>
      </c>
      <c r="L22">
        <v>300</v>
      </c>
      <c r="M22">
        <v>500</v>
      </c>
      <c r="N22">
        <v>300</v>
      </c>
      <c r="O22">
        <v>200</v>
      </c>
      <c r="P22">
        <v>75</v>
      </c>
      <c r="Q22">
        <v>200</v>
      </c>
      <c r="R22">
        <v>10</v>
      </c>
      <c r="S22">
        <v>20</v>
      </c>
      <c r="T22">
        <v>200</v>
      </c>
      <c r="U22">
        <v>125</v>
      </c>
      <c r="V22">
        <v>167</v>
      </c>
      <c r="W22">
        <v>67</v>
      </c>
      <c r="X22">
        <v>191</v>
      </c>
      <c r="Y22">
        <v>171</v>
      </c>
      <c r="Z22">
        <v>160</v>
      </c>
      <c r="AA22">
        <v>275</v>
      </c>
      <c r="AB22">
        <v>292</v>
      </c>
      <c r="AC22">
        <v>276.98760852571439</v>
      </c>
      <c r="AD22">
        <v>182.85300154367368</v>
      </c>
      <c r="AE22">
        <v>252</v>
      </c>
      <c r="AF22">
        <v>118</v>
      </c>
      <c r="AG22">
        <v>49</v>
      </c>
      <c r="AH22">
        <v>295</v>
      </c>
      <c r="AI22">
        <v>166</v>
      </c>
      <c r="AJ22">
        <v>274</v>
      </c>
      <c r="AK22">
        <v>114</v>
      </c>
      <c r="AL22">
        <v>77</v>
      </c>
      <c r="AM22">
        <v>158</v>
      </c>
      <c r="AN22">
        <v>125</v>
      </c>
      <c r="AO22">
        <v>117</v>
      </c>
      <c r="AP22">
        <v>49</v>
      </c>
      <c r="AQ22">
        <v>31</v>
      </c>
      <c r="AR22">
        <v>63</v>
      </c>
      <c r="AS22">
        <v>39</v>
      </c>
      <c r="AT22">
        <v>105.50457853579951</v>
      </c>
      <c r="AU22">
        <v>74</v>
      </c>
      <c r="AV22">
        <v>152</v>
      </c>
    </row>
    <row r="23" spans="1:48" x14ac:dyDescent="0.25">
      <c r="A23" t="s">
        <v>134</v>
      </c>
      <c r="B23">
        <v>22</v>
      </c>
      <c r="C23">
        <v>1</v>
      </c>
      <c r="D23" t="s">
        <v>15</v>
      </c>
      <c r="E23">
        <v>200</v>
      </c>
      <c r="F23">
        <v>200</v>
      </c>
      <c r="G23">
        <v>150</v>
      </c>
      <c r="H23">
        <v>150</v>
      </c>
      <c r="I23">
        <v>75</v>
      </c>
      <c r="J23">
        <v>150</v>
      </c>
      <c r="K23">
        <v>175</v>
      </c>
      <c r="L23">
        <v>150</v>
      </c>
      <c r="M23">
        <v>175</v>
      </c>
      <c r="N23">
        <v>250</v>
      </c>
      <c r="O23">
        <v>50</v>
      </c>
      <c r="P23">
        <v>425</v>
      </c>
      <c r="Q23">
        <v>150</v>
      </c>
      <c r="R23">
        <v>150</v>
      </c>
      <c r="S23">
        <v>25</v>
      </c>
      <c r="T23">
        <v>119</v>
      </c>
      <c r="U23">
        <v>200</v>
      </c>
      <c r="V23">
        <v>320</v>
      </c>
      <c r="W23">
        <v>186</v>
      </c>
      <c r="X23">
        <v>39</v>
      </c>
      <c r="Y23">
        <v>115</v>
      </c>
      <c r="Z23">
        <v>20</v>
      </c>
      <c r="AA23">
        <v>150.75180389630515</v>
      </c>
      <c r="AB23">
        <v>229</v>
      </c>
      <c r="AC23">
        <v>243.11767390096676</v>
      </c>
      <c r="AD23">
        <v>106</v>
      </c>
      <c r="AE23">
        <v>203</v>
      </c>
      <c r="AF23">
        <v>168</v>
      </c>
      <c r="AG23">
        <v>78</v>
      </c>
      <c r="AH23">
        <v>123</v>
      </c>
      <c r="AI23">
        <v>171</v>
      </c>
      <c r="AJ23">
        <v>91</v>
      </c>
      <c r="AK23">
        <v>128</v>
      </c>
      <c r="AL23">
        <v>43</v>
      </c>
      <c r="AM23">
        <v>100</v>
      </c>
      <c r="AN23">
        <v>125</v>
      </c>
      <c r="AO23">
        <v>417</v>
      </c>
      <c r="AP23">
        <v>57</v>
      </c>
      <c r="AQ23">
        <v>6</v>
      </c>
      <c r="AR23">
        <v>20</v>
      </c>
      <c r="AS23">
        <v>18</v>
      </c>
      <c r="AT23">
        <v>12</v>
      </c>
      <c r="AU23">
        <v>38</v>
      </c>
      <c r="AV23">
        <v>24</v>
      </c>
    </row>
    <row r="24" spans="1:48" ht="14.25" customHeight="1" x14ac:dyDescent="0.25">
      <c r="A24" t="s">
        <v>121</v>
      </c>
      <c r="B24">
        <v>23</v>
      </c>
      <c r="C24">
        <v>1</v>
      </c>
      <c r="D24" t="s">
        <v>15</v>
      </c>
      <c r="E24">
        <v>305.43077430605587</v>
      </c>
      <c r="F24">
        <v>355.80430079899639</v>
      </c>
      <c r="G24">
        <v>233.73074341761057</v>
      </c>
      <c r="H24">
        <v>297.18970139002499</v>
      </c>
      <c r="I24">
        <v>451.00995748271458</v>
      </c>
      <c r="J24">
        <v>582.19123792942412</v>
      </c>
      <c r="K24">
        <v>863.05199808413533</v>
      </c>
      <c r="L24">
        <v>1070.4684844144383</v>
      </c>
      <c r="M24">
        <v>1050.2521963231782</v>
      </c>
      <c r="N24">
        <v>904.34458415285758</v>
      </c>
      <c r="O24">
        <v>671.58394390315914</v>
      </c>
      <c r="P24">
        <v>841.40130580257983</v>
      </c>
      <c r="Q24">
        <v>597.18229501054611</v>
      </c>
      <c r="R24">
        <v>747.55413590800003</v>
      </c>
      <c r="S24">
        <v>749.41834789585516</v>
      </c>
      <c r="T24">
        <v>1087.9326887281845</v>
      </c>
      <c r="U24">
        <v>832.18919716813969</v>
      </c>
      <c r="V24">
        <v>658.89285708544344</v>
      </c>
      <c r="W24">
        <v>753.4559247700679</v>
      </c>
      <c r="X24">
        <v>641.84356315812693</v>
      </c>
      <c r="Y24">
        <v>739.49349331206724</v>
      </c>
      <c r="Z24">
        <v>392.99999999999989</v>
      </c>
      <c r="AA24">
        <v>723.99999999999989</v>
      </c>
      <c r="AB24">
        <v>674.99999999999989</v>
      </c>
      <c r="AC24">
        <v>1708.9999999999995</v>
      </c>
      <c r="AD24">
        <v>558.99999999999989</v>
      </c>
      <c r="AE24">
        <v>257.99999999999994</v>
      </c>
      <c r="AF24">
        <v>341.99999999999994</v>
      </c>
      <c r="AG24">
        <v>233.99999999999994</v>
      </c>
      <c r="AH24">
        <v>395.99999999999989</v>
      </c>
      <c r="AI24">
        <v>480.99999999999989</v>
      </c>
      <c r="AJ24">
        <v>576.99999999999989</v>
      </c>
      <c r="AK24">
        <v>371.99999999999994</v>
      </c>
      <c r="AL24">
        <v>387.99999999999989</v>
      </c>
      <c r="AM24">
        <v>455.99999999999989</v>
      </c>
      <c r="AN24">
        <v>1060.9999999999998</v>
      </c>
      <c r="AO24">
        <v>610.99999999999989</v>
      </c>
      <c r="AP24">
        <v>299.99999999999994</v>
      </c>
      <c r="AQ24">
        <v>191.75112605449206</v>
      </c>
      <c r="AR24">
        <v>288.99999999999994</v>
      </c>
      <c r="AS24">
        <v>58.999999999999986</v>
      </c>
      <c r="AT24">
        <v>495.99999999999989</v>
      </c>
      <c r="AU24">
        <v>870.99999999999977</v>
      </c>
      <c r="AV24">
        <v>512.99999999999989</v>
      </c>
    </row>
    <row r="25" spans="1:48" x14ac:dyDescent="0.25">
      <c r="A25" t="s">
        <v>143</v>
      </c>
      <c r="B25">
        <v>24</v>
      </c>
      <c r="C25">
        <v>1</v>
      </c>
      <c r="D25" t="s">
        <v>15</v>
      </c>
      <c r="E25">
        <v>200</v>
      </c>
      <c r="F25">
        <v>300</v>
      </c>
      <c r="G25">
        <v>300</v>
      </c>
      <c r="H25">
        <v>325</v>
      </c>
      <c r="I25">
        <v>900</v>
      </c>
      <c r="J25">
        <v>900</v>
      </c>
      <c r="K25">
        <v>1500</v>
      </c>
      <c r="L25">
        <v>1473</v>
      </c>
      <c r="M25">
        <v>2700</v>
      </c>
      <c r="N25" s="76">
        <v>1169</v>
      </c>
      <c r="O25">
        <v>800</v>
      </c>
      <c r="P25">
        <v>1000</v>
      </c>
      <c r="Q25">
        <v>1000</v>
      </c>
      <c r="R25">
        <v>2200</v>
      </c>
      <c r="S25">
        <v>4470</v>
      </c>
      <c r="T25">
        <v>4690</v>
      </c>
      <c r="U25">
        <v>2100</v>
      </c>
      <c r="V25">
        <v>1900</v>
      </c>
      <c r="W25">
        <v>3329</v>
      </c>
      <c r="X25">
        <v>2026</v>
      </c>
      <c r="Y25">
        <v>709</v>
      </c>
      <c r="Z25">
        <v>1208</v>
      </c>
      <c r="AA25">
        <v>788</v>
      </c>
      <c r="AB25">
        <v>1348</v>
      </c>
      <c r="AC25">
        <v>1572.0109251075955</v>
      </c>
      <c r="AD25">
        <v>1235</v>
      </c>
      <c r="AE25">
        <v>559</v>
      </c>
      <c r="AF25">
        <v>749.10617074259062</v>
      </c>
      <c r="AG25">
        <v>393</v>
      </c>
      <c r="AH25">
        <v>225</v>
      </c>
      <c r="AI25">
        <v>535</v>
      </c>
      <c r="AJ25">
        <v>833</v>
      </c>
      <c r="AK25">
        <v>376</v>
      </c>
      <c r="AL25">
        <v>518.611964360255</v>
      </c>
      <c r="AM25">
        <v>537.81981489211637</v>
      </c>
      <c r="AN25">
        <v>930.06434154275757</v>
      </c>
      <c r="AO25">
        <v>654.07785758496095</v>
      </c>
      <c r="AP25">
        <v>363</v>
      </c>
      <c r="AQ25">
        <v>157</v>
      </c>
      <c r="AR25">
        <v>182.98004980352079</v>
      </c>
      <c r="AS25">
        <v>88</v>
      </c>
      <c r="AT25">
        <v>327</v>
      </c>
      <c r="AU25">
        <v>393</v>
      </c>
      <c r="AV25">
        <v>533</v>
      </c>
    </row>
    <row r="26" spans="1:48" x14ac:dyDescent="0.25">
      <c r="A26" t="s">
        <v>180</v>
      </c>
      <c r="B26">
        <v>25</v>
      </c>
      <c r="C26">
        <v>2</v>
      </c>
      <c r="D26" t="s">
        <v>18</v>
      </c>
      <c r="E26">
        <v>900</v>
      </c>
      <c r="F26">
        <v>1000</v>
      </c>
      <c r="G26">
        <v>800</v>
      </c>
      <c r="H26">
        <v>1000</v>
      </c>
      <c r="I26">
        <v>1500</v>
      </c>
      <c r="J26">
        <v>1800</v>
      </c>
      <c r="K26">
        <v>2000</v>
      </c>
      <c r="L26">
        <v>9000</v>
      </c>
      <c r="M26">
        <v>4756</v>
      </c>
      <c r="N26">
        <v>6300</v>
      </c>
      <c r="O26">
        <v>3000</v>
      </c>
      <c r="P26">
        <v>6195</v>
      </c>
      <c r="Q26">
        <v>4984</v>
      </c>
      <c r="R26">
        <v>3551</v>
      </c>
      <c r="S26">
        <v>5086</v>
      </c>
      <c r="T26">
        <v>1746</v>
      </c>
      <c r="U26">
        <v>3232</v>
      </c>
      <c r="V26">
        <v>3538</v>
      </c>
      <c r="W26">
        <v>3662</v>
      </c>
      <c r="X26">
        <v>5191</v>
      </c>
      <c r="Y26">
        <v>1770</v>
      </c>
      <c r="Z26">
        <v>1778</v>
      </c>
      <c r="AA26">
        <v>2418</v>
      </c>
      <c r="AB26">
        <v>5514</v>
      </c>
      <c r="AC26">
        <v>5265</v>
      </c>
      <c r="AD26">
        <v>2945</v>
      </c>
      <c r="AE26">
        <v>3173</v>
      </c>
      <c r="AF26">
        <v>2665</v>
      </c>
      <c r="AG26">
        <v>1773</v>
      </c>
      <c r="AH26">
        <v>1383</v>
      </c>
      <c r="AI26">
        <v>1875</v>
      </c>
      <c r="AJ26">
        <v>2319</v>
      </c>
      <c r="AK26">
        <v>1428</v>
      </c>
      <c r="AL26">
        <v>1560</v>
      </c>
      <c r="AM26">
        <v>2579</v>
      </c>
      <c r="AN26">
        <v>1859</v>
      </c>
      <c r="AO26">
        <v>3882</v>
      </c>
      <c r="AP26">
        <v>1021</v>
      </c>
      <c r="AQ26">
        <v>503</v>
      </c>
      <c r="AR26">
        <v>512</v>
      </c>
      <c r="AS26">
        <v>171</v>
      </c>
      <c r="AT26">
        <v>289</v>
      </c>
      <c r="AU26">
        <v>1560</v>
      </c>
      <c r="AV26">
        <v>1637</v>
      </c>
    </row>
    <row r="27" spans="1:48" x14ac:dyDescent="0.25">
      <c r="A27" t="s">
        <v>133</v>
      </c>
      <c r="B27">
        <v>26</v>
      </c>
      <c r="C27">
        <v>2</v>
      </c>
      <c r="D27" t="s">
        <v>18</v>
      </c>
      <c r="E27">
        <v>375.04881072357756</v>
      </c>
      <c r="F27">
        <v>498.23659338097002</v>
      </c>
      <c r="G27">
        <v>300</v>
      </c>
      <c r="H27">
        <v>400</v>
      </c>
      <c r="I27">
        <v>700</v>
      </c>
      <c r="J27">
        <v>600</v>
      </c>
      <c r="K27">
        <v>1150</v>
      </c>
      <c r="L27">
        <v>1400</v>
      </c>
      <c r="M27">
        <v>1179</v>
      </c>
      <c r="N27">
        <v>1981</v>
      </c>
      <c r="O27">
        <v>1160</v>
      </c>
      <c r="P27">
        <v>2500</v>
      </c>
      <c r="Q27">
        <v>1782</v>
      </c>
      <c r="R27">
        <v>1069</v>
      </c>
      <c r="S27">
        <v>2480</v>
      </c>
      <c r="T27">
        <v>2010</v>
      </c>
      <c r="U27">
        <v>817</v>
      </c>
      <c r="V27">
        <v>1850</v>
      </c>
      <c r="W27">
        <v>1800</v>
      </c>
      <c r="X27">
        <v>480</v>
      </c>
      <c r="Y27">
        <v>364</v>
      </c>
      <c r="Z27">
        <v>382</v>
      </c>
      <c r="AA27">
        <v>503</v>
      </c>
      <c r="AB27">
        <v>1097</v>
      </c>
      <c r="AC27">
        <v>2198</v>
      </c>
      <c r="AD27">
        <v>289</v>
      </c>
      <c r="AE27">
        <v>526</v>
      </c>
      <c r="AF27">
        <v>949</v>
      </c>
      <c r="AG27">
        <v>546</v>
      </c>
      <c r="AH27">
        <v>449</v>
      </c>
      <c r="AI27">
        <v>877</v>
      </c>
      <c r="AJ27">
        <v>852</v>
      </c>
      <c r="AK27">
        <v>408</v>
      </c>
      <c r="AL27">
        <v>238</v>
      </c>
      <c r="AM27">
        <v>537</v>
      </c>
      <c r="AN27">
        <v>242</v>
      </c>
      <c r="AO27">
        <v>518</v>
      </c>
      <c r="AP27">
        <v>145</v>
      </c>
      <c r="AQ27">
        <v>138</v>
      </c>
      <c r="AR27">
        <v>214</v>
      </c>
      <c r="AS27">
        <v>29</v>
      </c>
      <c r="AT27">
        <v>245</v>
      </c>
      <c r="AU27">
        <v>160</v>
      </c>
      <c r="AV27">
        <v>700</v>
      </c>
    </row>
    <row r="28" spans="1:48" x14ac:dyDescent="0.25">
      <c r="A28" t="s">
        <v>156</v>
      </c>
      <c r="B28">
        <v>27</v>
      </c>
      <c r="C28">
        <v>1</v>
      </c>
      <c r="D28" t="s">
        <v>15</v>
      </c>
      <c r="E28">
        <v>350</v>
      </c>
      <c r="F28">
        <v>350</v>
      </c>
      <c r="G28">
        <v>200</v>
      </c>
      <c r="H28">
        <v>365</v>
      </c>
      <c r="I28">
        <v>300</v>
      </c>
      <c r="J28">
        <v>250</v>
      </c>
      <c r="K28">
        <v>250</v>
      </c>
      <c r="L28">
        <v>250</v>
      </c>
      <c r="M28">
        <v>250</v>
      </c>
      <c r="N28">
        <v>250</v>
      </c>
      <c r="O28">
        <v>400</v>
      </c>
      <c r="P28">
        <v>1000</v>
      </c>
      <c r="Q28">
        <v>500</v>
      </c>
      <c r="R28">
        <v>400</v>
      </c>
      <c r="S28">
        <v>200</v>
      </c>
      <c r="T28">
        <v>4154</v>
      </c>
      <c r="U28">
        <v>185</v>
      </c>
      <c r="V28">
        <v>400</v>
      </c>
      <c r="W28">
        <v>115</v>
      </c>
      <c r="X28">
        <v>22</v>
      </c>
      <c r="Y28">
        <v>22</v>
      </c>
      <c r="Z28">
        <v>174</v>
      </c>
      <c r="AA28">
        <v>281</v>
      </c>
      <c r="AB28">
        <v>380</v>
      </c>
      <c r="AC28">
        <v>245</v>
      </c>
      <c r="AD28">
        <v>375</v>
      </c>
      <c r="AE28">
        <v>509</v>
      </c>
      <c r="AF28">
        <v>344</v>
      </c>
      <c r="AG28">
        <v>51</v>
      </c>
      <c r="AH28">
        <v>102</v>
      </c>
      <c r="AI28">
        <v>209</v>
      </c>
      <c r="AJ28">
        <v>237</v>
      </c>
      <c r="AK28">
        <v>143</v>
      </c>
      <c r="AL28">
        <v>46</v>
      </c>
      <c r="AM28">
        <v>268</v>
      </c>
      <c r="AN28">
        <v>192</v>
      </c>
      <c r="AO28">
        <v>334</v>
      </c>
      <c r="AP28">
        <v>225</v>
      </c>
      <c r="AQ28">
        <v>71</v>
      </c>
      <c r="AR28">
        <v>25</v>
      </c>
      <c r="AS28">
        <v>34</v>
      </c>
      <c r="AT28">
        <v>168</v>
      </c>
      <c r="AU28">
        <v>260</v>
      </c>
      <c r="AV28">
        <v>60</v>
      </c>
    </row>
    <row r="29" spans="1:48" x14ac:dyDescent="0.25">
      <c r="A29" t="s">
        <v>137</v>
      </c>
      <c r="B29">
        <v>28</v>
      </c>
      <c r="C29">
        <v>2</v>
      </c>
      <c r="D29" t="s">
        <v>18</v>
      </c>
      <c r="E29">
        <v>3831.1237744396649</v>
      </c>
      <c r="F29">
        <v>5704.4886810593553</v>
      </c>
      <c r="G29">
        <v>4163.8111419203742</v>
      </c>
      <c r="H29">
        <v>6032.5337529639182</v>
      </c>
      <c r="I29">
        <v>6795.6154421331294</v>
      </c>
      <c r="J29">
        <v>4826.2800525873326</v>
      </c>
      <c r="K29">
        <v>5156.2323955272295</v>
      </c>
      <c r="L29">
        <v>8574.4125418265558</v>
      </c>
      <c r="M29">
        <v>10036.934761628918</v>
      </c>
      <c r="N29">
        <v>9000.8228696970473</v>
      </c>
      <c r="O29">
        <v>3497.3256254231114</v>
      </c>
      <c r="P29">
        <v>7625.1620006159419</v>
      </c>
      <c r="Q29">
        <v>8313.3740977256948</v>
      </c>
      <c r="R29">
        <v>12357.84129262898</v>
      </c>
      <c r="S29">
        <v>7168.432287944599</v>
      </c>
      <c r="T29">
        <v>6430.8179517910394</v>
      </c>
      <c r="U29">
        <v>11602.577040346574</v>
      </c>
      <c r="V29">
        <v>18543.121611770104</v>
      </c>
      <c r="W29">
        <v>17774.665333490073</v>
      </c>
      <c r="X29">
        <v>15952.177823879336</v>
      </c>
      <c r="Y29">
        <v>9950.9951635797024</v>
      </c>
      <c r="Z29">
        <v>10220.553451266927</v>
      </c>
      <c r="AA29">
        <v>12062.102313296544</v>
      </c>
      <c r="AB29">
        <v>12207.329581974198</v>
      </c>
      <c r="AC29">
        <v>23406.667025882842</v>
      </c>
      <c r="AD29">
        <v>17790.507945602505</v>
      </c>
      <c r="AE29">
        <v>8602.8156344052077</v>
      </c>
      <c r="AF29">
        <v>5924.3499920078057</v>
      </c>
      <c r="AG29">
        <v>5008.9515815796549</v>
      </c>
      <c r="AH29">
        <v>5907.9524914131198</v>
      </c>
      <c r="AI29">
        <v>9708.0886386865441</v>
      </c>
      <c r="AJ29">
        <v>7490</v>
      </c>
      <c r="AK29">
        <v>8396</v>
      </c>
      <c r="AL29">
        <v>4255</v>
      </c>
      <c r="AM29">
        <v>4200</v>
      </c>
      <c r="AN29">
        <v>13350</v>
      </c>
      <c r="AO29">
        <v>10985</v>
      </c>
      <c r="AP29">
        <v>4174</v>
      </c>
      <c r="AQ29">
        <v>3680</v>
      </c>
      <c r="AR29">
        <v>2263</v>
      </c>
      <c r="AS29">
        <v>2547.5202137755682</v>
      </c>
      <c r="AT29">
        <v>6322</v>
      </c>
      <c r="AU29">
        <v>5473</v>
      </c>
      <c r="AV29">
        <v>13695</v>
      </c>
    </row>
    <row r="30" spans="1:48" x14ac:dyDescent="0.25">
      <c r="A30" t="s">
        <v>136</v>
      </c>
      <c r="B30">
        <v>29</v>
      </c>
      <c r="C30">
        <v>1</v>
      </c>
      <c r="D30" t="s">
        <v>15</v>
      </c>
      <c r="E30">
        <v>141.36459446288262</v>
      </c>
      <c r="F30">
        <v>164.67931499331684</v>
      </c>
      <c r="G30">
        <v>108.17918342317962</v>
      </c>
      <c r="H30">
        <v>137.55032285465768</v>
      </c>
      <c r="I30">
        <v>208.74399406255824</v>
      </c>
      <c r="J30">
        <v>269.45951480078099</v>
      </c>
      <c r="K30">
        <v>399.45220316041127</v>
      </c>
      <c r="L30">
        <v>495.45218070562737</v>
      </c>
      <c r="M30">
        <v>486.09533912979424</v>
      </c>
      <c r="N30">
        <v>418.56393051398618</v>
      </c>
      <c r="O30">
        <v>310.83374651213416</v>
      </c>
      <c r="P30">
        <v>389.43146657557764</v>
      </c>
      <c r="Q30">
        <v>276.39792730900842</v>
      </c>
      <c r="R30">
        <v>345.99554515024448</v>
      </c>
      <c r="S30">
        <v>346.85837101399295</v>
      </c>
      <c r="T30">
        <v>503.53525670227128</v>
      </c>
      <c r="U30">
        <v>289</v>
      </c>
      <c r="V30">
        <v>732</v>
      </c>
      <c r="W30">
        <v>358</v>
      </c>
      <c r="X30">
        <v>589</v>
      </c>
      <c r="Y30">
        <v>277</v>
      </c>
      <c r="Z30">
        <v>229</v>
      </c>
      <c r="AA30">
        <v>243</v>
      </c>
      <c r="AB30">
        <v>520</v>
      </c>
      <c r="AC30">
        <v>686</v>
      </c>
      <c r="AD30">
        <v>220</v>
      </c>
      <c r="AE30">
        <v>102</v>
      </c>
      <c r="AF30">
        <v>160</v>
      </c>
      <c r="AG30">
        <v>89</v>
      </c>
      <c r="AH30">
        <v>240</v>
      </c>
      <c r="AI30">
        <v>243</v>
      </c>
      <c r="AJ30">
        <v>171</v>
      </c>
      <c r="AK30">
        <v>66</v>
      </c>
      <c r="AL30">
        <v>82</v>
      </c>
      <c r="AM30">
        <v>223</v>
      </c>
      <c r="AN30">
        <v>392</v>
      </c>
      <c r="AO30">
        <v>215</v>
      </c>
      <c r="AP30">
        <v>115</v>
      </c>
      <c r="AQ30">
        <v>88.749472721213294</v>
      </c>
      <c r="AR30">
        <v>63</v>
      </c>
      <c r="AS30">
        <v>15</v>
      </c>
      <c r="AT30">
        <v>41</v>
      </c>
      <c r="AU30">
        <v>194</v>
      </c>
      <c r="AV30">
        <v>268</v>
      </c>
    </row>
    <row r="31" spans="1:48" x14ac:dyDescent="0.25">
      <c r="A31" t="s">
        <v>135</v>
      </c>
      <c r="B31">
        <v>30</v>
      </c>
      <c r="C31">
        <v>1</v>
      </c>
      <c r="D31" t="s">
        <v>15</v>
      </c>
      <c r="E31">
        <v>2344.1481038356224</v>
      </c>
      <c r="F31">
        <v>2187.8715635799144</v>
      </c>
      <c r="G31">
        <v>937.65924153424896</v>
      </c>
      <c r="H31">
        <v>859.52097140639489</v>
      </c>
      <c r="I31">
        <v>1562.7654025570816</v>
      </c>
      <c r="J31">
        <v>1484.6271324292275</v>
      </c>
      <c r="K31">
        <v>2344.1481038356224</v>
      </c>
      <c r="L31">
        <v>5157.1258284383694</v>
      </c>
      <c r="M31">
        <v>5938.5085297169098</v>
      </c>
      <c r="N31">
        <v>5771.0300227196485</v>
      </c>
      <c r="O31">
        <v>4063.1900466484121</v>
      </c>
      <c r="P31">
        <v>4219.46658690412</v>
      </c>
      <c r="Q31">
        <v>4907.0833640292367</v>
      </c>
      <c r="R31">
        <v>3885.0347907569048</v>
      </c>
      <c r="S31">
        <v>5157.1258284383694</v>
      </c>
      <c r="T31">
        <v>10633.055798998383</v>
      </c>
      <c r="U31">
        <v>5847.8681363685992</v>
      </c>
      <c r="V31">
        <v>3570.9189448429315</v>
      </c>
      <c r="W31">
        <v>6251.0616102283266</v>
      </c>
      <c r="X31">
        <v>2281.6374877333392</v>
      </c>
      <c r="Y31">
        <v>4525.7686058053087</v>
      </c>
      <c r="Z31">
        <v>4642.9760109970894</v>
      </c>
      <c r="AA31">
        <v>2459.7927436248465</v>
      </c>
      <c r="AB31">
        <v>3269.3052221494149</v>
      </c>
      <c r="AC31">
        <v>5307.1513070838491</v>
      </c>
      <c r="AD31">
        <v>1662.7823883207348</v>
      </c>
      <c r="AE31">
        <v>2358.2129924586361</v>
      </c>
      <c r="AF31">
        <v>1604.9600684261229</v>
      </c>
      <c r="AG31">
        <v>562.5955449205494</v>
      </c>
      <c r="AH31">
        <v>2363</v>
      </c>
      <c r="AI31">
        <v>1097</v>
      </c>
      <c r="AJ31">
        <v>2648.8873573342535</v>
      </c>
      <c r="AK31">
        <v>1178.3251135280395</v>
      </c>
      <c r="AL31">
        <v>1111</v>
      </c>
      <c r="AM31">
        <v>1267.4027414737932</v>
      </c>
      <c r="AN31">
        <v>9023.4074343645898</v>
      </c>
      <c r="AO31">
        <v>4139.7655513737091</v>
      </c>
      <c r="AP31">
        <v>1228.3336064098662</v>
      </c>
      <c r="AQ31">
        <v>629.79445723050389</v>
      </c>
      <c r="AR31">
        <v>1195.5155329561674</v>
      </c>
      <c r="AS31">
        <v>557.90724871287819</v>
      </c>
      <c r="AT31">
        <v>3282</v>
      </c>
      <c r="AU31">
        <v>2438</v>
      </c>
      <c r="AV31">
        <v>4126</v>
      </c>
    </row>
    <row r="32" spans="1:48" x14ac:dyDescent="0.25">
      <c r="A32" t="s">
        <v>148</v>
      </c>
      <c r="B32">
        <v>31</v>
      </c>
      <c r="C32">
        <v>2</v>
      </c>
      <c r="D32" t="s">
        <v>18</v>
      </c>
      <c r="E32">
        <v>200</v>
      </c>
      <c r="F32">
        <v>250</v>
      </c>
      <c r="G32">
        <v>200</v>
      </c>
      <c r="H32">
        <v>297.82406237939517</v>
      </c>
      <c r="I32">
        <v>330.84823070810614</v>
      </c>
      <c r="J32">
        <v>300</v>
      </c>
      <c r="K32">
        <v>400</v>
      </c>
      <c r="L32">
        <v>400</v>
      </c>
      <c r="M32">
        <v>450</v>
      </c>
      <c r="N32">
        <v>300</v>
      </c>
      <c r="O32">
        <v>200</v>
      </c>
      <c r="P32">
        <v>250</v>
      </c>
      <c r="Q32">
        <v>600</v>
      </c>
      <c r="R32">
        <v>540</v>
      </c>
      <c r="S32">
        <v>450</v>
      </c>
      <c r="T32">
        <v>508</v>
      </c>
      <c r="U32">
        <v>786</v>
      </c>
      <c r="V32">
        <v>1250</v>
      </c>
      <c r="W32">
        <v>806</v>
      </c>
      <c r="X32">
        <v>651</v>
      </c>
      <c r="Y32">
        <v>417</v>
      </c>
      <c r="Z32">
        <v>493</v>
      </c>
      <c r="AA32">
        <v>458</v>
      </c>
      <c r="AB32">
        <v>420</v>
      </c>
      <c r="AC32">
        <v>1038</v>
      </c>
      <c r="AD32">
        <v>828</v>
      </c>
      <c r="AE32">
        <v>463.79687696999065</v>
      </c>
      <c r="AF32">
        <v>650.74132518349927</v>
      </c>
      <c r="AG32">
        <v>268.86922206181458</v>
      </c>
      <c r="AH32">
        <v>413.08640041931199</v>
      </c>
      <c r="AI32">
        <v>531.72245770673896</v>
      </c>
      <c r="AJ32">
        <v>1085</v>
      </c>
      <c r="AK32">
        <v>399.57635945003403</v>
      </c>
      <c r="AL32">
        <v>214.98891614332715</v>
      </c>
      <c r="AM32">
        <v>292.65205371907649</v>
      </c>
      <c r="AN32">
        <v>528.19809712565711</v>
      </c>
      <c r="AO32">
        <v>1052</v>
      </c>
      <c r="AP32">
        <v>205</v>
      </c>
      <c r="AQ32">
        <v>48</v>
      </c>
      <c r="AR32">
        <v>94</v>
      </c>
      <c r="AS32">
        <v>145</v>
      </c>
      <c r="AT32">
        <v>485</v>
      </c>
      <c r="AU32">
        <v>118</v>
      </c>
      <c r="AV32">
        <v>402</v>
      </c>
    </row>
    <row r="33" spans="1:48" x14ac:dyDescent="0.25">
      <c r="A33" t="s">
        <v>195</v>
      </c>
      <c r="B33">
        <v>32</v>
      </c>
      <c r="C33">
        <v>2</v>
      </c>
      <c r="D33" t="s">
        <v>18</v>
      </c>
      <c r="E33">
        <v>1E-3</v>
      </c>
      <c r="F33">
        <v>1E-3</v>
      </c>
      <c r="G33">
        <v>1E-3</v>
      </c>
      <c r="H33">
        <v>1E-3</v>
      </c>
      <c r="I33">
        <v>1E-3</v>
      </c>
      <c r="J33">
        <v>1E-3</v>
      </c>
      <c r="K33">
        <v>1E-3</v>
      </c>
      <c r="L33">
        <v>1E-3</v>
      </c>
      <c r="M33">
        <v>1E-3</v>
      </c>
      <c r="N33">
        <v>1E-3</v>
      </c>
      <c r="O33">
        <v>1E-3</v>
      </c>
      <c r="P33">
        <v>1E-3</v>
      </c>
      <c r="Q33">
        <v>1E-3</v>
      </c>
      <c r="R33">
        <v>1E-3</v>
      </c>
      <c r="S33">
        <v>1E-3</v>
      </c>
      <c r="T33">
        <v>1E-3</v>
      </c>
      <c r="U33">
        <v>1E-3</v>
      </c>
      <c r="V33">
        <v>1E-3</v>
      </c>
      <c r="W33">
        <v>1E-3</v>
      </c>
      <c r="X33">
        <v>1E-3</v>
      </c>
      <c r="Y33">
        <v>1E-3</v>
      </c>
      <c r="Z33">
        <v>410</v>
      </c>
      <c r="AA33">
        <v>677</v>
      </c>
      <c r="AB33">
        <v>0.01</v>
      </c>
      <c r="AC33">
        <v>1E-3</v>
      </c>
      <c r="AD33">
        <v>473</v>
      </c>
      <c r="AE33">
        <v>449</v>
      </c>
      <c r="AF33">
        <v>968</v>
      </c>
      <c r="AG33">
        <v>156.04718410310136</v>
      </c>
      <c r="AH33">
        <v>399</v>
      </c>
      <c r="AI33">
        <v>1175</v>
      </c>
      <c r="AJ33">
        <v>542</v>
      </c>
      <c r="AK33">
        <v>1291</v>
      </c>
      <c r="AL33">
        <v>124.77595881104985</v>
      </c>
      <c r="AM33">
        <v>169.85034045418635</v>
      </c>
      <c r="AN33">
        <v>306.55731092242871</v>
      </c>
      <c r="AO33">
        <v>789</v>
      </c>
      <c r="AP33">
        <v>343</v>
      </c>
      <c r="AQ33">
        <v>538</v>
      </c>
      <c r="AR33">
        <v>1095</v>
      </c>
      <c r="AS33">
        <v>261</v>
      </c>
      <c r="AT33">
        <v>1376</v>
      </c>
      <c r="AU33">
        <v>211.56993386603924</v>
      </c>
      <c r="AV33">
        <v>379.64686822281925</v>
      </c>
    </row>
    <row r="34" spans="1:48" x14ac:dyDescent="0.25">
      <c r="A34" t="s">
        <v>132</v>
      </c>
      <c r="B34">
        <v>33</v>
      </c>
      <c r="C34">
        <v>1</v>
      </c>
      <c r="D34" t="s">
        <v>15</v>
      </c>
      <c r="E34">
        <v>200</v>
      </c>
      <c r="F34">
        <v>75</v>
      </c>
      <c r="G34">
        <v>400</v>
      </c>
      <c r="H34">
        <v>80</v>
      </c>
      <c r="I34">
        <v>210</v>
      </c>
      <c r="J34">
        <v>582</v>
      </c>
      <c r="K34">
        <v>956</v>
      </c>
      <c r="L34">
        <v>836</v>
      </c>
      <c r="M34">
        <v>600</v>
      </c>
      <c r="N34">
        <v>638</v>
      </c>
      <c r="O34">
        <v>750</v>
      </c>
      <c r="P34">
        <v>375</v>
      </c>
      <c r="Q34">
        <v>198</v>
      </c>
      <c r="R34">
        <v>897</v>
      </c>
      <c r="S34">
        <v>950</v>
      </c>
      <c r="T34">
        <v>615</v>
      </c>
      <c r="U34">
        <v>865</v>
      </c>
      <c r="V34">
        <v>1887</v>
      </c>
      <c r="W34">
        <v>1968</v>
      </c>
      <c r="X34">
        <v>488</v>
      </c>
      <c r="Y34">
        <v>906</v>
      </c>
      <c r="Z34">
        <v>769</v>
      </c>
      <c r="AA34">
        <v>198</v>
      </c>
      <c r="AB34">
        <v>969</v>
      </c>
      <c r="AC34">
        <v>920.14201554531712</v>
      </c>
      <c r="AD34">
        <v>1115</v>
      </c>
      <c r="AE34">
        <v>228</v>
      </c>
      <c r="AF34">
        <v>109</v>
      </c>
      <c r="AG34">
        <v>138</v>
      </c>
      <c r="AH34">
        <v>112</v>
      </c>
      <c r="AI34">
        <v>11</v>
      </c>
      <c r="AJ34">
        <v>51</v>
      </c>
      <c r="AK34">
        <v>81</v>
      </c>
      <c r="AL34">
        <v>436</v>
      </c>
      <c r="AM34">
        <v>140</v>
      </c>
      <c r="AN34">
        <v>947</v>
      </c>
      <c r="AO34">
        <v>481</v>
      </c>
      <c r="AP34">
        <v>276.45916562343837</v>
      </c>
      <c r="AQ34">
        <v>405</v>
      </c>
      <c r="AR34">
        <v>53</v>
      </c>
      <c r="AS34">
        <v>111</v>
      </c>
      <c r="AT34">
        <v>53</v>
      </c>
      <c r="AU34">
        <v>345</v>
      </c>
      <c r="AV34">
        <v>534</v>
      </c>
    </row>
    <row r="35" spans="1:48" x14ac:dyDescent="0.25">
      <c r="A35" t="s">
        <v>179</v>
      </c>
      <c r="B35">
        <v>34</v>
      </c>
      <c r="C35">
        <v>2</v>
      </c>
      <c r="D35" t="s">
        <v>18</v>
      </c>
      <c r="E35">
        <v>100</v>
      </c>
      <c r="F35">
        <v>75</v>
      </c>
      <c r="G35">
        <v>100</v>
      </c>
      <c r="H35">
        <v>150</v>
      </c>
      <c r="I35">
        <v>70</v>
      </c>
      <c r="J35">
        <v>138</v>
      </c>
      <c r="K35">
        <v>225</v>
      </c>
      <c r="L35">
        <v>98</v>
      </c>
      <c r="M35">
        <v>50</v>
      </c>
      <c r="N35">
        <v>125</v>
      </c>
      <c r="O35">
        <v>330</v>
      </c>
      <c r="P35">
        <v>175</v>
      </c>
      <c r="Q35">
        <v>135.45027980647129</v>
      </c>
      <c r="R35">
        <v>50</v>
      </c>
      <c r="S35">
        <v>330</v>
      </c>
      <c r="T35">
        <v>36</v>
      </c>
      <c r="U35">
        <v>10</v>
      </c>
      <c r="V35">
        <v>300</v>
      </c>
      <c r="W35">
        <v>32</v>
      </c>
      <c r="X35">
        <v>171.08334354200329</v>
      </c>
      <c r="Y35">
        <v>120.34212353448413</v>
      </c>
      <c r="Z35">
        <v>46</v>
      </c>
      <c r="AA35">
        <v>248</v>
      </c>
      <c r="AB35">
        <v>445</v>
      </c>
      <c r="AC35">
        <v>158</v>
      </c>
      <c r="AD35">
        <v>103</v>
      </c>
      <c r="AE35">
        <v>83</v>
      </c>
      <c r="AF35">
        <v>245</v>
      </c>
      <c r="AG35">
        <v>51</v>
      </c>
      <c r="AH35">
        <v>217</v>
      </c>
      <c r="AI35">
        <v>74</v>
      </c>
      <c r="AJ35">
        <v>123</v>
      </c>
      <c r="AK35">
        <v>65</v>
      </c>
      <c r="AL35">
        <v>37</v>
      </c>
      <c r="AM35">
        <v>34</v>
      </c>
      <c r="AN35">
        <v>77</v>
      </c>
      <c r="AO35">
        <v>83</v>
      </c>
      <c r="AP35">
        <v>12</v>
      </c>
      <c r="AQ35">
        <v>20</v>
      </c>
      <c r="AR35">
        <v>35</v>
      </c>
      <c r="AS35">
        <v>229</v>
      </c>
      <c r="AT35">
        <v>42</v>
      </c>
      <c r="AU35">
        <v>28</v>
      </c>
      <c r="AV35">
        <v>70</v>
      </c>
    </row>
    <row r="36" spans="1:48" x14ac:dyDescent="0.25">
      <c r="A36" t="s">
        <v>183</v>
      </c>
      <c r="B36">
        <v>35</v>
      </c>
      <c r="C36">
        <v>2</v>
      </c>
      <c r="D36" t="s">
        <v>18</v>
      </c>
      <c r="E36">
        <v>20</v>
      </c>
      <c r="F36">
        <v>75</v>
      </c>
      <c r="G36">
        <v>30</v>
      </c>
      <c r="H36">
        <v>50</v>
      </c>
      <c r="I36">
        <v>24</v>
      </c>
      <c r="J36">
        <v>157</v>
      </c>
      <c r="K36">
        <v>114</v>
      </c>
      <c r="L36">
        <v>105</v>
      </c>
      <c r="M36">
        <v>65</v>
      </c>
      <c r="N36">
        <v>75</v>
      </c>
      <c r="O36">
        <v>115</v>
      </c>
      <c r="P36">
        <v>60</v>
      </c>
      <c r="Q36">
        <v>35</v>
      </c>
      <c r="R36">
        <v>58.786622175202503</v>
      </c>
      <c r="S36">
        <v>150</v>
      </c>
      <c r="T36">
        <v>69</v>
      </c>
      <c r="U36">
        <v>45.796253746929608</v>
      </c>
      <c r="V36">
        <v>66.716737935226789</v>
      </c>
      <c r="W36">
        <v>65.135500375176122</v>
      </c>
      <c r="X36">
        <v>55.526939883690112</v>
      </c>
      <c r="Y36">
        <v>39.058330990207295</v>
      </c>
      <c r="Z36">
        <v>46</v>
      </c>
      <c r="AA36">
        <v>9</v>
      </c>
      <c r="AB36">
        <v>6</v>
      </c>
      <c r="AC36">
        <v>5</v>
      </c>
      <c r="AD36">
        <v>51.310893228557795</v>
      </c>
      <c r="AE36">
        <v>0.01</v>
      </c>
      <c r="AF36">
        <v>0.01</v>
      </c>
      <c r="AG36">
        <v>0.01</v>
      </c>
      <c r="AH36">
        <v>0.01</v>
      </c>
      <c r="AI36">
        <v>0.01</v>
      </c>
      <c r="AJ36">
        <v>0</v>
      </c>
      <c r="AK36">
        <v>31.745480646283436</v>
      </c>
      <c r="AL36">
        <v>8</v>
      </c>
      <c r="AM36">
        <v>2</v>
      </c>
      <c r="AN36">
        <v>0.01</v>
      </c>
      <c r="AO36">
        <v>57.479344598262273</v>
      </c>
      <c r="AP36">
        <v>19.120064731988421</v>
      </c>
      <c r="AQ36">
        <v>8</v>
      </c>
      <c r="AR36">
        <v>0</v>
      </c>
      <c r="AS36">
        <v>18</v>
      </c>
      <c r="AT36">
        <v>29.440951143314344</v>
      </c>
      <c r="AU36">
        <v>28.961511638234583</v>
      </c>
      <c r="AV36">
        <v>0</v>
      </c>
    </row>
    <row r="37" spans="1:48" x14ac:dyDescent="0.25">
      <c r="A37" t="s">
        <v>165</v>
      </c>
      <c r="B37">
        <v>36</v>
      </c>
      <c r="C37">
        <v>2</v>
      </c>
      <c r="D37" t="s">
        <v>18</v>
      </c>
      <c r="E37">
        <v>260</v>
      </c>
      <c r="F37">
        <v>150</v>
      </c>
      <c r="G37">
        <v>200</v>
      </c>
      <c r="H37">
        <v>250</v>
      </c>
      <c r="I37">
        <v>300</v>
      </c>
      <c r="J37">
        <v>400</v>
      </c>
      <c r="K37">
        <v>250</v>
      </c>
      <c r="L37">
        <v>500</v>
      </c>
      <c r="M37">
        <v>300</v>
      </c>
      <c r="N37">
        <v>700</v>
      </c>
      <c r="O37">
        <v>180</v>
      </c>
      <c r="P37">
        <v>500</v>
      </c>
      <c r="Q37">
        <v>20</v>
      </c>
      <c r="R37">
        <v>250</v>
      </c>
      <c r="S37">
        <v>100</v>
      </c>
      <c r="T37">
        <v>180</v>
      </c>
      <c r="U37">
        <v>130</v>
      </c>
      <c r="V37">
        <v>415</v>
      </c>
      <c r="W37">
        <v>260</v>
      </c>
      <c r="X37">
        <v>341</v>
      </c>
      <c r="Y37">
        <v>91</v>
      </c>
      <c r="Z37">
        <v>245</v>
      </c>
      <c r="AA37">
        <v>172</v>
      </c>
      <c r="AB37">
        <v>166</v>
      </c>
      <c r="AC37">
        <v>929</v>
      </c>
      <c r="AD37">
        <v>317</v>
      </c>
      <c r="AE37">
        <v>269</v>
      </c>
      <c r="AF37">
        <v>217</v>
      </c>
      <c r="AG37">
        <v>74</v>
      </c>
      <c r="AH37">
        <v>52</v>
      </c>
      <c r="AI37">
        <v>214</v>
      </c>
      <c r="AJ37">
        <v>6</v>
      </c>
      <c r="AK37">
        <v>65</v>
      </c>
      <c r="AL37">
        <v>46</v>
      </c>
      <c r="AM37">
        <v>38</v>
      </c>
      <c r="AN37">
        <v>62</v>
      </c>
      <c r="AO37">
        <v>105</v>
      </c>
      <c r="AP37">
        <v>2</v>
      </c>
      <c r="AQ37">
        <v>2</v>
      </c>
      <c r="AR37">
        <v>0</v>
      </c>
      <c r="AS37">
        <v>26</v>
      </c>
      <c r="AT37">
        <v>17</v>
      </c>
      <c r="AU37">
        <v>35</v>
      </c>
      <c r="AV37">
        <v>18</v>
      </c>
    </row>
    <row r="38" spans="1:48" x14ac:dyDescent="0.25">
      <c r="A38" t="s">
        <v>141</v>
      </c>
      <c r="B38">
        <v>37</v>
      </c>
      <c r="C38">
        <v>2</v>
      </c>
      <c r="D38" t="s">
        <v>18</v>
      </c>
      <c r="E38">
        <v>1500</v>
      </c>
      <c r="F38">
        <v>2500</v>
      </c>
      <c r="G38">
        <v>3000</v>
      </c>
      <c r="H38">
        <v>3000</v>
      </c>
      <c r="I38">
        <v>4000</v>
      </c>
      <c r="J38">
        <v>2800</v>
      </c>
      <c r="K38">
        <v>3800</v>
      </c>
      <c r="L38">
        <v>6070</v>
      </c>
      <c r="M38">
        <v>3516</v>
      </c>
      <c r="N38">
        <v>6740</v>
      </c>
      <c r="O38">
        <v>2491</v>
      </c>
      <c r="P38">
        <v>7320</v>
      </c>
      <c r="Q38">
        <v>2444</v>
      </c>
      <c r="R38">
        <v>2370</v>
      </c>
      <c r="S38">
        <v>2700</v>
      </c>
      <c r="T38">
        <v>5450</v>
      </c>
      <c r="U38">
        <v>5100</v>
      </c>
      <c r="V38">
        <v>7780</v>
      </c>
      <c r="W38">
        <v>7830</v>
      </c>
      <c r="X38">
        <v>7007</v>
      </c>
      <c r="Y38">
        <v>3837</v>
      </c>
      <c r="Z38">
        <v>4563</v>
      </c>
      <c r="AA38">
        <v>3588</v>
      </c>
      <c r="AB38">
        <v>5689</v>
      </c>
      <c r="AC38">
        <v>6234</v>
      </c>
      <c r="AD38">
        <v>4622</v>
      </c>
      <c r="AE38">
        <v>3519</v>
      </c>
      <c r="AF38">
        <v>3768</v>
      </c>
      <c r="AG38">
        <v>1895</v>
      </c>
      <c r="AH38">
        <v>3307</v>
      </c>
      <c r="AI38">
        <v>5980</v>
      </c>
      <c r="AJ38">
        <v>1102</v>
      </c>
      <c r="AK38">
        <v>1198</v>
      </c>
      <c r="AL38">
        <v>1988</v>
      </c>
      <c r="AM38">
        <v>2163</v>
      </c>
      <c r="AN38">
        <v>2769</v>
      </c>
      <c r="AO38">
        <v>5194</v>
      </c>
      <c r="AP38">
        <v>697</v>
      </c>
      <c r="AQ38">
        <v>1406</v>
      </c>
      <c r="AR38">
        <v>514</v>
      </c>
      <c r="AS38">
        <v>783</v>
      </c>
      <c r="AT38">
        <v>3532</v>
      </c>
      <c r="AU38">
        <v>3780</v>
      </c>
      <c r="AV38">
        <v>5580</v>
      </c>
    </row>
    <row r="39" spans="1:48" x14ac:dyDescent="0.25">
      <c r="A39" t="s">
        <v>150</v>
      </c>
      <c r="B39">
        <v>38</v>
      </c>
      <c r="C39">
        <v>1</v>
      </c>
      <c r="D39" t="s">
        <v>15</v>
      </c>
      <c r="E39">
        <v>425</v>
      </c>
      <c r="F39">
        <v>600</v>
      </c>
      <c r="G39">
        <v>1000</v>
      </c>
      <c r="H39">
        <v>850</v>
      </c>
      <c r="I39">
        <v>700</v>
      </c>
      <c r="J39">
        <v>1500</v>
      </c>
      <c r="K39">
        <v>1300</v>
      </c>
      <c r="L39">
        <v>1499</v>
      </c>
      <c r="M39">
        <v>1542</v>
      </c>
      <c r="N39">
        <v>1857</v>
      </c>
      <c r="O39">
        <v>1141</v>
      </c>
      <c r="P39">
        <v>1100</v>
      </c>
      <c r="Q39">
        <v>460</v>
      </c>
      <c r="R39">
        <v>630</v>
      </c>
      <c r="S39">
        <v>1300</v>
      </c>
      <c r="T39">
        <v>1841</v>
      </c>
      <c r="U39">
        <v>810</v>
      </c>
      <c r="V39">
        <v>1569</v>
      </c>
      <c r="W39">
        <v>725</v>
      </c>
      <c r="X39">
        <v>369</v>
      </c>
      <c r="Y39">
        <v>524</v>
      </c>
      <c r="Z39">
        <v>1511</v>
      </c>
      <c r="AA39">
        <v>1121</v>
      </c>
      <c r="AB39">
        <v>480</v>
      </c>
      <c r="AC39">
        <v>45</v>
      </c>
      <c r="AD39">
        <v>538</v>
      </c>
      <c r="AE39">
        <v>189</v>
      </c>
      <c r="AF39">
        <v>198</v>
      </c>
      <c r="AG39">
        <v>38</v>
      </c>
      <c r="AH39">
        <v>97</v>
      </c>
      <c r="AI39">
        <v>91</v>
      </c>
      <c r="AJ39">
        <v>72</v>
      </c>
      <c r="AK39">
        <v>91</v>
      </c>
      <c r="AL39">
        <v>91</v>
      </c>
      <c r="AM39">
        <v>17</v>
      </c>
      <c r="AN39">
        <v>62</v>
      </c>
      <c r="AO39">
        <v>58</v>
      </c>
      <c r="AP39">
        <v>40</v>
      </c>
      <c r="AQ39">
        <v>20</v>
      </c>
      <c r="AR39">
        <v>9</v>
      </c>
      <c r="AS39">
        <v>149</v>
      </c>
      <c r="AT39">
        <v>111</v>
      </c>
      <c r="AU39">
        <v>32</v>
      </c>
      <c r="AV39">
        <v>109</v>
      </c>
    </row>
    <row r="40" spans="1:48" x14ac:dyDescent="0.25">
      <c r="A40" t="s">
        <v>181</v>
      </c>
      <c r="B40">
        <v>39</v>
      </c>
      <c r="C40">
        <v>2</v>
      </c>
      <c r="D40" t="s">
        <v>18</v>
      </c>
      <c r="E40">
        <v>175</v>
      </c>
      <c r="F40">
        <v>200</v>
      </c>
      <c r="G40">
        <v>200</v>
      </c>
      <c r="H40">
        <v>375</v>
      </c>
      <c r="I40">
        <v>175</v>
      </c>
      <c r="J40">
        <v>500</v>
      </c>
      <c r="K40">
        <v>525</v>
      </c>
      <c r="L40">
        <v>700</v>
      </c>
      <c r="M40">
        <v>650</v>
      </c>
      <c r="N40">
        <v>800</v>
      </c>
      <c r="O40">
        <v>812</v>
      </c>
      <c r="P40">
        <v>550</v>
      </c>
      <c r="Q40">
        <v>446</v>
      </c>
      <c r="R40">
        <v>280</v>
      </c>
      <c r="S40">
        <v>190</v>
      </c>
      <c r="T40">
        <v>1028</v>
      </c>
      <c r="U40">
        <v>1371</v>
      </c>
      <c r="V40">
        <v>870</v>
      </c>
      <c r="W40">
        <v>1230</v>
      </c>
      <c r="X40">
        <v>405</v>
      </c>
      <c r="Y40">
        <v>1095</v>
      </c>
      <c r="Z40">
        <v>936</v>
      </c>
      <c r="AA40">
        <v>237</v>
      </c>
      <c r="AB40">
        <v>443</v>
      </c>
      <c r="AC40">
        <v>311</v>
      </c>
      <c r="AD40">
        <v>741</v>
      </c>
      <c r="AE40">
        <v>132</v>
      </c>
      <c r="AF40">
        <v>152</v>
      </c>
      <c r="AG40">
        <v>38</v>
      </c>
      <c r="AH40">
        <v>395</v>
      </c>
      <c r="AI40">
        <v>194</v>
      </c>
      <c r="AJ40">
        <v>128</v>
      </c>
      <c r="AK40">
        <v>37</v>
      </c>
      <c r="AL40">
        <v>166</v>
      </c>
      <c r="AM40">
        <v>134</v>
      </c>
      <c r="AN40">
        <v>203</v>
      </c>
      <c r="AO40">
        <v>134</v>
      </c>
      <c r="AP40">
        <v>35</v>
      </c>
      <c r="AQ40">
        <v>29</v>
      </c>
      <c r="AR40">
        <v>95</v>
      </c>
      <c r="AS40">
        <v>106</v>
      </c>
      <c r="AT40">
        <v>122</v>
      </c>
      <c r="AU40">
        <v>106</v>
      </c>
      <c r="AV40">
        <v>146</v>
      </c>
    </row>
    <row r="41" spans="1:48" x14ac:dyDescent="0.25">
      <c r="A41" t="s">
        <v>127</v>
      </c>
      <c r="B41">
        <v>40</v>
      </c>
      <c r="C41">
        <v>2</v>
      </c>
      <c r="D41" t="s">
        <v>18</v>
      </c>
      <c r="E41">
        <v>15</v>
      </c>
      <c r="F41">
        <v>15</v>
      </c>
      <c r="G41">
        <v>100</v>
      </c>
      <c r="H41">
        <v>0</v>
      </c>
      <c r="I41">
        <v>65</v>
      </c>
      <c r="J41">
        <v>75</v>
      </c>
      <c r="K41">
        <v>50</v>
      </c>
      <c r="L41">
        <v>5</v>
      </c>
      <c r="M41">
        <v>50</v>
      </c>
      <c r="N41">
        <v>100</v>
      </c>
      <c r="O41">
        <v>260</v>
      </c>
      <c r="P41">
        <v>100</v>
      </c>
      <c r="Q41">
        <v>50</v>
      </c>
      <c r="R41">
        <v>175.57765523910055</v>
      </c>
      <c r="S41">
        <v>50</v>
      </c>
      <c r="T41">
        <v>44</v>
      </c>
      <c r="U41">
        <v>21</v>
      </c>
      <c r="V41">
        <v>5</v>
      </c>
      <c r="W41">
        <v>194.53981204456886</v>
      </c>
      <c r="X41">
        <v>165.84198150260912</v>
      </c>
      <c r="Y41">
        <v>116.65528514931502</v>
      </c>
      <c r="Z41">
        <v>77</v>
      </c>
      <c r="AA41">
        <v>362</v>
      </c>
      <c r="AB41">
        <v>377</v>
      </c>
      <c r="AC41">
        <v>131</v>
      </c>
      <c r="AD41">
        <v>306</v>
      </c>
      <c r="AE41">
        <v>220</v>
      </c>
      <c r="AF41">
        <v>215</v>
      </c>
      <c r="AG41">
        <v>100</v>
      </c>
      <c r="AH41">
        <v>101</v>
      </c>
      <c r="AI41">
        <v>37</v>
      </c>
      <c r="AJ41">
        <v>132</v>
      </c>
      <c r="AK41">
        <v>112</v>
      </c>
      <c r="AL41">
        <v>192</v>
      </c>
      <c r="AM41">
        <v>115</v>
      </c>
      <c r="AN41">
        <v>132</v>
      </c>
      <c r="AO41">
        <v>149</v>
      </c>
      <c r="AP41">
        <v>62</v>
      </c>
      <c r="AQ41">
        <v>11</v>
      </c>
      <c r="AR41">
        <v>60</v>
      </c>
      <c r="AS41">
        <v>89</v>
      </c>
      <c r="AT41">
        <v>329</v>
      </c>
      <c r="AU41">
        <v>29</v>
      </c>
      <c r="AV41">
        <v>309</v>
      </c>
    </row>
    <row r="42" spans="1:48" x14ac:dyDescent="0.25">
      <c r="A42" t="s">
        <v>162</v>
      </c>
      <c r="B42">
        <v>41</v>
      </c>
      <c r="C42">
        <v>3</v>
      </c>
      <c r="D42" t="s">
        <v>82</v>
      </c>
      <c r="E42">
        <v>20</v>
      </c>
      <c r="F42">
        <v>45</v>
      </c>
      <c r="G42">
        <v>110</v>
      </c>
      <c r="H42">
        <v>150</v>
      </c>
      <c r="I42">
        <v>20</v>
      </c>
      <c r="J42">
        <v>100</v>
      </c>
      <c r="K42">
        <v>250</v>
      </c>
      <c r="L42">
        <v>150</v>
      </c>
      <c r="M42">
        <v>25</v>
      </c>
      <c r="N42">
        <v>80</v>
      </c>
      <c r="O42">
        <v>325</v>
      </c>
      <c r="P42">
        <v>50</v>
      </c>
      <c r="Q42">
        <v>10</v>
      </c>
      <c r="R42">
        <v>6</v>
      </c>
      <c r="S42">
        <v>20</v>
      </c>
      <c r="T42">
        <v>510</v>
      </c>
      <c r="U42">
        <v>800</v>
      </c>
      <c r="V42">
        <v>420</v>
      </c>
      <c r="W42">
        <v>480</v>
      </c>
      <c r="X42">
        <v>158</v>
      </c>
      <c r="Y42">
        <v>183</v>
      </c>
      <c r="Z42">
        <v>611</v>
      </c>
      <c r="AA42">
        <v>349</v>
      </c>
      <c r="AB42">
        <v>481</v>
      </c>
      <c r="AC42">
        <v>198</v>
      </c>
      <c r="AD42">
        <v>105</v>
      </c>
      <c r="AE42">
        <v>40</v>
      </c>
      <c r="AF42">
        <v>315</v>
      </c>
      <c r="AG42">
        <v>18</v>
      </c>
      <c r="AH42">
        <v>95</v>
      </c>
      <c r="AI42">
        <v>6</v>
      </c>
      <c r="AJ42">
        <v>154</v>
      </c>
      <c r="AK42">
        <v>72</v>
      </c>
      <c r="AL42">
        <v>189</v>
      </c>
      <c r="AM42">
        <v>117</v>
      </c>
      <c r="AN42">
        <v>289</v>
      </c>
      <c r="AO42">
        <v>80</v>
      </c>
      <c r="AP42">
        <v>155</v>
      </c>
      <c r="AQ42">
        <v>25</v>
      </c>
      <c r="AR42">
        <v>45</v>
      </c>
      <c r="AS42">
        <v>89</v>
      </c>
      <c r="AT42">
        <v>106</v>
      </c>
      <c r="AU42">
        <v>137</v>
      </c>
      <c r="AV42">
        <v>69</v>
      </c>
    </row>
    <row r="43" spans="1:48" x14ac:dyDescent="0.25">
      <c r="A43" t="s">
        <v>176</v>
      </c>
      <c r="B43">
        <v>42</v>
      </c>
      <c r="C43">
        <v>2</v>
      </c>
      <c r="D43" t="s">
        <v>18</v>
      </c>
      <c r="E43">
        <v>1200</v>
      </c>
      <c r="F43">
        <v>750</v>
      </c>
      <c r="G43">
        <v>2250</v>
      </c>
      <c r="H43">
        <v>2500</v>
      </c>
      <c r="I43">
        <v>2500</v>
      </c>
      <c r="J43">
        <v>1200</v>
      </c>
      <c r="K43">
        <v>1500</v>
      </c>
      <c r="L43">
        <v>2652</v>
      </c>
      <c r="M43">
        <v>2743</v>
      </c>
      <c r="N43">
        <v>2258</v>
      </c>
      <c r="O43">
        <v>1578</v>
      </c>
      <c r="P43">
        <v>1500</v>
      </c>
      <c r="Q43">
        <v>2183</v>
      </c>
      <c r="R43">
        <v>2020</v>
      </c>
      <c r="S43">
        <v>2400</v>
      </c>
      <c r="T43">
        <v>4164</v>
      </c>
      <c r="U43">
        <v>2829.9768330713709</v>
      </c>
      <c r="V43">
        <v>2375</v>
      </c>
      <c r="W43">
        <v>2130</v>
      </c>
      <c r="X43">
        <v>2156</v>
      </c>
      <c r="Y43">
        <v>3375</v>
      </c>
      <c r="Z43">
        <v>11678</v>
      </c>
      <c r="AA43">
        <v>11959</v>
      </c>
      <c r="AB43">
        <v>2669</v>
      </c>
      <c r="AC43">
        <v>1989</v>
      </c>
      <c r="AD43">
        <v>2040</v>
      </c>
      <c r="AE43">
        <v>990</v>
      </c>
      <c r="AF43">
        <v>8088</v>
      </c>
      <c r="AG43">
        <v>1320.0067107511259</v>
      </c>
      <c r="AH43">
        <v>1304</v>
      </c>
      <c r="AI43">
        <v>2610.4780868842313</v>
      </c>
      <c r="AJ43">
        <v>406</v>
      </c>
      <c r="AK43">
        <v>803</v>
      </c>
      <c r="AL43">
        <v>238</v>
      </c>
      <c r="AM43">
        <v>770</v>
      </c>
      <c r="AN43">
        <v>412</v>
      </c>
      <c r="AO43">
        <v>4659</v>
      </c>
      <c r="AP43">
        <v>340</v>
      </c>
      <c r="AQ43">
        <v>383</v>
      </c>
      <c r="AR43">
        <v>164</v>
      </c>
      <c r="AS43">
        <v>211</v>
      </c>
      <c r="AT43">
        <v>1307</v>
      </c>
      <c r="AU43">
        <v>1789.6749249369718</v>
      </c>
      <c r="AV43">
        <v>3211.4415691004451</v>
      </c>
    </row>
    <row r="44" spans="1:48" x14ac:dyDescent="0.25">
      <c r="A44" t="s">
        <v>120</v>
      </c>
      <c r="B44">
        <v>43</v>
      </c>
      <c r="C44">
        <v>3</v>
      </c>
      <c r="D44" t="s">
        <v>82</v>
      </c>
      <c r="E44">
        <v>69.168149466192176</v>
      </c>
      <c r="F44">
        <v>69.168149466192176</v>
      </c>
      <c r="G44">
        <v>55.334519572953738</v>
      </c>
      <c r="H44">
        <v>13.833629893238435</v>
      </c>
      <c r="I44">
        <v>13.833629893238435</v>
      </c>
      <c r="J44">
        <v>138.33629893238435</v>
      </c>
      <c r="K44">
        <v>276.6725978647687</v>
      </c>
      <c r="L44">
        <v>318.17348754448398</v>
      </c>
      <c r="M44">
        <v>0</v>
      </c>
      <c r="N44">
        <v>69.168149466192176</v>
      </c>
      <c r="O44">
        <v>262.83896797153028</v>
      </c>
      <c r="P44">
        <v>276.6725978647687</v>
      </c>
      <c r="Q44">
        <v>249.00533807829183</v>
      </c>
      <c r="R44">
        <v>110.66903914590748</v>
      </c>
      <c r="S44">
        <v>345.84074733096088</v>
      </c>
      <c r="T44">
        <v>276.6725978647687</v>
      </c>
      <c r="U44">
        <v>353.06215596330276</v>
      </c>
      <c r="V44">
        <v>550.00000000000011</v>
      </c>
      <c r="W44">
        <v>93.503447722899296</v>
      </c>
      <c r="X44">
        <v>167.00000000000003</v>
      </c>
      <c r="Y44">
        <v>398.89082525112576</v>
      </c>
      <c r="Z44">
        <v>91.000000000000014</v>
      </c>
      <c r="AA44">
        <v>459.00000000000006</v>
      </c>
      <c r="AB44">
        <v>245.00000000000003</v>
      </c>
      <c r="AC44">
        <v>207.00000000000003</v>
      </c>
      <c r="AD44">
        <v>175.00000000000003</v>
      </c>
      <c r="AE44">
        <v>180.00000000000003</v>
      </c>
      <c r="AF44">
        <v>276.00000000000006</v>
      </c>
      <c r="AG44">
        <v>5.0000000000000009</v>
      </c>
      <c r="AH44">
        <v>77.000000000000014</v>
      </c>
      <c r="AI44">
        <v>28.000000000000004</v>
      </c>
      <c r="AJ44">
        <v>202.00000000000003</v>
      </c>
      <c r="AK44">
        <v>8</v>
      </c>
      <c r="AL44">
        <v>14.000000000000002</v>
      </c>
      <c r="AM44">
        <v>195.00000000000003</v>
      </c>
      <c r="AN44">
        <v>96.000000000000014</v>
      </c>
      <c r="AO44">
        <v>144.00000000000003</v>
      </c>
      <c r="AP44">
        <v>6.0000000000000009</v>
      </c>
      <c r="AQ44">
        <v>17.000000000000004</v>
      </c>
      <c r="AR44">
        <v>11.000000000000002</v>
      </c>
      <c r="AS44">
        <v>7.0000000000000009</v>
      </c>
      <c r="AT44">
        <v>122.14345779233642</v>
      </c>
      <c r="AU44">
        <v>0</v>
      </c>
      <c r="AV44">
        <v>25.000000000000004</v>
      </c>
    </row>
    <row r="45" spans="1:48" x14ac:dyDescent="0.25">
      <c r="A45" t="s">
        <v>168</v>
      </c>
      <c r="B45">
        <v>44</v>
      </c>
      <c r="C45">
        <v>4</v>
      </c>
      <c r="D45" t="s">
        <v>9</v>
      </c>
      <c r="E45">
        <v>689.37785651803858</v>
      </c>
      <c r="F45">
        <v>689.37785651803858</v>
      </c>
      <c r="G45">
        <v>689.37785651803858</v>
      </c>
      <c r="H45">
        <v>689.37785651803858</v>
      </c>
      <c r="I45">
        <v>426.26581142709978</v>
      </c>
      <c r="J45">
        <v>948.08896061752603</v>
      </c>
      <c r="K45">
        <v>1204.1153910842427</v>
      </c>
      <c r="L45">
        <v>1556.3988304094689</v>
      </c>
      <c r="M45">
        <v>2562.7452013876273</v>
      </c>
      <c r="N45">
        <v>2421.3895694367229</v>
      </c>
      <c r="O45">
        <v>2496.8439060320079</v>
      </c>
      <c r="P45">
        <v>5406.1227366196954</v>
      </c>
      <c r="Q45">
        <v>6594.7752829671035</v>
      </c>
      <c r="R45">
        <v>6574.7752829671035</v>
      </c>
      <c r="S45">
        <v>3407.4658966367738</v>
      </c>
      <c r="T45">
        <v>5281.1227366196954</v>
      </c>
      <c r="U45">
        <v>4035.8236993381379</v>
      </c>
      <c r="V45">
        <v>6445.7752829671035</v>
      </c>
      <c r="W45">
        <v>4952.2215787978694</v>
      </c>
      <c r="X45">
        <v>5795.7394106830116</v>
      </c>
      <c r="Y45">
        <v>3275.1299297183227</v>
      </c>
      <c r="Z45">
        <v>3487.8039346411824</v>
      </c>
      <c r="AA45">
        <v>3800.2278288763368</v>
      </c>
      <c r="AB45">
        <v>7387.5778900788655</v>
      </c>
      <c r="AC45">
        <v>6187.0732209632479</v>
      </c>
      <c r="AD45">
        <v>1983.9654264484204</v>
      </c>
      <c r="AE45">
        <v>2554.7107487586172</v>
      </c>
      <c r="AF45">
        <v>5239</v>
      </c>
      <c r="AG45">
        <v>1230</v>
      </c>
      <c r="AH45">
        <v>1777</v>
      </c>
      <c r="AI45">
        <v>1799</v>
      </c>
      <c r="AJ45">
        <v>5117</v>
      </c>
      <c r="AK45">
        <v>1117</v>
      </c>
      <c r="AL45">
        <v>359</v>
      </c>
      <c r="AM45">
        <v>2393</v>
      </c>
      <c r="AN45">
        <v>2274</v>
      </c>
      <c r="AO45">
        <v>3151.8831486136241</v>
      </c>
      <c r="AP45">
        <v>570.41445536496781</v>
      </c>
      <c r="AQ45">
        <v>896</v>
      </c>
      <c r="AR45">
        <v>2213</v>
      </c>
      <c r="AS45">
        <v>2168</v>
      </c>
      <c r="AT45">
        <v>2180</v>
      </c>
      <c r="AU45">
        <v>2028</v>
      </c>
      <c r="AV45">
        <v>1835</v>
      </c>
    </row>
    <row r="46" spans="1:48" x14ac:dyDescent="0.25">
      <c r="A46" t="s">
        <v>163</v>
      </c>
      <c r="B46">
        <v>45</v>
      </c>
      <c r="C46">
        <v>4</v>
      </c>
      <c r="D46" t="s">
        <v>9</v>
      </c>
      <c r="E46">
        <v>16453.490138332458</v>
      </c>
      <c r="F46">
        <v>5722.5817857792035</v>
      </c>
      <c r="G46">
        <v>8247.7248755065393</v>
      </c>
      <c r="H46">
        <v>2894.0016513637815</v>
      </c>
      <c r="I46">
        <v>5396</v>
      </c>
      <c r="J46">
        <v>7582</v>
      </c>
      <c r="K46">
        <v>10539</v>
      </c>
      <c r="L46">
        <v>20762.996806371386</v>
      </c>
      <c r="M46">
        <v>16851.490138332458</v>
      </c>
      <c r="N46">
        <v>24624.955313719438</v>
      </c>
      <c r="O46">
        <v>18442.260126793866</v>
      </c>
      <c r="P46">
        <v>22344.781229464086</v>
      </c>
      <c r="Q46">
        <v>16621.490138332458</v>
      </c>
      <c r="R46">
        <v>23130.627126953408</v>
      </c>
      <c r="S46">
        <v>9415.5553073374376</v>
      </c>
      <c r="T46">
        <v>29064.31794737744</v>
      </c>
      <c r="U46">
        <v>16770.490138332458</v>
      </c>
      <c r="V46">
        <v>35155.335868631308</v>
      </c>
      <c r="W46">
        <v>22853.791506021036</v>
      </c>
      <c r="X46">
        <v>34643.800623849245</v>
      </c>
      <c r="Y46">
        <v>47660.04573773322</v>
      </c>
      <c r="Z46">
        <v>28061</v>
      </c>
      <c r="AA46">
        <v>36031.065214454575</v>
      </c>
      <c r="AB46">
        <v>54578</v>
      </c>
      <c r="AC46">
        <v>40255.703862911774</v>
      </c>
      <c r="AD46">
        <v>17168</v>
      </c>
      <c r="AE46">
        <v>18133</v>
      </c>
      <c r="AF46">
        <v>59328.527569860278</v>
      </c>
      <c r="AG46">
        <v>16168</v>
      </c>
      <c r="AH46">
        <v>15160.4560185185</v>
      </c>
      <c r="AI46">
        <v>25530</v>
      </c>
      <c r="AJ46">
        <v>71682.652690934206</v>
      </c>
      <c r="AK46">
        <v>19218</v>
      </c>
      <c r="AL46">
        <v>4346</v>
      </c>
      <c r="AM46">
        <v>29061</v>
      </c>
      <c r="AN46">
        <v>44240</v>
      </c>
      <c r="AO46">
        <v>39716</v>
      </c>
      <c r="AP46">
        <v>6735</v>
      </c>
      <c r="AQ46">
        <v>13731</v>
      </c>
      <c r="AR46">
        <v>17404</v>
      </c>
      <c r="AS46">
        <v>29921</v>
      </c>
      <c r="AT46">
        <v>25859</v>
      </c>
      <c r="AU46">
        <v>29763</v>
      </c>
      <c r="AV46">
        <v>34186</v>
      </c>
    </row>
    <row r="47" spans="1:48" x14ac:dyDescent="0.25">
      <c r="A47" t="s">
        <v>147</v>
      </c>
      <c r="B47">
        <v>46</v>
      </c>
      <c r="C47">
        <v>1</v>
      </c>
      <c r="D47" t="s">
        <v>15</v>
      </c>
      <c r="E47">
        <v>300</v>
      </c>
      <c r="F47">
        <v>250</v>
      </c>
      <c r="G47">
        <v>250</v>
      </c>
      <c r="H47">
        <v>400</v>
      </c>
      <c r="I47">
        <v>250</v>
      </c>
      <c r="J47">
        <v>775</v>
      </c>
      <c r="K47">
        <v>1250</v>
      </c>
      <c r="L47">
        <v>1295</v>
      </c>
      <c r="M47">
        <v>1175</v>
      </c>
      <c r="N47">
        <v>1259</v>
      </c>
      <c r="O47">
        <v>1004</v>
      </c>
      <c r="P47">
        <v>1477</v>
      </c>
      <c r="Q47">
        <v>907</v>
      </c>
      <c r="R47">
        <v>1474</v>
      </c>
      <c r="S47">
        <v>1192</v>
      </c>
      <c r="T47">
        <v>1200</v>
      </c>
      <c r="U47">
        <v>700</v>
      </c>
      <c r="V47">
        <v>780</v>
      </c>
      <c r="W47">
        <v>915</v>
      </c>
      <c r="X47">
        <v>1004.1682930949113</v>
      </c>
      <c r="Y47">
        <v>624</v>
      </c>
      <c r="Z47">
        <v>1085</v>
      </c>
      <c r="AA47">
        <v>1397</v>
      </c>
      <c r="AB47">
        <v>1458</v>
      </c>
      <c r="AC47">
        <v>1583</v>
      </c>
      <c r="AD47">
        <v>867</v>
      </c>
      <c r="AE47">
        <v>427</v>
      </c>
      <c r="AF47">
        <v>521</v>
      </c>
      <c r="AG47">
        <v>334</v>
      </c>
      <c r="AH47">
        <v>655</v>
      </c>
      <c r="AI47">
        <v>574</v>
      </c>
      <c r="AJ47">
        <v>1711</v>
      </c>
      <c r="AK47">
        <v>426</v>
      </c>
      <c r="AL47">
        <v>426</v>
      </c>
      <c r="AM47">
        <v>885</v>
      </c>
      <c r="AN47">
        <v>828</v>
      </c>
      <c r="AO47">
        <v>857</v>
      </c>
      <c r="AP47">
        <v>268</v>
      </c>
      <c r="AQ47">
        <v>909</v>
      </c>
      <c r="AR47">
        <v>688</v>
      </c>
      <c r="AS47">
        <v>772</v>
      </c>
      <c r="AT47">
        <v>711</v>
      </c>
      <c r="AU47">
        <v>2526</v>
      </c>
      <c r="AV47">
        <v>669</v>
      </c>
    </row>
    <row r="48" spans="1:48" x14ac:dyDescent="0.25">
      <c r="A48" t="s">
        <v>203</v>
      </c>
      <c r="B48">
        <v>47</v>
      </c>
      <c r="C48">
        <v>1</v>
      </c>
      <c r="D48" t="s">
        <v>15</v>
      </c>
      <c r="E48">
        <v>300</v>
      </c>
      <c r="F48">
        <v>360</v>
      </c>
      <c r="G48">
        <v>300</v>
      </c>
      <c r="H48">
        <v>700</v>
      </c>
      <c r="I48">
        <v>300</v>
      </c>
      <c r="J48">
        <v>850</v>
      </c>
      <c r="K48">
        <v>1670</v>
      </c>
      <c r="L48">
        <v>871</v>
      </c>
      <c r="M48">
        <v>641</v>
      </c>
      <c r="N48">
        <v>1252</v>
      </c>
      <c r="O48">
        <v>1613</v>
      </c>
      <c r="P48">
        <v>1055</v>
      </c>
      <c r="Q48">
        <v>643</v>
      </c>
      <c r="R48">
        <v>300</v>
      </c>
      <c r="S48">
        <v>2055</v>
      </c>
      <c r="T48">
        <v>1261</v>
      </c>
      <c r="U48">
        <v>669</v>
      </c>
      <c r="V48">
        <v>659</v>
      </c>
      <c r="W48">
        <v>563</v>
      </c>
      <c r="X48">
        <v>284</v>
      </c>
      <c r="Y48">
        <v>319</v>
      </c>
      <c r="Z48">
        <v>426</v>
      </c>
      <c r="AA48">
        <v>1365</v>
      </c>
      <c r="AB48">
        <v>971</v>
      </c>
      <c r="AC48">
        <v>151</v>
      </c>
      <c r="AD48">
        <v>395</v>
      </c>
      <c r="AE48">
        <v>426</v>
      </c>
      <c r="AF48">
        <v>618</v>
      </c>
      <c r="AG48">
        <v>278</v>
      </c>
      <c r="AH48">
        <v>554</v>
      </c>
      <c r="AI48">
        <v>326</v>
      </c>
      <c r="AJ48">
        <v>654</v>
      </c>
      <c r="AK48">
        <v>174</v>
      </c>
      <c r="AL48">
        <v>333</v>
      </c>
      <c r="AM48">
        <v>679</v>
      </c>
      <c r="AN48">
        <v>848</v>
      </c>
      <c r="AO48">
        <v>181</v>
      </c>
      <c r="AP48">
        <v>90</v>
      </c>
      <c r="AQ48">
        <v>218</v>
      </c>
      <c r="AR48">
        <v>179</v>
      </c>
      <c r="AS48">
        <v>422</v>
      </c>
      <c r="AT48">
        <v>393</v>
      </c>
      <c r="AU48">
        <v>457</v>
      </c>
      <c r="AV48">
        <v>544</v>
      </c>
    </row>
    <row r="49" spans="1:48" x14ac:dyDescent="0.25">
      <c r="A49" t="s">
        <v>125</v>
      </c>
      <c r="B49">
        <v>48</v>
      </c>
      <c r="C49">
        <v>4</v>
      </c>
      <c r="D49" t="s">
        <v>9</v>
      </c>
      <c r="E49">
        <v>1000</v>
      </c>
      <c r="F49">
        <v>350</v>
      </c>
      <c r="G49">
        <v>700</v>
      </c>
      <c r="H49">
        <v>500</v>
      </c>
      <c r="I49">
        <v>250</v>
      </c>
      <c r="J49">
        <v>650</v>
      </c>
      <c r="K49">
        <v>750</v>
      </c>
      <c r="L49">
        <v>2500</v>
      </c>
      <c r="M49">
        <v>2000</v>
      </c>
      <c r="N49">
        <v>1600</v>
      </c>
      <c r="O49">
        <v>1250</v>
      </c>
      <c r="P49">
        <v>1397</v>
      </c>
      <c r="Q49">
        <v>2488</v>
      </c>
      <c r="R49">
        <v>1245</v>
      </c>
      <c r="S49">
        <v>885</v>
      </c>
      <c r="T49">
        <v>1168</v>
      </c>
      <c r="U49">
        <v>1900</v>
      </c>
      <c r="V49">
        <v>2200</v>
      </c>
      <c r="W49">
        <v>3397</v>
      </c>
      <c r="X49">
        <v>4182</v>
      </c>
      <c r="Y49">
        <v>2335</v>
      </c>
      <c r="Z49">
        <v>2266</v>
      </c>
      <c r="AA49">
        <v>5889</v>
      </c>
      <c r="AB49">
        <v>3090</v>
      </c>
      <c r="AC49">
        <v>1920</v>
      </c>
      <c r="AD49">
        <v>1704</v>
      </c>
      <c r="AE49">
        <v>3837</v>
      </c>
      <c r="AF49">
        <v>6344</v>
      </c>
      <c r="AG49">
        <v>3181</v>
      </c>
      <c r="AH49">
        <v>3474</v>
      </c>
      <c r="AI49">
        <v>6397</v>
      </c>
      <c r="AJ49">
        <v>9691</v>
      </c>
      <c r="AK49">
        <v>4188</v>
      </c>
      <c r="AL49">
        <v>2835</v>
      </c>
      <c r="AM49">
        <v>6499</v>
      </c>
      <c r="AN49">
        <v>5322</v>
      </c>
      <c r="AO49">
        <v>12753</v>
      </c>
      <c r="AP49">
        <v>3246</v>
      </c>
      <c r="AQ49">
        <v>4319</v>
      </c>
      <c r="AR49">
        <v>3406</v>
      </c>
      <c r="AS49">
        <v>8448</v>
      </c>
      <c r="AT49">
        <v>5252</v>
      </c>
      <c r="AU49">
        <v>6526</v>
      </c>
      <c r="AV49">
        <v>3117</v>
      </c>
    </row>
    <row r="50" spans="1:48" x14ac:dyDescent="0.25">
      <c r="A50" t="s">
        <v>161</v>
      </c>
      <c r="B50">
        <v>49</v>
      </c>
      <c r="C50">
        <v>4</v>
      </c>
      <c r="D50" t="s">
        <v>9</v>
      </c>
      <c r="E50">
        <v>700</v>
      </c>
      <c r="F50">
        <v>400</v>
      </c>
      <c r="G50">
        <v>400</v>
      </c>
      <c r="H50">
        <v>100</v>
      </c>
      <c r="I50">
        <v>100</v>
      </c>
      <c r="J50">
        <v>250</v>
      </c>
      <c r="K50">
        <v>450</v>
      </c>
      <c r="L50">
        <v>350</v>
      </c>
      <c r="M50">
        <v>200</v>
      </c>
      <c r="N50">
        <v>400</v>
      </c>
      <c r="O50">
        <v>400</v>
      </c>
      <c r="P50">
        <v>400</v>
      </c>
      <c r="Q50">
        <v>250</v>
      </c>
      <c r="R50">
        <v>600</v>
      </c>
      <c r="S50">
        <v>2123.460852402151</v>
      </c>
      <c r="T50">
        <v>491</v>
      </c>
      <c r="U50">
        <v>150</v>
      </c>
      <c r="V50">
        <v>3000</v>
      </c>
      <c r="W50">
        <v>1358</v>
      </c>
      <c r="X50">
        <v>1246</v>
      </c>
      <c r="Y50">
        <v>1163</v>
      </c>
      <c r="Z50">
        <v>2043</v>
      </c>
      <c r="AA50">
        <v>9885</v>
      </c>
      <c r="AB50">
        <v>2799</v>
      </c>
      <c r="AC50">
        <v>2488</v>
      </c>
      <c r="AD50">
        <v>6014</v>
      </c>
      <c r="AE50">
        <v>9046</v>
      </c>
      <c r="AF50">
        <v>8590</v>
      </c>
      <c r="AG50">
        <v>7352</v>
      </c>
      <c r="AH50">
        <v>11446</v>
      </c>
      <c r="AI50">
        <v>7286</v>
      </c>
      <c r="AJ50">
        <v>12454</v>
      </c>
      <c r="AK50">
        <v>16954</v>
      </c>
      <c r="AL50">
        <v>7196</v>
      </c>
      <c r="AM50">
        <v>17227</v>
      </c>
      <c r="AN50">
        <v>3411</v>
      </c>
      <c r="AO50">
        <v>25296</v>
      </c>
      <c r="AP50">
        <v>20047</v>
      </c>
      <c r="AQ50">
        <v>22331</v>
      </c>
      <c r="AR50">
        <v>5577</v>
      </c>
      <c r="AS50">
        <v>34190</v>
      </c>
      <c r="AT50">
        <v>23054</v>
      </c>
      <c r="AU50">
        <v>39416</v>
      </c>
      <c r="AV50">
        <v>23604</v>
      </c>
    </row>
    <row r="51" spans="1:48" x14ac:dyDescent="0.25">
      <c r="A51" t="s">
        <v>189</v>
      </c>
      <c r="B51">
        <v>50</v>
      </c>
      <c r="C51">
        <v>4</v>
      </c>
      <c r="D51" t="s">
        <v>9</v>
      </c>
      <c r="E51">
        <v>6000</v>
      </c>
      <c r="F51">
        <v>3000</v>
      </c>
      <c r="G51">
        <v>6000</v>
      </c>
      <c r="H51">
        <v>3500</v>
      </c>
      <c r="I51">
        <v>3000</v>
      </c>
      <c r="J51">
        <v>6000</v>
      </c>
      <c r="K51">
        <v>7000</v>
      </c>
      <c r="L51">
        <v>6500</v>
      </c>
      <c r="M51">
        <v>8500</v>
      </c>
      <c r="N51">
        <v>12000</v>
      </c>
      <c r="O51">
        <v>10000</v>
      </c>
      <c r="P51">
        <v>6000</v>
      </c>
      <c r="Q51">
        <v>8000</v>
      </c>
      <c r="R51">
        <v>12000</v>
      </c>
      <c r="S51">
        <v>4000</v>
      </c>
      <c r="T51">
        <v>2118</v>
      </c>
      <c r="U51">
        <v>5500</v>
      </c>
      <c r="V51">
        <v>21600</v>
      </c>
      <c r="W51">
        <v>27000</v>
      </c>
      <c r="X51">
        <v>41306</v>
      </c>
      <c r="Y51">
        <v>13954</v>
      </c>
      <c r="Z51">
        <v>10806</v>
      </c>
      <c r="AA51">
        <v>22610</v>
      </c>
      <c r="AB51">
        <v>43804</v>
      </c>
      <c r="AC51">
        <v>38178</v>
      </c>
      <c r="AD51">
        <v>29733</v>
      </c>
      <c r="AE51">
        <v>61837</v>
      </c>
      <c r="AF51">
        <v>100384</v>
      </c>
      <c r="AG51">
        <v>45352</v>
      </c>
      <c r="AH51">
        <v>57280</v>
      </c>
      <c r="AI51">
        <v>45036</v>
      </c>
      <c r="AJ51">
        <v>58851</v>
      </c>
      <c r="AK51">
        <v>84102</v>
      </c>
      <c r="AL51">
        <v>32952</v>
      </c>
      <c r="AM51">
        <v>63769</v>
      </c>
      <c r="AN51">
        <v>29107</v>
      </c>
      <c r="AO51">
        <v>96205</v>
      </c>
      <c r="AP51">
        <v>62912</v>
      </c>
      <c r="AQ51">
        <v>43532</v>
      </c>
      <c r="AR51">
        <v>18340</v>
      </c>
      <c r="AS51">
        <v>94589</v>
      </c>
      <c r="AT51">
        <v>91590</v>
      </c>
      <c r="AU51">
        <v>98286</v>
      </c>
      <c r="AV51">
        <v>48478</v>
      </c>
    </row>
    <row r="52" spans="1:48" x14ac:dyDescent="0.25">
      <c r="A52" t="s">
        <v>164</v>
      </c>
      <c r="B52">
        <v>51</v>
      </c>
      <c r="C52">
        <v>4</v>
      </c>
      <c r="D52" t="s">
        <v>9</v>
      </c>
      <c r="E52">
        <v>3400.9344827838272</v>
      </c>
      <c r="F52">
        <v>1400.6114975662097</v>
      </c>
      <c r="G52">
        <v>2188.634084587407</v>
      </c>
      <c r="H52">
        <v>1055.4962825168022</v>
      </c>
      <c r="I52">
        <v>1258.7080810429895</v>
      </c>
      <c r="J52">
        <v>2110.0821973988946</v>
      </c>
      <c r="K52">
        <v>2749.2486812430861</v>
      </c>
      <c r="L52">
        <v>4337.4353891550245</v>
      </c>
      <c r="M52">
        <v>4110.7106414008067</v>
      </c>
      <c r="N52">
        <v>5611.3866701840489</v>
      </c>
      <c r="O52">
        <v>4454.7733544196499</v>
      </c>
      <c r="P52">
        <v>4855.1953070789896</v>
      </c>
      <c r="Q52">
        <v>4650.4540059533247</v>
      </c>
      <c r="R52">
        <v>5970.6793165844529</v>
      </c>
      <c r="S52">
        <v>2735.7427177051318</v>
      </c>
      <c r="T52">
        <v>5226.515841282092</v>
      </c>
      <c r="U52">
        <v>3899.8986126440855</v>
      </c>
      <c r="V52">
        <v>9365.5332070786772</v>
      </c>
      <c r="W52">
        <v>8175.6055151302362</v>
      </c>
      <c r="X52">
        <v>11928.641221725613</v>
      </c>
      <c r="Y52">
        <v>1815</v>
      </c>
      <c r="Z52">
        <v>3205</v>
      </c>
      <c r="AA52">
        <v>6904</v>
      </c>
      <c r="AB52">
        <v>18927</v>
      </c>
      <c r="AC52">
        <v>12261.939547104917</v>
      </c>
      <c r="AD52">
        <v>10010</v>
      </c>
      <c r="AE52">
        <v>13079.66515020356</v>
      </c>
      <c r="AF52">
        <v>23646</v>
      </c>
      <c r="AG52">
        <v>8549</v>
      </c>
      <c r="AH52">
        <v>16898</v>
      </c>
      <c r="AI52">
        <v>11821.359576065341</v>
      </c>
      <c r="AJ52">
        <v>12045</v>
      </c>
      <c r="AK52">
        <v>13783</v>
      </c>
      <c r="AL52">
        <v>5174</v>
      </c>
      <c r="AM52">
        <v>16367.643297936089</v>
      </c>
      <c r="AN52">
        <v>4433</v>
      </c>
      <c r="AO52">
        <v>13671</v>
      </c>
      <c r="AP52">
        <v>5815</v>
      </c>
      <c r="AQ52">
        <v>11578.424381753877</v>
      </c>
      <c r="AR52">
        <v>9682</v>
      </c>
      <c r="AS52">
        <v>3694</v>
      </c>
      <c r="AT52">
        <v>20170.552754423425</v>
      </c>
      <c r="AU52">
        <v>23983.006044362803</v>
      </c>
      <c r="AV52">
        <v>15160.20334252222</v>
      </c>
    </row>
    <row r="53" spans="1:48" x14ac:dyDescent="0.25">
      <c r="A53" t="s">
        <v>144</v>
      </c>
      <c r="B53">
        <v>52</v>
      </c>
      <c r="C53">
        <v>3</v>
      </c>
      <c r="D53" t="s">
        <v>82</v>
      </c>
      <c r="E53">
        <v>50</v>
      </c>
      <c r="F53">
        <v>250</v>
      </c>
      <c r="G53">
        <v>25</v>
      </c>
      <c r="H53">
        <v>600</v>
      </c>
      <c r="I53">
        <v>162</v>
      </c>
      <c r="J53">
        <v>1626</v>
      </c>
      <c r="K53">
        <v>1501</v>
      </c>
      <c r="L53">
        <v>1026</v>
      </c>
      <c r="M53">
        <v>541</v>
      </c>
      <c r="N53">
        <v>1287</v>
      </c>
      <c r="O53">
        <v>644</v>
      </c>
      <c r="P53">
        <v>532</v>
      </c>
      <c r="Q53">
        <v>522</v>
      </c>
      <c r="R53">
        <v>379</v>
      </c>
      <c r="S53">
        <v>1708</v>
      </c>
      <c r="T53">
        <v>1563</v>
      </c>
      <c r="U53">
        <v>888</v>
      </c>
      <c r="V53">
        <v>1988</v>
      </c>
      <c r="W53">
        <v>1569</v>
      </c>
      <c r="X53">
        <v>765</v>
      </c>
      <c r="Y53">
        <v>812</v>
      </c>
      <c r="Z53">
        <v>715</v>
      </c>
      <c r="AA53">
        <v>1207</v>
      </c>
      <c r="AB53">
        <v>528</v>
      </c>
      <c r="AC53">
        <v>2044</v>
      </c>
      <c r="AD53">
        <v>1155</v>
      </c>
      <c r="AE53">
        <v>427</v>
      </c>
      <c r="AF53">
        <v>1237</v>
      </c>
      <c r="AG53">
        <v>296</v>
      </c>
      <c r="AH53">
        <v>1308</v>
      </c>
      <c r="AI53">
        <v>189</v>
      </c>
      <c r="AJ53">
        <v>1120</v>
      </c>
      <c r="AK53">
        <v>413</v>
      </c>
      <c r="AL53">
        <v>948</v>
      </c>
      <c r="AM53">
        <v>252</v>
      </c>
      <c r="AN53">
        <v>2282</v>
      </c>
      <c r="AO53">
        <v>431</v>
      </c>
      <c r="AP53">
        <v>720.2437110786525</v>
      </c>
      <c r="AQ53">
        <v>424.02324036821983</v>
      </c>
      <c r="AR53">
        <v>251</v>
      </c>
      <c r="AS53">
        <v>448</v>
      </c>
      <c r="AT53">
        <v>431</v>
      </c>
      <c r="AU53">
        <v>615</v>
      </c>
      <c r="AV53">
        <v>1441</v>
      </c>
    </row>
    <row r="54" spans="1:48" x14ac:dyDescent="0.25">
      <c r="A54" t="s">
        <v>131</v>
      </c>
      <c r="B54">
        <v>53</v>
      </c>
      <c r="C54">
        <v>3</v>
      </c>
      <c r="D54" t="s">
        <v>82</v>
      </c>
      <c r="E54">
        <v>0</v>
      </c>
      <c r="F54">
        <v>75</v>
      </c>
      <c r="G54">
        <v>25</v>
      </c>
      <c r="H54">
        <v>150</v>
      </c>
      <c r="I54">
        <v>32</v>
      </c>
      <c r="J54">
        <v>818</v>
      </c>
      <c r="K54">
        <v>800</v>
      </c>
      <c r="L54">
        <v>1379</v>
      </c>
      <c r="M54">
        <v>520</v>
      </c>
      <c r="N54">
        <v>863</v>
      </c>
      <c r="O54">
        <v>1062</v>
      </c>
      <c r="P54">
        <v>584</v>
      </c>
      <c r="Q54">
        <v>2292</v>
      </c>
      <c r="R54">
        <v>1936</v>
      </c>
      <c r="S54">
        <v>3672.6617888053679</v>
      </c>
      <c r="T54">
        <v>4503</v>
      </c>
      <c r="U54">
        <v>4385</v>
      </c>
      <c r="V54">
        <v>4673</v>
      </c>
      <c r="W54">
        <v>9561</v>
      </c>
      <c r="X54">
        <v>1961</v>
      </c>
      <c r="Y54">
        <v>1979</v>
      </c>
      <c r="Z54">
        <v>5328</v>
      </c>
      <c r="AA54">
        <v>6285</v>
      </c>
      <c r="AB54">
        <v>8370</v>
      </c>
      <c r="AC54">
        <v>9609</v>
      </c>
      <c r="AD54">
        <v>6130</v>
      </c>
      <c r="AE54">
        <v>4891</v>
      </c>
      <c r="AF54">
        <v>1954</v>
      </c>
      <c r="AG54">
        <v>1081</v>
      </c>
      <c r="AH54">
        <v>5421</v>
      </c>
      <c r="AI54">
        <v>1288</v>
      </c>
      <c r="AJ54">
        <v>2412</v>
      </c>
      <c r="AK54">
        <v>1750</v>
      </c>
      <c r="AL54">
        <v>3075</v>
      </c>
      <c r="AM54">
        <v>2518</v>
      </c>
      <c r="AN54">
        <v>12651</v>
      </c>
      <c r="AO54">
        <v>5475</v>
      </c>
      <c r="AP54">
        <v>5249</v>
      </c>
      <c r="AQ54">
        <v>2903</v>
      </c>
      <c r="AR54">
        <v>5</v>
      </c>
      <c r="AS54">
        <v>960</v>
      </c>
      <c r="AT54">
        <v>3448</v>
      </c>
      <c r="AU54">
        <v>1304</v>
      </c>
      <c r="AV54">
        <v>372</v>
      </c>
    </row>
    <row r="55" spans="1:48" x14ac:dyDescent="0.25">
      <c r="A55" t="s">
        <v>142</v>
      </c>
      <c r="B55">
        <v>54</v>
      </c>
      <c r="C55">
        <v>3</v>
      </c>
      <c r="D55" t="s">
        <v>82</v>
      </c>
      <c r="E55">
        <v>300</v>
      </c>
      <c r="F55">
        <v>710</v>
      </c>
      <c r="G55">
        <v>200</v>
      </c>
      <c r="H55">
        <v>800</v>
      </c>
      <c r="I55">
        <v>547</v>
      </c>
      <c r="J55">
        <v>598</v>
      </c>
      <c r="K55">
        <v>2061</v>
      </c>
      <c r="L55">
        <v>2234</v>
      </c>
      <c r="M55">
        <v>709</v>
      </c>
      <c r="N55">
        <v>279</v>
      </c>
      <c r="O55">
        <v>1200</v>
      </c>
      <c r="P55">
        <v>411</v>
      </c>
      <c r="Q55">
        <v>399</v>
      </c>
      <c r="R55">
        <v>1424</v>
      </c>
      <c r="S55">
        <v>1594</v>
      </c>
      <c r="T55">
        <v>365</v>
      </c>
      <c r="U55">
        <v>1130</v>
      </c>
      <c r="V55">
        <v>1593</v>
      </c>
      <c r="W55">
        <v>505</v>
      </c>
      <c r="X55">
        <v>398</v>
      </c>
      <c r="Y55">
        <v>277</v>
      </c>
      <c r="Z55">
        <v>580</v>
      </c>
      <c r="AA55">
        <v>855</v>
      </c>
      <c r="AB55">
        <v>1417</v>
      </c>
      <c r="AC55">
        <v>1290</v>
      </c>
      <c r="AD55">
        <v>1083</v>
      </c>
      <c r="AE55">
        <v>174</v>
      </c>
      <c r="AF55">
        <v>573</v>
      </c>
      <c r="AG55">
        <v>79</v>
      </c>
      <c r="AH55">
        <v>463</v>
      </c>
      <c r="AI55">
        <v>60</v>
      </c>
      <c r="AJ55">
        <v>334</v>
      </c>
      <c r="AK55">
        <v>259</v>
      </c>
      <c r="AL55">
        <v>861</v>
      </c>
      <c r="AM55">
        <v>235</v>
      </c>
      <c r="AN55">
        <v>1213</v>
      </c>
      <c r="AO55">
        <v>119</v>
      </c>
      <c r="AP55">
        <v>532</v>
      </c>
      <c r="AQ55">
        <v>132</v>
      </c>
      <c r="AR55">
        <v>155</v>
      </c>
      <c r="AS55">
        <v>327</v>
      </c>
      <c r="AT55">
        <v>375</v>
      </c>
      <c r="AU55">
        <v>149</v>
      </c>
      <c r="AV55">
        <v>412</v>
      </c>
    </row>
    <row r="56" spans="1:48" x14ac:dyDescent="0.25">
      <c r="A56" t="s">
        <v>190</v>
      </c>
      <c r="B56">
        <v>55</v>
      </c>
      <c r="C56">
        <v>3</v>
      </c>
      <c r="D56" t="s">
        <v>82</v>
      </c>
      <c r="E56">
        <v>50</v>
      </c>
      <c r="F56">
        <v>200</v>
      </c>
      <c r="G56">
        <v>100</v>
      </c>
      <c r="H56">
        <v>200</v>
      </c>
      <c r="I56">
        <v>102</v>
      </c>
      <c r="J56">
        <v>256</v>
      </c>
      <c r="K56">
        <v>100</v>
      </c>
      <c r="L56">
        <v>484</v>
      </c>
      <c r="M56">
        <v>475</v>
      </c>
      <c r="N56">
        <v>222</v>
      </c>
      <c r="O56">
        <v>661</v>
      </c>
      <c r="P56">
        <v>107</v>
      </c>
      <c r="Q56">
        <v>326</v>
      </c>
      <c r="R56">
        <v>320</v>
      </c>
      <c r="S56">
        <v>965</v>
      </c>
      <c r="T56">
        <v>379</v>
      </c>
      <c r="U56">
        <v>650</v>
      </c>
      <c r="V56">
        <v>684</v>
      </c>
      <c r="W56">
        <v>636</v>
      </c>
      <c r="X56">
        <v>446</v>
      </c>
      <c r="Y56">
        <v>166</v>
      </c>
      <c r="Z56">
        <v>766</v>
      </c>
      <c r="AA56">
        <v>709</v>
      </c>
      <c r="AB56">
        <v>932</v>
      </c>
      <c r="AC56">
        <v>1242</v>
      </c>
      <c r="AD56">
        <v>1950</v>
      </c>
      <c r="AE56">
        <v>288</v>
      </c>
      <c r="AF56">
        <v>633</v>
      </c>
      <c r="AG56">
        <v>52</v>
      </c>
      <c r="AH56">
        <v>292</v>
      </c>
      <c r="AI56">
        <v>251</v>
      </c>
      <c r="AJ56">
        <v>256</v>
      </c>
      <c r="AK56">
        <v>46</v>
      </c>
      <c r="AL56">
        <v>718</v>
      </c>
      <c r="AM56">
        <v>414</v>
      </c>
      <c r="AN56">
        <v>1175</v>
      </c>
      <c r="AO56">
        <v>300</v>
      </c>
      <c r="AP56">
        <v>342</v>
      </c>
      <c r="AQ56">
        <v>123</v>
      </c>
      <c r="AR56">
        <v>110</v>
      </c>
      <c r="AS56">
        <v>293</v>
      </c>
      <c r="AT56">
        <v>270</v>
      </c>
      <c r="AU56">
        <v>229</v>
      </c>
      <c r="AV56">
        <v>552</v>
      </c>
    </row>
    <row r="57" spans="1:48" x14ac:dyDescent="0.25">
      <c r="A57" t="s">
        <v>175</v>
      </c>
      <c r="B57">
        <v>56</v>
      </c>
      <c r="C57">
        <v>3</v>
      </c>
      <c r="D57" t="s">
        <v>82</v>
      </c>
      <c r="E57">
        <v>3017</v>
      </c>
      <c r="F57">
        <v>6180</v>
      </c>
      <c r="G57">
        <v>3258</v>
      </c>
      <c r="H57">
        <v>4737</v>
      </c>
      <c r="I57">
        <v>2407</v>
      </c>
      <c r="J57">
        <v>4679</v>
      </c>
      <c r="K57">
        <v>7088</v>
      </c>
      <c r="L57">
        <v>8180</v>
      </c>
      <c r="M57">
        <v>4823</v>
      </c>
      <c r="N57">
        <v>3701</v>
      </c>
      <c r="O57">
        <v>4972</v>
      </c>
      <c r="P57">
        <v>3419</v>
      </c>
      <c r="Q57">
        <v>3599</v>
      </c>
      <c r="R57">
        <v>5745</v>
      </c>
      <c r="S57">
        <v>5202</v>
      </c>
      <c r="T57">
        <v>9653</v>
      </c>
      <c r="U57">
        <v>10774</v>
      </c>
      <c r="V57">
        <v>17983</v>
      </c>
      <c r="W57">
        <v>9747</v>
      </c>
      <c r="X57">
        <v>1724</v>
      </c>
      <c r="Y57">
        <v>8281</v>
      </c>
      <c r="Z57">
        <v>8309</v>
      </c>
      <c r="AA57">
        <v>9105</v>
      </c>
      <c r="AB57">
        <v>13022</v>
      </c>
      <c r="AC57">
        <v>14630</v>
      </c>
      <c r="AD57">
        <v>10258</v>
      </c>
      <c r="AE57">
        <v>3368</v>
      </c>
      <c r="AF57">
        <v>5211</v>
      </c>
      <c r="AG57">
        <v>1126</v>
      </c>
      <c r="AH57">
        <v>4534</v>
      </c>
      <c r="AI57">
        <v>694</v>
      </c>
      <c r="AJ57">
        <v>5410</v>
      </c>
      <c r="AK57">
        <v>2880</v>
      </c>
      <c r="AL57">
        <v>5842</v>
      </c>
      <c r="AM57">
        <v>3612</v>
      </c>
      <c r="AN57">
        <v>7249</v>
      </c>
      <c r="AO57">
        <v>4963</v>
      </c>
      <c r="AP57">
        <v>2299</v>
      </c>
      <c r="AQ57">
        <v>1853</v>
      </c>
      <c r="AR57">
        <v>1775</v>
      </c>
      <c r="AS57">
        <v>4030</v>
      </c>
      <c r="AT57">
        <v>4134</v>
      </c>
      <c r="AU57">
        <v>4179</v>
      </c>
      <c r="AV57">
        <v>7608</v>
      </c>
    </row>
    <row r="58" spans="1:48" x14ac:dyDescent="0.25">
      <c r="A58" t="s">
        <v>170</v>
      </c>
      <c r="B58">
        <v>57</v>
      </c>
      <c r="C58">
        <v>1</v>
      </c>
      <c r="D58" t="s">
        <v>15</v>
      </c>
      <c r="E58">
        <v>25</v>
      </c>
      <c r="F58">
        <v>200</v>
      </c>
      <c r="G58">
        <v>30</v>
      </c>
      <c r="H58">
        <v>16</v>
      </c>
      <c r="I58">
        <v>30</v>
      </c>
      <c r="J58">
        <v>50</v>
      </c>
      <c r="K58">
        <v>240</v>
      </c>
      <c r="L58">
        <v>110.07622270512861</v>
      </c>
      <c r="M58">
        <v>75</v>
      </c>
      <c r="N58">
        <v>50</v>
      </c>
      <c r="O58">
        <v>51</v>
      </c>
      <c r="P58">
        <v>50</v>
      </c>
      <c r="Q58">
        <v>61.408226639291485</v>
      </c>
      <c r="R58">
        <v>100</v>
      </c>
      <c r="S58">
        <v>200</v>
      </c>
      <c r="T58">
        <v>35</v>
      </c>
      <c r="U58">
        <v>85.573975071663298</v>
      </c>
      <c r="V58">
        <v>10</v>
      </c>
      <c r="W58">
        <v>31</v>
      </c>
      <c r="X58">
        <v>8</v>
      </c>
      <c r="Y58">
        <v>45.963967061418487</v>
      </c>
      <c r="Z58">
        <v>40</v>
      </c>
      <c r="AA58">
        <v>97</v>
      </c>
      <c r="AB58">
        <v>169</v>
      </c>
      <c r="AC58">
        <v>89</v>
      </c>
      <c r="AD58">
        <v>54</v>
      </c>
      <c r="AE58">
        <v>45.989067834052399</v>
      </c>
      <c r="AF58">
        <v>45.915677113369284</v>
      </c>
      <c r="AG58">
        <v>25.313966731095537</v>
      </c>
      <c r="AH58">
        <v>34.851701860790989</v>
      </c>
      <c r="AI58">
        <v>17</v>
      </c>
      <c r="AJ58">
        <v>2</v>
      </c>
      <c r="AK58">
        <v>11</v>
      </c>
      <c r="AL58">
        <v>65</v>
      </c>
      <c r="AM58">
        <v>34</v>
      </c>
      <c r="AN58">
        <v>2</v>
      </c>
      <c r="AO58">
        <v>6</v>
      </c>
      <c r="AP58">
        <v>17</v>
      </c>
      <c r="AQ58">
        <v>8</v>
      </c>
      <c r="AR58">
        <v>11</v>
      </c>
      <c r="AS58">
        <v>84</v>
      </c>
      <c r="AT58">
        <v>71</v>
      </c>
      <c r="AU58">
        <v>30</v>
      </c>
      <c r="AV58">
        <v>86</v>
      </c>
    </row>
    <row r="59" spans="1:48" x14ac:dyDescent="0.25">
      <c r="A59" t="s">
        <v>166</v>
      </c>
      <c r="B59">
        <v>58</v>
      </c>
      <c r="C59">
        <v>4</v>
      </c>
      <c r="D59" t="s">
        <v>9</v>
      </c>
      <c r="E59">
        <v>75</v>
      </c>
      <c r="F59">
        <v>100</v>
      </c>
      <c r="G59">
        <v>20</v>
      </c>
      <c r="H59">
        <v>50</v>
      </c>
      <c r="I59">
        <v>50</v>
      </c>
      <c r="J59">
        <v>30</v>
      </c>
      <c r="K59">
        <v>200</v>
      </c>
      <c r="L59">
        <v>110</v>
      </c>
      <c r="M59">
        <v>4</v>
      </c>
      <c r="N59">
        <v>67</v>
      </c>
      <c r="O59">
        <v>50</v>
      </c>
      <c r="P59">
        <v>25</v>
      </c>
      <c r="Q59">
        <v>152.19149664833148</v>
      </c>
      <c r="R59">
        <v>195.39739991728996</v>
      </c>
      <c r="S59">
        <v>89.530350825814992</v>
      </c>
      <c r="T59">
        <v>171.04378779419295</v>
      </c>
      <c r="U59">
        <v>127.62870160101356</v>
      </c>
      <c r="V59">
        <v>100</v>
      </c>
      <c r="W59">
        <v>100</v>
      </c>
      <c r="X59">
        <v>176</v>
      </c>
      <c r="Y59">
        <v>220</v>
      </c>
      <c r="Z59">
        <v>282</v>
      </c>
      <c r="AA59">
        <v>422</v>
      </c>
      <c r="AB59">
        <v>927</v>
      </c>
      <c r="AC59">
        <v>782</v>
      </c>
      <c r="AD59">
        <v>263.46485749011788</v>
      </c>
      <c r="AE59">
        <v>424</v>
      </c>
      <c r="AF59">
        <v>321</v>
      </c>
      <c r="AG59">
        <v>713</v>
      </c>
      <c r="AH59">
        <v>682</v>
      </c>
      <c r="AI59">
        <v>645</v>
      </c>
      <c r="AJ59">
        <v>617</v>
      </c>
      <c r="AK59">
        <v>1509</v>
      </c>
      <c r="AL59">
        <v>328</v>
      </c>
      <c r="AM59">
        <v>1043</v>
      </c>
      <c r="AN59">
        <v>346</v>
      </c>
      <c r="AO59">
        <v>1238</v>
      </c>
      <c r="AP59">
        <v>105</v>
      </c>
      <c r="AQ59">
        <v>71</v>
      </c>
      <c r="AR59">
        <v>0</v>
      </c>
      <c r="AS59">
        <v>346</v>
      </c>
      <c r="AT59">
        <v>48</v>
      </c>
      <c r="AU59">
        <v>34</v>
      </c>
      <c r="AV59">
        <v>40</v>
      </c>
    </row>
    <row r="60" spans="1:48" x14ac:dyDescent="0.25">
      <c r="A60" t="s">
        <v>129</v>
      </c>
      <c r="B60">
        <v>59</v>
      </c>
      <c r="C60">
        <v>1</v>
      </c>
      <c r="D60" t="s">
        <v>15</v>
      </c>
      <c r="E60">
        <v>241</v>
      </c>
      <c r="F60">
        <v>340</v>
      </c>
      <c r="G60">
        <v>135</v>
      </c>
      <c r="H60">
        <v>475</v>
      </c>
      <c r="I60">
        <v>640</v>
      </c>
      <c r="J60">
        <v>350</v>
      </c>
      <c r="K60">
        <v>283</v>
      </c>
      <c r="L60">
        <v>223</v>
      </c>
      <c r="M60">
        <v>113</v>
      </c>
      <c r="N60">
        <v>501</v>
      </c>
      <c r="O60">
        <v>509</v>
      </c>
      <c r="P60">
        <v>353</v>
      </c>
      <c r="Q60">
        <v>265</v>
      </c>
      <c r="R60">
        <v>738</v>
      </c>
      <c r="S60">
        <v>268</v>
      </c>
      <c r="T60">
        <v>371</v>
      </c>
      <c r="U60">
        <v>162</v>
      </c>
      <c r="V60">
        <v>292</v>
      </c>
      <c r="W60">
        <v>573</v>
      </c>
      <c r="X60">
        <v>567</v>
      </c>
      <c r="Y60">
        <v>147</v>
      </c>
      <c r="Z60">
        <v>404</v>
      </c>
      <c r="AA60">
        <v>703</v>
      </c>
      <c r="AB60">
        <v>512</v>
      </c>
      <c r="AC60">
        <v>480</v>
      </c>
      <c r="AD60">
        <v>202</v>
      </c>
      <c r="AE60">
        <v>1491</v>
      </c>
      <c r="AF60">
        <v>1259</v>
      </c>
      <c r="AG60">
        <v>1968</v>
      </c>
      <c r="AH60">
        <v>234</v>
      </c>
      <c r="AI60">
        <v>631</v>
      </c>
      <c r="AJ60">
        <v>1520</v>
      </c>
      <c r="AK60">
        <v>941</v>
      </c>
      <c r="AL60">
        <v>624</v>
      </c>
      <c r="AM60">
        <v>224</v>
      </c>
      <c r="AN60">
        <v>383</v>
      </c>
      <c r="AO60">
        <v>508</v>
      </c>
      <c r="AP60">
        <v>238</v>
      </c>
      <c r="AQ60">
        <v>320</v>
      </c>
      <c r="AR60">
        <v>144</v>
      </c>
      <c r="AS60">
        <v>178</v>
      </c>
      <c r="AT60">
        <v>191</v>
      </c>
      <c r="AU60">
        <v>134</v>
      </c>
      <c r="AV60">
        <v>275</v>
      </c>
    </row>
    <row r="61" spans="1:48" x14ac:dyDescent="0.25">
      <c r="A61" t="s">
        <v>153</v>
      </c>
      <c r="B61">
        <v>60</v>
      </c>
      <c r="C61">
        <v>5</v>
      </c>
      <c r="D61" t="s">
        <v>138</v>
      </c>
      <c r="E61">
        <v>78000</v>
      </c>
      <c r="F61">
        <v>52000</v>
      </c>
      <c r="G61">
        <v>104000</v>
      </c>
      <c r="H61">
        <v>114400</v>
      </c>
      <c r="I61">
        <v>31200</v>
      </c>
      <c r="J61">
        <v>122401</v>
      </c>
      <c r="K61">
        <v>175417</v>
      </c>
      <c r="L61">
        <v>163327</v>
      </c>
      <c r="M61">
        <v>79954</v>
      </c>
      <c r="N61">
        <v>35581</v>
      </c>
      <c r="O61">
        <v>76083</v>
      </c>
      <c r="P61">
        <v>178852</v>
      </c>
      <c r="Q61">
        <v>92077</v>
      </c>
      <c r="R61">
        <v>132383</v>
      </c>
      <c r="S61">
        <v>120486</v>
      </c>
      <c r="T61">
        <v>99657</v>
      </c>
      <c r="U61">
        <v>28835</v>
      </c>
      <c r="V61">
        <v>38641</v>
      </c>
      <c r="W61">
        <v>71955</v>
      </c>
      <c r="X61">
        <v>201261</v>
      </c>
      <c r="Y61">
        <v>105536</v>
      </c>
      <c r="Z61">
        <v>79141</v>
      </c>
      <c r="AA61">
        <v>109836</v>
      </c>
      <c r="AB61">
        <v>84410</v>
      </c>
      <c r="AC61">
        <v>247918</v>
      </c>
      <c r="AD61">
        <v>140270</v>
      </c>
      <c r="AE61">
        <v>88786</v>
      </c>
      <c r="AF61">
        <v>60637</v>
      </c>
      <c r="AG61">
        <v>76665</v>
      </c>
      <c r="AH61">
        <v>41805</v>
      </c>
      <c r="AI61">
        <v>70281</v>
      </c>
      <c r="AJ61">
        <v>103692</v>
      </c>
      <c r="AK61">
        <v>123879</v>
      </c>
      <c r="AL61">
        <v>44691</v>
      </c>
      <c r="AM61">
        <v>43160</v>
      </c>
      <c r="AN61">
        <v>44915</v>
      </c>
      <c r="AO61">
        <v>101874</v>
      </c>
      <c r="AP61">
        <v>41698</v>
      </c>
      <c r="AQ61">
        <v>30140</v>
      </c>
      <c r="AR61">
        <v>46991</v>
      </c>
      <c r="AS61">
        <v>45872</v>
      </c>
      <c r="AT61">
        <v>43454</v>
      </c>
      <c r="AU61">
        <v>36855</v>
      </c>
      <c r="AV61">
        <v>82091</v>
      </c>
    </row>
    <row r="62" spans="1:48" s="59" customFormat="1" x14ac:dyDescent="0.25">
      <c r="A62" s="59" t="s">
        <v>139</v>
      </c>
      <c r="B62" s="59">
        <v>61</v>
      </c>
      <c r="C62" s="59">
        <v>5</v>
      </c>
      <c r="D62" s="59" t="s">
        <v>138</v>
      </c>
      <c r="E62" s="59">
        <v>50</v>
      </c>
      <c r="F62" s="59">
        <v>50</v>
      </c>
      <c r="G62" s="59">
        <v>50</v>
      </c>
      <c r="H62" s="59">
        <v>56</v>
      </c>
      <c r="I62" s="59">
        <v>100</v>
      </c>
      <c r="J62" s="59">
        <v>658</v>
      </c>
      <c r="K62" s="59">
        <v>1492</v>
      </c>
      <c r="L62" s="59">
        <v>4469</v>
      </c>
      <c r="M62" s="59">
        <v>17271</v>
      </c>
      <c r="N62" s="59">
        <v>14782</v>
      </c>
      <c r="O62" s="59">
        <v>3333</v>
      </c>
      <c r="P62" s="59">
        <v>1795</v>
      </c>
      <c r="Q62" s="59">
        <v>9353</v>
      </c>
      <c r="R62" s="59">
        <v>38177</v>
      </c>
      <c r="S62" s="59">
        <v>20182</v>
      </c>
      <c r="T62" s="59">
        <v>8237</v>
      </c>
      <c r="U62" s="59">
        <v>31825</v>
      </c>
      <c r="V62" s="59">
        <v>24268</v>
      </c>
      <c r="W62" s="59">
        <v>82805</v>
      </c>
      <c r="X62" s="59">
        <v>81512</v>
      </c>
      <c r="Y62" s="59">
        <v>77251</v>
      </c>
      <c r="Z62" s="59">
        <v>68931</v>
      </c>
      <c r="AA62" s="59">
        <v>71734</v>
      </c>
      <c r="AB62" s="59">
        <v>63476</v>
      </c>
      <c r="AC62" s="59">
        <v>55126</v>
      </c>
      <c r="AD62" s="59">
        <v>56828</v>
      </c>
      <c r="AE62" s="59">
        <v>33900</v>
      </c>
      <c r="AF62" s="59">
        <v>48392</v>
      </c>
      <c r="AG62" s="59">
        <v>26196</v>
      </c>
      <c r="AH62" s="59">
        <v>41797</v>
      </c>
      <c r="AI62" s="59">
        <v>15188</v>
      </c>
      <c r="AJ62" s="59">
        <v>81141</v>
      </c>
      <c r="AK62" s="59">
        <v>52985</v>
      </c>
      <c r="AL62" s="59">
        <v>20405</v>
      </c>
      <c r="AM62" s="59">
        <v>53121</v>
      </c>
      <c r="AN62" s="59">
        <v>60754</v>
      </c>
      <c r="AO62" s="59">
        <v>35234</v>
      </c>
      <c r="AP62" s="59">
        <v>39608</v>
      </c>
      <c r="AQ62" s="59">
        <v>25233</v>
      </c>
      <c r="AR62" s="59">
        <v>27148</v>
      </c>
      <c r="AS62" s="59">
        <v>74128</v>
      </c>
      <c r="AT62" s="59">
        <v>39528</v>
      </c>
      <c r="AU62" s="59">
        <v>58580</v>
      </c>
      <c r="AV62" s="59">
        <v>78740</v>
      </c>
    </row>
    <row r="63" spans="1:48" s="74" customFormat="1" x14ac:dyDescent="0.25">
      <c r="A63" s="74" t="s">
        <v>178</v>
      </c>
      <c r="B63" s="74">
        <v>62</v>
      </c>
      <c r="C63" s="74">
        <v>1</v>
      </c>
      <c r="D63" s="74" t="s">
        <v>15</v>
      </c>
      <c r="E63" s="74">
        <v>250</v>
      </c>
      <c r="F63" s="74">
        <v>200</v>
      </c>
      <c r="G63" s="74">
        <v>325</v>
      </c>
      <c r="H63" s="74">
        <v>300</v>
      </c>
      <c r="I63" s="74">
        <v>300</v>
      </c>
      <c r="J63" s="74">
        <v>0.01</v>
      </c>
      <c r="K63" s="74">
        <v>0.01</v>
      </c>
      <c r="L63" s="74">
        <v>300</v>
      </c>
      <c r="M63" s="74">
        <v>350</v>
      </c>
      <c r="N63" s="74">
        <v>850</v>
      </c>
      <c r="O63" s="74">
        <v>375</v>
      </c>
      <c r="P63" s="74">
        <v>450</v>
      </c>
      <c r="Q63" s="74">
        <v>150</v>
      </c>
      <c r="R63" s="74">
        <v>300</v>
      </c>
      <c r="S63" s="74">
        <v>175</v>
      </c>
      <c r="T63" s="74">
        <v>378.01743030827322</v>
      </c>
      <c r="U63" s="74">
        <v>289.1557769181087</v>
      </c>
      <c r="V63" s="74">
        <v>228.94153954973726</v>
      </c>
      <c r="W63" s="74">
        <v>261.79880013080998</v>
      </c>
      <c r="X63" s="74">
        <v>223.01752389532311</v>
      </c>
      <c r="Y63" s="74">
        <v>155.31295110169395</v>
      </c>
      <c r="Z63" s="74">
        <v>187.79903838426588</v>
      </c>
      <c r="AA63" s="74">
        <v>216.42911109711784</v>
      </c>
      <c r="AB63" s="74">
        <v>276</v>
      </c>
      <c r="AC63" s="74">
        <v>180</v>
      </c>
      <c r="AD63" s="74">
        <v>230.41536863858303</v>
      </c>
      <c r="AE63" s="74">
        <v>188</v>
      </c>
      <c r="AF63" s="74">
        <v>211</v>
      </c>
      <c r="AG63" s="74">
        <v>103</v>
      </c>
      <c r="AH63" s="74">
        <v>198</v>
      </c>
      <c r="AI63" s="74">
        <v>105</v>
      </c>
      <c r="AJ63" s="74">
        <v>85</v>
      </c>
      <c r="AK63" s="74">
        <v>178</v>
      </c>
      <c r="AL63" s="74">
        <v>103</v>
      </c>
      <c r="AM63" s="74">
        <v>124.1515250370874</v>
      </c>
      <c r="AN63" s="74">
        <v>75</v>
      </c>
      <c r="AO63" s="74">
        <v>176.67004644477092</v>
      </c>
      <c r="AP63" s="74">
        <v>49</v>
      </c>
      <c r="AQ63" s="74">
        <v>74</v>
      </c>
      <c r="AR63" s="74">
        <v>175</v>
      </c>
      <c r="AS63" s="74">
        <v>18</v>
      </c>
      <c r="AT63" s="74">
        <v>46</v>
      </c>
      <c r="AU63" s="74">
        <v>86</v>
      </c>
      <c r="AV63" s="74">
        <v>11</v>
      </c>
    </row>
    <row r="64" spans="1:48" x14ac:dyDescent="0.25">
      <c r="A64" t="s">
        <v>130</v>
      </c>
      <c r="B64">
        <v>63</v>
      </c>
      <c r="C64">
        <v>1</v>
      </c>
      <c r="D64" t="s">
        <v>15</v>
      </c>
      <c r="E64">
        <v>15</v>
      </c>
      <c r="F64">
        <v>20</v>
      </c>
      <c r="G64">
        <v>0</v>
      </c>
      <c r="H64">
        <v>58.817059605266955</v>
      </c>
      <c r="I64">
        <v>89.259753712044699</v>
      </c>
      <c r="J64">
        <v>15</v>
      </c>
      <c r="K64">
        <v>75</v>
      </c>
      <c r="L64">
        <v>20</v>
      </c>
      <c r="M64">
        <v>50</v>
      </c>
      <c r="N64">
        <v>55</v>
      </c>
      <c r="O64">
        <v>20</v>
      </c>
      <c r="P64">
        <v>30</v>
      </c>
      <c r="Q64">
        <v>0</v>
      </c>
      <c r="R64">
        <v>40</v>
      </c>
      <c r="S64">
        <v>6</v>
      </c>
      <c r="T64">
        <v>48</v>
      </c>
      <c r="U64">
        <v>35</v>
      </c>
      <c r="V64">
        <v>0</v>
      </c>
      <c r="W64">
        <v>0</v>
      </c>
      <c r="X64">
        <v>110</v>
      </c>
      <c r="Y64">
        <v>11</v>
      </c>
      <c r="Z64">
        <v>235</v>
      </c>
      <c r="AA64">
        <v>88</v>
      </c>
      <c r="AB64">
        <v>480</v>
      </c>
      <c r="AC64">
        <v>329</v>
      </c>
      <c r="AD64">
        <v>152</v>
      </c>
      <c r="AE64">
        <v>88.512483851383948</v>
      </c>
      <c r="AF64">
        <v>212</v>
      </c>
      <c r="AG64">
        <v>117</v>
      </c>
      <c r="AH64">
        <v>141</v>
      </c>
      <c r="AI64">
        <v>63</v>
      </c>
      <c r="AJ64">
        <v>152</v>
      </c>
      <c r="AK64">
        <v>228</v>
      </c>
      <c r="AL64">
        <v>105</v>
      </c>
      <c r="AM64">
        <v>142</v>
      </c>
      <c r="AN64">
        <v>80</v>
      </c>
      <c r="AO64">
        <v>100.62888891542724</v>
      </c>
      <c r="AP64">
        <v>134</v>
      </c>
      <c r="AQ64">
        <v>72</v>
      </c>
      <c r="AR64">
        <v>52</v>
      </c>
      <c r="AS64">
        <v>275</v>
      </c>
      <c r="AT64">
        <v>362</v>
      </c>
      <c r="AU64">
        <v>249</v>
      </c>
      <c r="AV64">
        <v>260</v>
      </c>
    </row>
    <row r="65" spans="1:48" x14ac:dyDescent="0.25">
      <c r="A65" t="s">
        <v>160</v>
      </c>
      <c r="B65">
        <v>64</v>
      </c>
      <c r="C65">
        <v>2</v>
      </c>
      <c r="D65" t="s">
        <v>18</v>
      </c>
      <c r="E65">
        <v>0</v>
      </c>
      <c r="F65">
        <v>10</v>
      </c>
      <c r="G65">
        <v>15</v>
      </c>
      <c r="H65">
        <v>5</v>
      </c>
      <c r="I65">
        <v>10</v>
      </c>
      <c r="J65">
        <v>11</v>
      </c>
      <c r="K65">
        <v>25</v>
      </c>
      <c r="L65">
        <v>25</v>
      </c>
      <c r="M65">
        <v>0</v>
      </c>
      <c r="N65">
        <v>10</v>
      </c>
      <c r="O65">
        <v>10</v>
      </c>
      <c r="P65">
        <v>0</v>
      </c>
      <c r="Q65">
        <v>0</v>
      </c>
      <c r="R65">
        <v>48.951895710471497</v>
      </c>
      <c r="S65">
        <v>4</v>
      </c>
      <c r="T65">
        <v>4</v>
      </c>
      <c r="U65">
        <v>38.134755058194756</v>
      </c>
      <c r="V65">
        <v>17</v>
      </c>
      <c r="W65">
        <v>54.238636333148278</v>
      </c>
      <c r="X65">
        <v>46.237542994171115</v>
      </c>
      <c r="Y65">
        <v>198</v>
      </c>
      <c r="Z65">
        <v>115</v>
      </c>
      <c r="AA65">
        <v>117</v>
      </c>
      <c r="AB65">
        <v>155</v>
      </c>
      <c r="AC65">
        <v>0</v>
      </c>
      <c r="AD65">
        <v>194</v>
      </c>
      <c r="AE65">
        <v>42</v>
      </c>
      <c r="AF65">
        <v>45</v>
      </c>
      <c r="AG65">
        <v>5</v>
      </c>
      <c r="AH65">
        <v>54</v>
      </c>
      <c r="AI65">
        <v>17</v>
      </c>
      <c r="AJ65">
        <v>34</v>
      </c>
      <c r="AK65">
        <v>0</v>
      </c>
      <c r="AL65">
        <v>22</v>
      </c>
      <c r="AM65">
        <v>29</v>
      </c>
      <c r="AN65">
        <v>54</v>
      </c>
      <c r="AO65">
        <v>5</v>
      </c>
      <c r="AP65">
        <v>8</v>
      </c>
      <c r="AQ65">
        <v>5</v>
      </c>
      <c r="AR65">
        <v>5</v>
      </c>
      <c r="AS65">
        <v>11</v>
      </c>
      <c r="AT65">
        <v>2</v>
      </c>
      <c r="AU65">
        <v>11</v>
      </c>
      <c r="AV65">
        <v>23</v>
      </c>
    </row>
    <row r="66" spans="1:48" x14ac:dyDescent="0.25">
      <c r="A66" t="s">
        <v>198</v>
      </c>
      <c r="B66">
        <v>65</v>
      </c>
      <c r="C66">
        <v>4</v>
      </c>
      <c r="D66" t="s">
        <v>9</v>
      </c>
      <c r="E66">
        <v>33.381169872029005</v>
      </c>
      <c r="F66">
        <v>13.74741282481401</v>
      </c>
      <c r="G66">
        <v>0</v>
      </c>
      <c r="H66">
        <v>10.360005723235231</v>
      </c>
      <c r="I66">
        <v>12.35458915344898</v>
      </c>
      <c r="J66">
        <v>20.711075921010007</v>
      </c>
      <c r="K66">
        <v>26.984682508175368</v>
      </c>
      <c r="L66">
        <v>42.57320106202625</v>
      </c>
      <c r="M66">
        <v>40.347831135822481</v>
      </c>
      <c r="N66">
        <v>55.077406696093405</v>
      </c>
      <c r="O66">
        <v>43.724907621139543</v>
      </c>
      <c r="P66">
        <v>47.655166580809301</v>
      </c>
      <c r="Q66">
        <v>12</v>
      </c>
      <c r="R66">
        <v>58.603969446412961</v>
      </c>
      <c r="S66">
        <v>150</v>
      </c>
      <c r="T66">
        <v>51.299786579210533</v>
      </c>
      <c r="U66">
        <v>128</v>
      </c>
      <c r="V66">
        <v>220</v>
      </c>
      <c r="W66">
        <v>275</v>
      </c>
      <c r="X66">
        <v>100</v>
      </c>
      <c r="Y66">
        <v>107</v>
      </c>
      <c r="Z66">
        <v>60</v>
      </c>
      <c r="AA66">
        <v>109</v>
      </c>
      <c r="AB66">
        <v>35</v>
      </c>
      <c r="AC66">
        <v>150</v>
      </c>
      <c r="AD66">
        <v>238</v>
      </c>
      <c r="AE66">
        <v>128.38075136655178</v>
      </c>
      <c r="AF66">
        <v>165</v>
      </c>
      <c r="AG66">
        <v>20</v>
      </c>
      <c r="AH66">
        <v>150</v>
      </c>
      <c r="AI66">
        <v>81</v>
      </c>
      <c r="AJ66">
        <v>55</v>
      </c>
      <c r="AK66">
        <v>70</v>
      </c>
      <c r="AL66">
        <v>97</v>
      </c>
      <c r="AM66">
        <v>160.65322166569669</v>
      </c>
      <c r="AN66">
        <v>105.02337157360614</v>
      </c>
      <c r="AO66">
        <v>226.24863601200846</v>
      </c>
      <c r="AP66">
        <v>117.20494035728221</v>
      </c>
      <c r="AQ66">
        <v>113.64563272074527</v>
      </c>
      <c r="AR66">
        <v>101</v>
      </c>
      <c r="AS66">
        <v>75</v>
      </c>
      <c r="AT66">
        <v>0</v>
      </c>
      <c r="AU66">
        <v>0</v>
      </c>
      <c r="AV66">
        <v>29</v>
      </c>
    </row>
    <row r="67" spans="1:48" x14ac:dyDescent="0.25">
      <c r="A67" t="s">
        <v>182</v>
      </c>
      <c r="B67">
        <v>66</v>
      </c>
      <c r="C67">
        <v>1</v>
      </c>
      <c r="D67" t="s">
        <v>15</v>
      </c>
      <c r="E67">
        <v>1.4511313409863265</v>
      </c>
      <c r="F67">
        <v>1.6904608689816387</v>
      </c>
      <c r="G67">
        <v>0</v>
      </c>
      <c r="H67">
        <v>0</v>
      </c>
      <c r="I67">
        <v>0</v>
      </c>
      <c r="J67">
        <v>2.7660472449984681</v>
      </c>
      <c r="K67">
        <v>4.1004440569757223</v>
      </c>
      <c r="L67">
        <v>5.0858999745564439</v>
      </c>
      <c r="M67">
        <v>4.9898504218737143</v>
      </c>
      <c r="N67">
        <v>4.2966291530284684</v>
      </c>
      <c r="O67">
        <v>3.1907606930417765</v>
      </c>
      <c r="P67">
        <v>3.9975795103523564</v>
      </c>
      <c r="Q67">
        <v>2.8372712165002154</v>
      </c>
      <c r="R67">
        <v>3.551702470599873</v>
      </c>
      <c r="S67">
        <v>3.5605595232264959</v>
      </c>
      <c r="T67">
        <v>5.1688741093097121</v>
      </c>
      <c r="U67">
        <v>3.9538118854744142</v>
      </c>
      <c r="V67">
        <v>3.1304641041528272</v>
      </c>
      <c r="W67">
        <v>3.5797424439951171</v>
      </c>
      <c r="X67">
        <v>3.0494612490350734</v>
      </c>
      <c r="Y67">
        <v>2.1236933205311552</v>
      </c>
      <c r="Z67">
        <v>2.5678963704559314</v>
      </c>
      <c r="AA67">
        <v>2.9593736668134909</v>
      </c>
      <c r="AB67">
        <v>3.913253914735686</v>
      </c>
      <c r="AC67">
        <v>4.7725866190918893</v>
      </c>
      <c r="AD67">
        <v>3.1506167119642448</v>
      </c>
      <c r="AE67">
        <v>2.1248530625332234</v>
      </c>
      <c r="AF67">
        <v>2.121462158891346</v>
      </c>
      <c r="AG67">
        <v>1.1695923024037693</v>
      </c>
      <c r="AH67">
        <v>6</v>
      </c>
      <c r="AI67">
        <v>2.6028761661981408</v>
      </c>
      <c r="AJ67">
        <v>23</v>
      </c>
      <c r="AK67">
        <v>5</v>
      </c>
      <c r="AL67">
        <v>0</v>
      </c>
      <c r="AM67">
        <v>0</v>
      </c>
      <c r="AN67">
        <v>2</v>
      </c>
      <c r="AO67">
        <v>0</v>
      </c>
      <c r="AP67">
        <v>0</v>
      </c>
      <c r="AQ67">
        <v>0</v>
      </c>
      <c r="AR67">
        <v>0</v>
      </c>
      <c r="AS67">
        <v>2</v>
      </c>
      <c r="AT67">
        <v>1.8178782164767506</v>
      </c>
      <c r="AU67">
        <v>5</v>
      </c>
      <c r="AV67">
        <v>0</v>
      </c>
    </row>
    <row r="68" spans="1:48" x14ac:dyDescent="0.25">
      <c r="A68" t="s">
        <v>184</v>
      </c>
      <c r="B68">
        <v>67</v>
      </c>
      <c r="C68">
        <v>1</v>
      </c>
      <c r="D68" t="s">
        <v>15</v>
      </c>
      <c r="E68">
        <v>10</v>
      </c>
      <c r="F68">
        <v>22.507572014914274</v>
      </c>
      <c r="G68">
        <v>0</v>
      </c>
      <c r="H68">
        <v>20</v>
      </c>
      <c r="I68">
        <v>0</v>
      </c>
      <c r="J68">
        <v>15</v>
      </c>
      <c r="K68">
        <v>54.595194481553399</v>
      </c>
      <c r="L68">
        <v>67.716006941313708</v>
      </c>
      <c r="M68">
        <v>66.437159105392382</v>
      </c>
      <c r="N68">
        <v>57.207292909078738</v>
      </c>
      <c r="O68">
        <v>42.483252584402543</v>
      </c>
      <c r="P68">
        <v>53.225608687886577</v>
      </c>
      <c r="Q68">
        <v>50</v>
      </c>
      <c r="R68">
        <v>47.288997100969794</v>
      </c>
      <c r="S68">
        <v>6</v>
      </c>
      <c r="T68">
        <v>68.820762660657522</v>
      </c>
      <c r="U68">
        <v>52.64286643875338</v>
      </c>
      <c r="V68">
        <v>41.680436120813376</v>
      </c>
      <c r="W68">
        <v>47.662334178491101</v>
      </c>
      <c r="X68">
        <v>40.601926923451821</v>
      </c>
      <c r="Y68">
        <v>28.275827750004296</v>
      </c>
      <c r="Z68">
        <v>34.190151067910719</v>
      </c>
      <c r="AA68">
        <v>39.402459499090035</v>
      </c>
      <c r="AB68">
        <v>52.102858998219929</v>
      </c>
      <c r="AC68">
        <v>146</v>
      </c>
      <c r="AD68">
        <v>41.948757192260032</v>
      </c>
      <c r="AE68">
        <v>28.291269087398874</v>
      </c>
      <c r="AF68">
        <v>28.246121039718144</v>
      </c>
      <c r="AG68">
        <v>15.572488815018033</v>
      </c>
      <c r="AH68">
        <v>23</v>
      </c>
      <c r="AI68">
        <v>14</v>
      </c>
      <c r="AJ68">
        <v>56</v>
      </c>
      <c r="AK68">
        <v>28</v>
      </c>
      <c r="AL68">
        <v>17</v>
      </c>
      <c r="AM68">
        <v>31</v>
      </c>
      <c r="AN68">
        <v>23</v>
      </c>
      <c r="AO68">
        <v>51</v>
      </c>
      <c r="AP68">
        <v>9</v>
      </c>
      <c r="AQ68">
        <v>26</v>
      </c>
      <c r="AR68">
        <v>62</v>
      </c>
      <c r="AS68">
        <v>35</v>
      </c>
      <c r="AT68">
        <v>12</v>
      </c>
      <c r="AU68">
        <v>143</v>
      </c>
      <c r="AV68">
        <v>46</v>
      </c>
    </row>
    <row r="69" spans="1:48" x14ac:dyDescent="0.25">
      <c r="A69" t="s">
        <v>191</v>
      </c>
      <c r="B69">
        <v>68</v>
      </c>
      <c r="C69">
        <v>5</v>
      </c>
      <c r="D69" t="s">
        <v>138</v>
      </c>
      <c r="E69">
        <v>305.92299723352136</v>
      </c>
      <c r="F69">
        <v>204.01399110832529</v>
      </c>
      <c r="G69">
        <v>407.83200335871749</v>
      </c>
      <c r="H69">
        <v>448.61912327174787</v>
      </c>
      <c r="I69">
        <v>122.68276506610147</v>
      </c>
      <c r="J69">
        <v>482.33924556771183</v>
      </c>
      <c r="K69">
        <v>693.4084755616276</v>
      </c>
      <c r="L69">
        <v>657.6893689147463</v>
      </c>
      <c r="M69">
        <v>381.08088925085349</v>
      </c>
      <c r="N69">
        <v>197.40166444166351</v>
      </c>
      <c r="O69">
        <v>311.27713963225284</v>
      </c>
      <c r="P69">
        <v>708.0598549807039</v>
      </c>
      <c r="Q69">
        <v>397.56271120302466</v>
      </c>
      <c r="R69">
        <v>668.52308018128645</v>
      </c>
      <c r="S69">
        <v>551.35907975458019</v>
      </c>
      <c r="T69">
        <v>422.89885795661183</v>
      </c>
      <c r="U69">
        <v>237.76155044439983</v>
      </c>
      <c r="V69">
        <v>246.57667947422928</v>
      </c>
      <c r="W69">
        <v>606.59376107443643</v>
      </c>
      <c r="X69">
        <v>891</v>
      </c>
      <c r="Y69">
        <v>528</v>
      </c>
      <c r="Z69">
        <v>419</v>
      </c>
      <c r="AA69">
        <v>820</v>
      </c>
      <c r="AB69">
        <v>153</v>
      </c>
      <c r="AC69">
        <v>1136</v>
      </c>
      <c r="AD69">
        <v>1138</v>
      </c>
      <c r="AE69">
        <v>1321</v>
      </c>
      <c r="AF69">
        <v>427.34757803169254</v>
      </c>
      <c r="AG69">
        <v>403.17162611706908</v>
      </c>
      <c r="AH69">
        <v>327.68448961840943</v>
      </c>
      <c r="AI69">
        <v>500</v>
      </c>
      <c r="AJ69">
        <v>250</v>
      </c>
      <c r="AK69">
        <v>693.23209458948782</v>
      </c>
      <c r="AL69">
        <v>50</v>
      </c>
      <c r="AM69">
        <v>9</v>
      </c>
      <c r="AN69">
        <v>414.17779877859027</v>
      </c>
      <c r="AO69">
        <v>50</v>
      </c>
      <c r="AP69">
        <v>318.68514046212283</v>
      </c>
      <c r="AQ69">
        <v>217.03874600655706</v>
      </c>
      <c r="AR69">
        <v>290.59353096599671</v>
      </c>
      <c r="AS69">
        <v>0.01</v>
      </c>
      <c r="AT69">
        <v>0.01</v>
      </c>
      <c r="AU69">
        <v>374.06484613684961</v>
      </c>
      <c r="AV69">
        <v>630.38951400466976</v>
      </c>
    </row>
    <row r="70" spans="1:48" x14ac:dyDescent="0.25">
      <c r="A70" t="s">
        <v>126</v>
      </c>
      <c r="B70">
        <v>69</v>
      </c>
      <c r="C70">
        <v>1</v>
      </c>
      <c r="D70" t="s">
        <v>15</v>
      </c>
      <c r="E70">
        <v>125.11548359228289</v>
      </c>
      <c r="F70">
        <v>145.7503005708023</v>
      </c>
      <c r="G70">
        <v>95.744559661741718</v>
      </c>
      <c r="H70">
        <v>121.73964228895936</v>
      </c>
      <c r="I70">
        <v>184.74997833335865</v>
      </c>
      <c r="J70">
        <v>238.48657176810713</v>
      </c>
      <c r="K70">
        <v>353.53728959014603</v>
      </c>
      <c r="L70">
        <v>438.50257853717221</v>
      </c>
      <c r="M70">
        <v>430.22125630719813</v>
      </c>
      <c r="N70">
        <v>370.4522251807137</v>
      </c>
      <c r="O70">
        <v>275.10505483661194</v>
      </c>
      <c r="P70">
        <v>300</v>
      </c>
      <c r="Q70">
        <v>400</v>
      </c>
      <c r="R70">
        <v>250</v>
      </c>
      <c r="S70">
        <v>300</v>
      </c>
      <c r="T70">
        <v>250</v>
      </c>
      <c r="U70">
        <v>250</v>
      </c>
      <c r="V70">
        <v>150</v>
      </c>
      <c r="W70">
        <v>292</v>
      </c>
      <c r="X70">
        <v>360</v>
      </c>
      <c r="Y70">
        <v>34</v>
      </c>
      <c r="Z70">
        <v>282</v>
      </c>
      <c r="AA70">
        <v>718</v>
      </c>
      <c r="AB70">
        <v>420</v>
      </c>
      <c r="AC70">
        <v>423</v>
      </c>
      <c r="AD70">
        <v>271.64387012922288</v>
      </c>
      <c r="AE70">
        <v>183.20327800286449</v>
      </c>
      <c r="AF70">
        <v>31</v>
      </c>
      <c r="AG70">
        <v>100.8413934617363</v>
      </c>
      <c r="AH70">
        <v>75</v>
      </c>
      <c r="AI70">
        <v>224.41808061519652</v>
      </c>
      <c r="AJ70">
        <v>154.75057069601596</v>
      </c>
      <c r="AK70">
        <v>163</v>
      </c>
      <c r="AL70">
        <v>97.763144770872131</v>
      </c>
      <c r="AM70">
        <v>146.36610805427102</v>
      </c>
      <c r="AN70">
        <v>300.13890607998331</v>
      </c>
      <c r="AO70">
        <v>208.28183222206724</v>
      </c>
      <c r="AP70">
        <v>123.63296571304579</v>
      </c>
      <c r="AQ70">
        <v>78.54819122329971</v>
      </c>
      <c r="AR70">
        <v>81.942276020562048</v>
      </c>
      <c r="AS70">
        <v>26</v>
      </c>
      <c r="AT70">
        <v>114</v>
      </c>
      <c r="AU70">
        <v>14</v>
      </c>
      <c r="AV70">
        <v>14</v>
      </c>
    </row>
    <row r="71" spans="1:48" x14ac:dyDescent="0.25">
      <c r="A71" t="s">
        <v>128</v>
      </c>
      <c r="B71">
        <v>70</v>
      </c>
      <c r="C71">
        <v>2</v>
      </c>
      <c r="D71" t="s">
        <v>18</v>
      </c>
      <c r="E71">
        <v>75</v>
      </c>
      <c r="F71">
        <v>20</v>
      </c>
      <c r="G71">
        <v>100</v>
      </c>
      <c r="H71">
        <v>20</v>
      </c>
      <c r="I71">
        <v>75</v>
      </c>
      <c r="J71">
        <v>50</v>
      </c>
      <c r="K71">
        <v>30</v>
      </c>
      <c r="L71">
        <v>25</v>
      </c>
      <c r="M71">
        <v>70.7683959477461</v>
      </c>
      <c r="N71">
        <v>78.942128493936536</v>
      </c>
      <c r="O71">
        <v>41.8748141352511</v>
      </c>
      <c r="P71">
        <v>81.147469096506072</v>
      </c>
      <c r="Q71">
        <v>69.171846411872792</v>
      </c>
      <c r="R71">
        <v>92.497918114917383</v>
      </c>
      <c r="S71">
        <v>51.417043609997648</v>
      </c>
      <c r="T71">
        <v>56.629459476974162</v>
      </c>
      <c r="U71">
        <v>72.05819916695836</v>
      </c>
      <c r="V71">
        <v>104.97557325261906</v>
      </c>
      <c r="W71">
        <v>102.4875721234864</v>
      </c>
      <c r="X71">
        <v>87.36896505511487</v>
      </c>
      <c r="Y71">
        <v>61.456402289456591</v>
      </c>
      <c r="Z71">
        <v>82.106921569051707</v>
      </c>
      <c r="AA71">
        <v>92.779248957663697</v>
      </c>
      <c r="AB71">
        <v>82.234658573298645</v>
      </c>
      <c r="AC71">
        <v>120.13360369606082</v>
      </c>
      <c r="AD71">
        <v>80.735218739280441</v>
      </c>
      <c r="AE71">
        <v>134</v>
      </c>
      <c r="AF71">
        <v>209</v>
      </c>
      <c r="AG71">
        <v>62</v>
      </c>
      <c r="AH71">
        <v>20</v>
      </c>
      <c r="AI71">
        <v>38</v>
      </c>
      <c r="AJ71">
        <v>32</v>
      </c>
      <c r="AK71">
        <v>63</v>
      </c>
      <c r="AL71">
        <v>88</v>
      </c>
      <c r="AM71">
        <v>78</v>
      </c>
      <c r="AN71">
        <v>38</v>
      </c>
      <c r="AO71">
        <v>94</v>
      </c>
      <c r="AP71">
        <v>48</v>
      </c>
      <c r="AQ71">
        <v>105</v>
      </c>
      <c r="AR71">
        <v>20</v>
      </c>
      <c r="AS71">
        <v>31</v>
      </c>
      <c r="AT71">
        <v>66</v>
      </c>
      <c r="AU71">
        <v>60</v>
      </c>
      <c r="AV71">
        <v>12</v>
      </c>
    </row>
    <row r="72" spans="1:48" s="74" customFormat="1" x14ac:dyDescent="0.25">
      <c r="A72" s="74" t="s">
        <v>140</v>
      </c>
      <c r="B72" s="74">
        <v>71</v>
      </c>
      <c r="C72" s="74">
        <v>2</v>
      </c>
      <c r="D72" s="74" t="s">
        <v>18</v>
      </c>
      <c r="E72" s="74">
        <v>541.71679871703202</v>
      </c>
      <c r="F72" s="74">
        <v>719.64801554575649</v>
      </c>
      <c r="G72" s="74">
        <v>687.11468701545346</v>
      </c>
      <c r="H72" s="74">
        <v>775.67866702657943</v>
      </c>
      <c r="I72" s="74">
        <v>861.68965842942919</v>
      </c>
      <c r="J72" s="74">
        <v>734.39168602557891</v>
      </c>
      <c r="K72" s="74">
        <v>990.7281316219827</v>
      </c>
      <c r="L72" s="74">
        <v>1687.3433636806933</v>
      </c>
      <c r="M72" s="74">
        <v>1474.4357200984061</v>
      </c>
      <c r="N72" s="74">
        <v>1644.7326877099476</v>
      </c>
      <c r="O72" s="74">
        <v>872.44766405451173</v>
      </c>
      <c r="P72" s="74">
        <v>1719</v>
      </c>
      <c r="Q72" s="74">
        <v>675</v>
      </c>
      <c r="R72" s="74">
        <v>1927.1630037237721</v>
      </c>
      <c r="S72" s="74">
        <v>1071.2568047524403</v>
      </c>
      <c r="T72" s="74">
        <v>797</v>
      </c>
      <c r="U72" s="74">
        <v>1501.3083362264963</v>
      </c>
      <c r="V72" s="74">
        <v>2187.1307505083832</v>
      </c>
      <c r="W72" s="74">
        <v>2135.2940840514098</v>
      </c>
      <c r="X72" s="74">
        <v>1324</v>
      </c>
      <c r="Y72" s="74">
        <v>1280.4234651753218</v>
      </c>
      <c r="Z72" s="74">
        <v>1710.6700866601143</v>
      </c>
      <c r="AA72" s="74">
        <v>1933.0244371808317</v>
      </c>
      <c r="AB72" s="74">
        <v>515</v>
      </c>
      <c r="AC72" s="74">
        <v>1510</v>
      </c>
      <c r="AD72" s="74">
        <v>692</v>
      </c>
      <c r="AE72" s="74">
        <v>720</v>
      </c>
      <c r="AF72" s="74">
        <v>1694.8468154813827</v>
      </c>
      <c r="AG72" s="74">
        <v>700.26618436123579</v>
      </c>
      <c r="AH72" s="74">
        <v>635</v>
      </c>
      <c r="AI72" s="74">
        <v>906</v>
      </c>
      <c r="AJ72" s="74">
        <v>1167.2745400297799</v>
      </c>
      <c r="AK72" s="74">
        <v>1040.6911227968631</v>
      </c>
      <c r="AL72" s="74">
        <v>587</v>
      </c>
      <c r="AM72" s="74">
        <v>1841</v>
      </c>
      <c r="AN72" s="74">
        <v>1112</v>
      </c>
      <c r="AO72" s="74">
        <v>1416</v>
      </c>
      <c r="AP72" s="74">
        <v>1122</v>
      </c>
      <c r="AQ72" s="74">
        <v>874</v>
      </c>
      <c r="AR72" s="74">
        <v>862</v>
      </c>
      <c r="AS72" s="74">
        <v>1443</v>
      </c>
      <c r="AT72" s="74">
        <v>2439</v>
      </c>
      <c r="AU72" s="74">
        <v>2353</v>
      </c>
      <c r="AV72" s="74">
        <v>3265</v>
      </c>
    </row>
    <row r="73" spans="1:48" x14ac:dyDescent="0.25">
      <c r="A73" t="s">
        <v>146</v>
      </c>
      <c r="B73">
        <v>72</v>
      </c>
      <c r="C73">
        <v>2</v>
      </c>
      <c r="D73" t="s">
        <v>18</v>
      </c>
      <c r="E73">
        <v>4.7286802290366499</v>
      </c>
      <c r="F73">
        <v>6.2818530845565332</v>
      </c>
      <c r="G73">
        <v>5.9978676003139508</v>
      </c>
      <c r="H73">
        <v>25</v>
      </c>
      <c r="I73">
        <v>15</v>
      </c>
      <c r="J73">
        <v>6.4105515175135386</v>
      </c>
      <c r="K73">
        <v>8.6481285783393851</v>
      </c>
      <c r="L73">
        <v>14.728927037761858</v>
      </c>
      <c r="M73">
        <v>0</v>
      </c>
      <c r="N73">
        <v>14.356975749771616</v>
      </c>
      <c r="O73">
        <v>7.6156508892735371</v>
      </c>
      <c r="P73">
        <v>14.758054643324751</v>
      </c>
      <c r="Q73">
        <v>12.580082909450097</v>
      </c>
      <c r="R73">
        <v>16.822327857326915</v>
      </c>
      <c r="S73">
        <v>9.3510684639113286</v>
      </c>
      <c r="T73">
        <v>10.29903540662753</v>
      </c>
      <c r="U73">
        <v>13.105015506285675</v>
      </c>
      <c r="V73">
        <v>19.091602776101823</v>
      </c>
      <c r="W73">
        <v>18.639117233111865</v>
      </c>
      <c r="X73">
        <v>15.889540053069046</v>
      </c>
      <c r="Y73">
        <v>11.1768974839044</v>
      </c>
      <c r="Z73">
        <v>14.932547479332513</v>
      </c>
      <c r="AA73">
        <v>16.873492681027887</v>
      </c>
      <c r="AB73">
        <v>46</v>
      </c>
      <c r="AC73">
        <v>0</v>
      </c>
      <c r="AD73">
        <v>7</v>
      </c>
      <c r="AE73">
        <v>0</v>
      </c>
      <c r="AF73">
        <v>0</v>
      </c>
      <c r="AG73">
        <v>6.1126678531924172</v>
      </c>
      <c r="AH73">
        <v>0</v>
      </c>
      <c r="AI73">
        <v>12.088563908951985</v>
      </c>
      <c r="AJ73">
        <v>10.189213353488583</v>
      </c>
      <c r="AK73">
        <v>9.0842586911801373</v>
      </c>
      <c r="AL73">
        <v>4.8877139094777622</v>
      </c>
      <c r="AM73">
        <v>6.6533639931760753</v>
      </c>
      <c r="AN73">
        <v>12.00843853996466</v>
      </c>
      <c r="AO73">
        <v>16.448238461030613</v>
      </c>
      <c r="AP73">
        <v>0</v>
      </c>
      <c r="AQ73">
        <v>29</v>
      </c>
      <c r="AR73">
        <v>0</v>
      </c>
      <c r="AS73">
        <v>0</v>
      </c>
      <c r="AT73">
        <v>34</v>
      </c>
      <c r="AU73">
        <v>8.2876005797741357</v>
      </c>
      <c r="AV73">
        <v>14.871496850705963</v>
      </c>
    </row>
    <row r="74" spans="1:48" x14ac:dyDescent="0.25">
      <c r="A74" t="s">
        <v>154</v>
      </c>
      <c r="B74">
        <v>73</v>
      </c>
      <c r="C74">
        <v>1</v>
      </c>
      <c r="D74" t="s">
        <v>15</v>
      </c>
      <c r="E74">
        <v>16.781827749899541</v>
      </c>
      <c r="F74">
        <v>19.54959025412068</v>
      </c>
      <c r="G74">
        <v>12.842285080153221</v>
      </c>
      <c r="H74">
        <v>16.329023783221945</v>
      </c>
      <c r="I74">
        <v>24.780644442790077</v>
      </c>
      <c r="J74">
        <v>31.988371488205534</v>
      </c>
      <c r="K74">
        <v>47.420205131462488</v>
      </c>
      <c r="L74">
        <v>58.816659054591355</v>
      </c>
      <c r="M74">
        <v>57.705879483473495</v>
      </c>
      <c r="N74">
        <v>49.689017330651083</v>
      </c>
      <c r="O74">
        <v>36.900034358972427</v>
      </c>
      <c r="P74">
        <v>46.230612532744637</v>
      </c>
      <c r="Q74">
        <v>32.812051873051786</v>
      </c>
      <c r="R74">
        <v>41.074200106509409</v>
      </c>
      <c r="S74">
        <v>41.176628830466782</v>
      </c>
      <c r="T74">
        <v>59.776225978547281</v>
      </c>
      <c r="U74">
        <v>8</v>
      </c>
      <c r="V74">
        <v>14</v>
      </c>
      <c r="W74">
        <v>45</v>
      </c>
      <c r="X74">
        <v>18</v>
      </c>
      <c r="Y74">
        <v>24.559772428691456</v>
      </c>
      <c r="Z74">
        <v>15</v>
      </c>
      <c r="AA74">
        <v>74</v>
      </c>
      <c r="AB74">
        <v>126</v>
      </c>
      <c r="AC74">
        <v>48</v>
      </c>
      <c r="AD74">
        <v>54</v>
      </c>
      <c r="AE74">
        <v>17</v>
      </c>
      <c r="AF74">
        <v>72</v>
      </c>
      <c r="AG74">
        <v>6</v>
      </c>
      <c r="AH74">
        <v>6</v>
      </c>
      <c r="AI74">
        <v>86</v>
      </c>
      <c r="AJ74">
        <v>14</v>
      </c>
      <c r="AK74">
        <v>11</v>
      </c>
      <c r="AL74">
        <v>25</v>
      </c>
      <c r="AM74">
        <v>31</v>
      </c>
      <c r="AN74">
        <v>28</v>
      </c>
      <c r="AO74">
        <v>5</v>
      </c>
      <c r="AP74">
        <v>22</v>
      </c>
      <c r="AQ74">
        <v>2</v>
      </c>
      <c r="AR74">
        <v>15</v>
      </c>
      <c r="AS74">
        <v>5.1271981917319627</v>
      </c>
      <c r="AT74">
        <v>21.023127429989731</v>
      </c>
      <c r="AU74">
        <v>9</v>
      </c>
      <c r="AV74">
        <v>26</v>
      </c>
    </row>
    <row r="75" spans="1:48" x14ac:dyDescent="0.25">
      <c r="A75" t="s">
        <v>158</v>
      </c>
      <c r="B75">
        <v>74</v>
      </c>
      <c r="C75">
        <v>2</v>
      </c>
      <c r="D75" t="s">
        <v>18</v>
      </c>
      <c r="E75">
        <v>25</v>
      </c>
      <c r="F75">
        <v>2.5775731791183571</v>
      </c>
      <c r="G75">
        <v>2</v>
      </c>
      <c r="H75">
        <v>2.7782589329114415</v>
      </c>
      <c r="I75">
        <v>0</v>
      </c>
      <c r="J75">
        <v>0</v>
      </c>
      <c r="K75">
        <v>5</v>
      </c>
      <c r="L75">
        <v>6.0435808954303631</v>
      </c>
      <c r="M75">
        <v>5.2810066648729226</v>
      </c>
      <c r="N75">
        <v>5.890961652197956</v>
      </c>
      <c r="O75">
        <v>3.1248577783487126</v>
      </c>
      <c r="P75">
        <v>6.0555325494821632</v>
      </c>
      <c r="Q75">
        <v>5.1618660707301327</v>
      </c>
      <c r="R75">
        <v>6.9025461932531789</v>
      </c>
      <c r="S75">
        <v>3.8369352075318215</v>
      </c>
      <c r="T75">
        <v>5</v>
      </c>
      <c r="U75">
        <v>5.3772566830599109</v>
      </c>
      <c r="V75">
        <v>0</v>
      </c>
      <c r="W75">
        <v>7.648012141612119</v>
      </c>
      <c r="X75">
        <v>0</v>
      </c>
      <c r="Y75">
        <v>0.01</v>
      </c>
      <c r="Z75">
        <v>0.01</v>
      </c>
      <c r="AA75">
        <v>0</v>
      </c>
      <c r="AB75">
        <v>0</v>
      </c>
      <c r="AC75">
        <v>3</v>
      </c>
      <c r="AD75">
        <v>8</v>
      </c>
      <c r="AE75">
        <v>4.3265403278826984</v>
      </c>
      <c r="AF75">
        <v>6.0704561117784515</v>
      </c>
      <c r="AG75">
        <v>2.5081530082233763</v>
      </c>
      <c r="AH75">
        <v>35</v>
      </c>
      <c r="AI75">
        <v>18</v>
      </c>
      <c r="AJ75">
        <v>0</v>
      </c>
      <c r="AK75">
        <v>0</v>
      </c>
      <c r="AL75">
        <v>6</v>
      </c>
      <c r="AM75">
        <v>14</v>
      </c>
      <c r="AN75">
        <v>0</v>
      </c>
      <c r="AO75">
        <v>0</v>
      </c>
      <c r="AP75">
        <v>0</v>
      </c>
      <c r="AQ75">
        <v>0</v>
      </c>
      <c r="AR75">
        <v>5</v>
      </c>
      <c r="AS75">
        <v>0</v>
      </c>
      <c r="AT75">
        <v>0</v>
      </c>
      <c r="AU75">
        <v>2</v>
      </c>
      <c r="AV75">
        <v>0</v>
      </c>
    </row>
    <row r="76" spans="1:48" x14ac:dyDescent="0.25">
      <c r="A76" t="s">
        <v>159</v>
      </c>
      <c r="B76">
        <v>75</v>
      </c>
      <c r="C76">
        <v>2</v>
      </c>
      <c r="D76" t="s">
        <v>18</v>
      </c>
      <c r="E76">
        <v>75</v>
      </c>
      <c r="F76">
        <v>25</v>
      </c>
      <c r="G76">
        <v>13</v>
      </c>
      <c r="H76">
        <v>15</v>
      </c>
      <c r="I76">
        <v>10</v>
      </c>
      <c r="J76">
        <v>0</v>
      </c>
      <c r="K76">
        <v>0</v>
      </c>
      <c r="L76">
        <v>125</v>
      </c>
      <c r="M76">
        <v>10</v>
      </c>
      <c r="N76">
        <v>100</v>
      </c>
      <c r="O76">
        <v>71.548063739226265</v>
      </c>
      <c r="P76">
        <v>0</v>
      </c>
      <c r="Q76">
        <v>118.18826610314143</v>
      </c>
      <c r="R76">
        <v>158.04361351088673</v>
      </c>
      <c r="S76">
        <v>87.85208936351566</v>
      </c>
      <c r="T76">
        <v>30</v>
      </c>
      <c r="U76">
        <v>123.11994055136081</v>
      </c>
      <c r="V76">
        <v>20</v>
      </c>
      <c r="W76">
        <v>48</v>
      </c>
      <c r="X76">
        <v>149.28019167806409</v>
      </c>
      <c r="Y76">
        <v>105.00551892570698</v>
      </c>
      <c r="Z76">
        <v>140.28936913916496</v>
      </c>
      <c r="AA76">
        <v>215</v>
      </c>
      <c r="AB76">
        <v>300</v>
      </c>
      <c r="AC76">
        <v>345</v>
      </c>
      <c r="AD76">
        <v>245</v>
      </c>
      <c r="AE76">
        <v>265</v>
      </c>
      <c r="AF76">
        <v>111</v>
      </c>
      <c r="AG76">
        <v>97</v>
      </c>
      <c r="AH76">
        <v>639</v>
      </c>
      <c r="AI76">
        <v>189</v>
      </c>
      <c r="AJ76">
        <v>225</v>
      </c>
      <c r="AK76">
        <v>37</v>
      </c>
      <c r="AL76">
        <v>35</v>
      </c>
      <c r="AM76">
        <v>80</v>
      </c>
      <c r="AN76">
        <v>75</v>
      </c>
      <c r="AO76">
        <v>117</v>
      </c>
      <c r="AP76">
        <v>37</v>
      </c>
      <c r="AQ76">
        <v>35</v>
      </c>
      <c r="AR76">
        <v>42</v>
      </c>
      <c r="AS76">
        <v>11</v>
      </c>
      <c r="AT76">
        <v>25</v>
      </c>
      <c r="AU76">
        <v>51</v>
      </c>
      <c r="AV76">
        <v>28</v>
      </c>
    </row>
    <row r="77" spans="1:48" x14ac:dyDescent="0.25">
      <c r="A77" t="s">
        <v>171</v>
      </c>
      <c r="B77">
        <v>76</v>
      </c>
      <c r="C77">
        <v>1</v>
      </c>
      <c r="D77" t="s">
        <v>15</v>
      </c>
      <c r="E77">
        <v>100.45633114007668</v>
      </c>
      <c r="F77">
        <v>117.02420865525322</v>
      </c>
      <c r="G77">
        <v>76.874155892516583</v>
      </c>
      <c r="H77">
        <v>97.745838225002075</v>
      </c>
      <c r="I77">
        <v>148.33739572999266</v>
      </c>
      <c r="J77">
        <v>191.48298306602501</v>
      </c>
      <c r="K77">
        <v>283.85822452772311</v>
      </c>
      <c r="L77">
        <v>352.0776083866304</v>
      </c>
      <c r="M77">
        <v>150</v>
      </c>
      <c r="N77">
        <v>297.43937629337034</v>
      </c>
      <c r="O77">
        <v>25</v>
      </c>
      <c r="P77">
        <v>300</v>
      </c>
      <c r="Q77">
        <v>300</v>
      </c>
      <c r="R77">
        <v>200</v>
      </c>
      <c r="S77">
        <v>250</v>
      </c>
      <c r="T77">
        <v>350</v>
      </c>
      <c r="U77">
        <v>250</v>
      </c>
      <c r="V77">
        <v>150</v>
      </c>
      <c r="W77">
        <v>251</v>
      </c>
      <c r="X77">
        <v>125</v>
      </c>
      <c r="Y77">
        <v>162</v>
      </c>
      <c r="Z77">
        <v>218</v>
      </c>
      <c r="AA77">
        <v>383</v>
      </c>
      <c r="AB77">
        <v>149</v>
      </c>
      <c r="AC77">
        <v>584</v>
      </c>
      <c r="AD77">
        <v>218.10527191661146</v>
      </c>
      <c r="AE77">
        <v>147.09553632048173</v>
      </c>
      <c r="AF77">
        <v>60</v>
      </c>
      <c r="AG77">
        <v>80.966448942725208</v>
      </c>
      <c r="AH77">
        <v>48</v>
      </c>
      <c r="AI77">
        <v>180.1872667779956</v>
      </c>
      <c r="AJ77">
        <v>124.25060534165318</v>
      </c>
      <c r="AK77">
        <v>22</v>
      </c>
      <c r="AL77">
        <v>78.494895774864275</v>
      </c>
      <c r="AM77">
        <v>117.51864594392215</v>
      </c>
      <c r="AN77">
        <v>240.98418893895305</v>
      </c>
      <c r="AO77">
        <v>167.23132986757224</v>
      </c>
      <c r="AP77">
        <v>99.266004389767815</v>
      </c>
      <c r="AQ77">
        <v>63.067039197925112</v>
      </c>
      <c r="AR77">
        <v>65.79217997604313</v>
      </c>
      <c r="AS77">
        <v>18</v>
      </c>
      <c r="AT77">
        <v>37</v>
      </c>
      <c r="AU77">
        <v>5</v>
      </c>
      <c r="AV77">
        <v>74</v>
      </c>
    </row>
    <row r="78" spans="1:48" x14ac:dyDescent="0.25">
      <c r="A78" t="s">
        <v>172</v>
      </c>
      <c r="B78">
        <v>77</v>
      </c>
      <c r="C78">
        <v>1</v>
      </c>
      <c r="D78" t="s">
        <v>15</v>
      </c>
      <c r="E78">
        <v>128.14134006409489</v>
      </c>
      <c r="F78">
        <v>149.27519994846742</v>
      </c>
      <c r="G78">
        <v>98.06009477518424</v>
      </c>
      <c r="H78">
        <v>124.6838556982008</v>
      </c>
      <c r="I78">
        <v>189.21806574793351</v>
      </c>
      <c r="J78">
        <v>244.25425228138693</v>
      </c>
      <c r="K78">
        <v>100</v>
      </c>
      <c r="L78">
        <v>100</v>
      </c>
      <c r="M78">
        <v>100</v>
      </c>
      <c r="N78">
        <v>379.41143015579928</v>
      </c>
      <c r="O78">
        <v>281.75833536357067</v>
      </c>
      <c r="P78">
        <v>100</v>
      </c>
      <c r="Q78">
        <v>300</v>
      </c>
      <c r="R78">
        <v>400</v>
      </c>
      <c r="S78">
        <v>250</v>
      </c>
      <c r="T78">
        <v>250</v>
      </c>
      <c r="U78">
        <v>125</v>
      </c>
      <c r="V78">
        <v>150</v>
      </c>
      <c r="W78">
        <v>358</v>
      </c>
      <c r="X78">
        <v>880</v>
      </c>
      <c r="Y78">
        <v>52</v>
      </c>
      <c r="Z78">
        <v>231</v>
      </c>
      <c r="AA78">
        <v>240</v>
      </c>
      <c r="AB78">
        <v>281</v>
      </c>
      <c r="AC78">
        <v>489</v>
      </c>
      <c r="AD78">
        <v>278.21344360533317</v>
      </c>
      <c r="AE78">
        <v>187.6339592302065</v>
      </c>
      <c r="AF78">
        <v>214</v>
      </c>
      <c r="AG78">
        <v>103.28019299535019</v>
      </c>
      <c r="AH78">
        <v>142.19385419264634</v>
      </c>
      <c r="AI78">
        <v>229</v>
      </c>
      <c r="AJ78">
        <v>158.49313718269516</v>
      </c>
      <c r="AK78">
        <v>103.54520378684225</v>
      </c>
      <c r="AL78">
        <v>100.12749837297005</v>
      </c>
      <c r="AM78">
        <v>149.90590043323178</v>
      </c>
      <c r="AN78">
        <v>307.39761799420324</v>
      </c>
      <c r="AO78">
        <v>213.31902595616779</v>
      </c>
      <c r="AP78">
        <v>126.62296821866059</v>
      </c>
      <c r="AQ78">
        <v>80.44784061870682</v>
      </c>
      <c r="AR78">
        <v>83.924009688473291</v>
      </c>
      <c r="AS78">
        <v>15</v>
      </c>
      <c r="AT78">
        <v>255</v>
      </c>
      <c r="AU78">
        <v>29</v>
      </c>
      <c r="AV78">
        <v>88</v>
      </c>
    </row>
    <row r="79" spans="1:48" x14ac:dyDescent="0.25">
      <c r="A79" t="s">
        <v>177</v>
      </c>
      <c r="B79">
        <v>78</v>
      </c>
      <c r="C79">
        <v>2</v>
      </c>
      <c r="D79" t="s">
        <v>18</v>
      </c>
      <c r="E79">
        <v>25</v>
      </c>
      <c r="F79">
        <v>8.9850381576853948</v>
      </c>
      <c r="G79">
        <v>8.5788490319923199</v>
      </c>
      <c r="H79">
        <v>9.6845989577987339</v>
      </c>
      <c r="I79">
        <v>0</v>
      </c>
      <c r="J79">
        <v>0</v>
      </c>
      <c r="K79">
        <v>0</v>
      </c>
      <c r="L79">
        <v>2</v>
      </c>
      <c r="M79">
        <v>18.408806694327914</v>
      </c>
      <c r="N79">
        <v>125</v>
      </c>
      <c r="O79">
        <v>10.89279117398589</v>
      </c>
      <c r="P79">
        <v>0</v>
      </c>
      <c r="Q79">
        <v>17.993500237396038</v>
      </c>
      <c r="R79">
        <v>24.061253210579771</v>
      </c>
      <c r="S79">
        <v>13.374987576504775</v>
      </c>
      <c r="T79">
        <v>14.730880342203026</v>
      </c>
      <c r="U79">
        <v>18.744319995402765</v>
      </c>
      <c r="V79">
        <v>27.307034584486317</v>
      </c>
      <c r="W79">
        <v>11</v>
      </c>
      <c r="X79">
        <v>2</v>
      </c>
      <c r="Y79">
        <v>11</v>
      </c>
      <c r="Z79">
        <v>45</v>
      </c>
      <c r="AA79">
        <v>11</v>
      </c>
      <c r="AB79">
        <v>0.01</v>
      </c>
      <c r="AC79">
        <v>15</v>
      </c>
      <c r="AD79">
        <v>25</v>
      </c>
      <c r="AE79">
        <v>40</v>
      </c>
      <c r="AF79">
        <v>17</v>
      </c>
      <c r="AG79">
        <v>17</v>
      </c>
      <c r="AH79">
        <v>60</v>
      </c>
      <c r="AI79">
        <v>25</v>
      </c>
      <c r="AJ79">
        <v>9</v>
      </c>
      <c r="AK79">
        <v>5</v>
      </c>
      <c r="AL79">
        <v>2</v>
      </c>
      <c r="AM79">
        <v>18</v>
      </c>
      <c r="AN79">
        <v>8</v>
      </c>
      <c r="AO79">
        <v>5</v>
      </c>
      <c r="AP79">
        <v>3</v>
      </c>
      <c r="AQ79">
        <v>9</v>
      </c>
      <c r="AR79">
        <v>2</v>
      </c>
      <c r="AS79">
        <v>2</v>
      </c>
      <c r="AT79">
        <v>9</v>
      </c>
      <c r="AU79">
        <v>9</v>
      </c>
      <c r="AV79">
        <v>0</v>
      </c>
    </row>
    <row r="80" spans="1:48" x14ac:dyDescent="0.25">
      <c r="A80" t="s">
        <v>186</v>
      </c>
      <c r="B80">
        <v>79</v>
      </c>
      <c r="C80">
        <v>2</v>
      </c>
      <c r="D80" t="s">
        <v>18</v>
      </c>
      <c r="E80">
        <v>19.803874463486824</v>
      </c>
      <c r="F80">
        <v>0</v>
      </c>
      <c r="G80">
        <v>25</v>
      </c>
      <c r="H80">
        <v>25</v>
      </c>
      <c r="I80">
        <v>15</v>
      </c>
      <c r="J80">
        <v>26.847608919501145</v>
      </c>
      <c r="K80">
        <v>36.218658148600845</v>
      </c>
      <c r="L80">
        <v>61.685249987207783</v>
      </c>
      <c r="M80">
        <v>53.901854205858086</v>
      </c>
      <c r="N80">
        <v>60.127505276821296</v>
      </c>
      <c r="O80">
        <v>31.894606288410543</v>
      </c>
      <c r="P80">
        <v>61.807237395120751</v>
      </c>
      <c r="Q80">
        <v>52.6858173130816</v>
      </c>
      <c r="R80">
        <v>70.45248418880503</v>
      </c>
      <c r="S80">
        <v>39.162594421508977</v>
      </c>
      <c r="T80">
        <v>43.132712386730681</v>
      </c>
      <c r="U80">
        <v>54.884252975042564</v>
      </c>
      <c r="V80">
        <v>79.956285130682843</v>
      </c>
      <c r="W80">
        <v>78.061260207049685</v>
      </c>
      <c r="X80">
        <v>66.545936974391722</v>
      </c>
      <c r="Y80">
        <v>46.809228778744917</v>
      </c>
      <c r="Z80">
        <v>62.538019357888302</v>
      </c>
      <c r="AA80">
        <v>70.666764219689441</v>
      </c>
      <c r="AB80">
        <v>97</v>
      </c>
      <c r="AC80">
        <v>86</v>
      </c>
      <c r="AD80">
        <v>139</v>
      </c>
      <c r="AE80">
        <v>43</v>
      </c>
      <c r="AF80">
        <v>126</v>
      </c>
      <c r="AG80">
        <v>25.600061949267388</v>
      </c>
      <c r="AH80">
        <v>11</v>
      </c>
      <c r="AI80">
        <v>50.627318934927118</v>
      </c>
      <c r="AJ80">
        <v>42.672773873584667</v>
      </c>
      <c r="AK80">
        <v>38.045185971609122</v>
      </c>
      <c r="AL80">
        <v>20.469912954223108</v>
      </c>
      <c r="AM80">
        <v>27.864515868857069</v>
      </c>
      <c r="AN80">
        <v>50.291751150279346</v>
      </c>
      <c r="AO80">
        <v>68.885785007735038</v>
      </c>
      <c r="AP80">
        <v>32</v>
      </c>
      <c r="AQ80">
        <v>58</v>
      </c>
      <c r="AR80">
        <v>9</v>
      </c>
      <c r="AS80">
        <v>12</v>
      </c>
      <c r="AT80">
        <v>22</v>
      </c>
      <c r="AU80">
        <v>34.708754564866034</v>
      </c>
      <c r="AV80">
        <v>62.282337237999329</v>
      </c>
    </row>
    <row r="81" spans="1:48" x14ac:dyDescent="0.25">
      <c r="A81" t="s">
        <v>187</v>
      </c>
      <c r="B81">
        <v>80</v>
      </c>
      <c r="C81">
        <v>1</v>
      </c>
      <c r="D81" t="s">
        <v>15</v>
      </c>
      <c r="E81">
        <v>20.518322216736895</v>
      </c>
      <c r="F81">
        <v>23.90233042653108</v>
      </c>
      <c r="G81">
        <v>15.701635554884893</v>
      </c>
      <c r="H81">
        <v>19.964700893257206</v>
      </c>
      <c r="I81">
        <v>30.298085226062518</v>
      </c>
      <c r="J81">
        <v>39.110621510676012</v>
      </c>
      <c r="K81">
        <v>57.978371782354401</v>
      </c>
      <c r="L81">
        <v>71.912260105356239</v>
      </c>
      <c r="M81">
        <v>70.554164104632989</v>
      </c>
      <c r="N81">
        <v>60.752337791658348</v>
      </c>
      <c r="O81">
        <v>45.115872124869774</v>
      </c>
      <c r="P81">
        <v>56.523914937075176</v>
      </c>
      <c r="Q81">
        <v>40.117695340282118</v>
      </c>
      <c r="R81">
        <v>50.219420979644717</v>
      </c>
      <c r="S81">
        <v>50.344655584225805</v>
      </c>
      <c r="T81">
        <v>73.08547577814663</v>
      </c>
      <c r="U81">
        <v>0</v>
      </c>
      <c r="V81">
        <v>49</v>
      </c>
      <c r="W81">
        <v>34</v>
      </c>
      <c r="X81">
        <v>25</v>
      </c>
      <c r="Y81">
        <v>37</v>
      </c>
      <c r="Z81">
        <v>34</v>
      </c>
      <c r="AA81">
        <v>48</v>
      </c>
      <c r="AB81">
        <v>268</v>
      </c>
      <c r="AC81">
        <v>212</v>
      </c>
      <c r="AD81">
        <v>6</v>
      </c>
      <c r="AE81">
        <v>15</v>
      </c>
      <c r="AF81">
        <v>77</v>
      </c>
      <c r="AG81">
        <v>49</v>
      </c>
      <c r="AH81">
        <v>0</v>
      </c>
      <c r="AI81">
        <v>20</v>
      </c>
      <c r="AJ81">
        <v>5</v>
      </c>
      <c r="AK81">
        <v>45</v>
      </c>
      <c r="AL81">
        <v>5</v>
      </c>
      <c r="AM81">
        <v>0</v>
      </c>
      <c r="AN81">
        <v>15</v>
      </c>
      <c r="AO81">
        <v>20</v>
      </c>
      <c r="AP81">
        <v>8</v>
      </c>
      <c r="AQ81">
        <v>0</v>
      </c>
      <c r="AR81">
        <v>2</v>
      </c>
      <c r="AS81">
        <v>6.2687751378962222</v>
      </c>
      <c r="AT81">
        <v>25.703952456229405</v>
      </c>
      <c r="AU81">
        <v>3</v>
      </c>
      <c r="AV81">
        <v>11</v>
      </c>
    </row>
    <row r="82" spans="1:48" x14ac:dyDescent="0.25">
      <c r="A82" t="s">
        <v>196</v>
      </c>
      <c r="B82">
        <v>81</v>
      </c>
      <c r="C82">
        <v>2</v>
      </c>
      <c r="D82" t="s">
        <v>18</v>
      </c>
      <c r="E82">
        <v>3.5364061541940758E-2</v>
      </c>
      <c r="F82">
        <v>4.6979670504162116E-2</v>
      </c>
      <c r="G82">
        <v>4.4855847438245368E-2</v>
      </c>
      <c r="H82">
        <v>5.0637433032286863E-2</v>
      </c>
      <c r="I82">
        <v>5.6252355811970786E-2</v>
      </c>
      <c r="J82">
        <v>4.7942158784823483E-2</v>
      </c>
      <c r="K82">
        <v>6.4676175265358654E-2</v>
      </c>
      <c r="L82">
        <v>0.11015223212001392</v>
      </c>
      <c r="M82">
        <v>9.6253311081889448E-2</v>
      </c>
      <c r="N82">
        <v>0.10737054513718089</v>
      </c>
      <c r="O82">
        <v>5.6954654086447398E-2</v>
      </c>
      <c r="P82">
        <v>0.11037006677700135</v>
      </c>
      <c r="Q82">
        <v>9.4081816630502871E-2</v>
      </c>
      <c r="R82">
        <v>0.12580800748000898</v>
      </c>
      <c r="S82">
        <v>6.9933204324123185E-2</v>
      </c>
      <c r="T82">
        <v>7.7022700690590515E-2</v>
      </c>
      <c r="U82">
        <v>9.800759459829031E-2</v>
      </c>
      <c r="V82">
        <v>0.14277908059050509</v>
      </c>
      <c r="W82">
        <v>0.13939510751258874</v>
      </c>
      <c r="X82">
        <v>0.11883203031141382</v>
      </c>
      <c r="Y82">
        <v>8.3587908533473074E-2</v>
      </c>
      <c r="Z82">
        <v>0.11167503456765769</v>
      </c>
      <c r="AA82">
        <v>0.12619065039230257</v>
      </c>
      <c r="AB82">
        <v>0</v>
      </c>
      <c r="AC82">
        <v>0</v>
      </c>
      <c r="AD82">
        <v>1</v>
      </c>
      <c r="AE82">
        <v>0</v>
      </c>
      <c r="AF82">
        <v>0</v>
      </c>
      <c r="AG82">
        <v>4.5714396337977484E-2</v>
      </c>
      <c r="AH82">
        <v>0</v>
      </c>
      <c r="AI82">
        <v>9.0405926669512721E-2</v>
      </c>
      <c r="AJ82">
        <v>7.6201381917115479E-2</v>
      </c>
      <c r="AK82">
        <v>6.7937832092159159E-2</v>
      </c>
      <c r="AL82">
        <v>3.6553415989684125E-2</v>
      </c>
      <c r="AM82">
        <v>4.9758064051530486E-2</v>
      </c>
      <c r="AN82">
        <v>8.9806698482641695E-2</v>
      </c>
      <c r="AO82">
        <v>0.12301033037095545</v>
      </c>
      <c r="AP82">
        <v>0</v>
      </c>
      <c r="AQ82">
        <v>0</v>
      </c>
      <c r="AR82">
        <v>0</v>
      </c>
      <c r="AS82">
        <v>0</v>
      </c>
      <c r="AT82">
        <v>0</v>
      </c>
      <c r="AU82">
        <v>6.1979918865832213E-2</v>
      </c>
      <c r="AV82">
        <v>0</v>
      </c>
    </row>
    <row r="83" spans="1:48" x14ac:dyDescent="0.25">
      <c r="A83" t="s">
        <v>200</v>
      </c>
      <c r="B83">
        <v>82</v>
      </c>
      <c r="C83">
        <v>4</v>
      </c>
      <c r="D83" t="s">
        <v>9</v>
      </c>
      <c r="E83">
        <v>14.550376562526472</v>
      </c>
      <c r="F83">
        <v>5.9923014720092302</v>
      </c>
      <c r="G83">
        <v>9.3637352467490516</v>
      </c>
      <c r="H83">
        <v>4.515778956845752</v>
      </c>
      <c r="I83">
        <v>5.3851894690071029</v>
      </c>
      <c r="J83">
        <v>9.0276630453950339</v>
      </c>
      <c r="K83">
        <v>11.762238813660463</v>
      </c>
      <c r="L83">
        <v>18.557052053579852</v>
      </c>
      <c r="M83">
        <v>17.587044994470801</v>
      </c>
      <c r="N83">
        <v>24.007457215784651</v>
      </c>
      <c r="O83">
        <v>19.059064541125167</v>
      </c>
      <c r="P83">
        <v>20.772208450421076</v>
      </c>
      <c r="Q83">
        <v>19.896254195976997</v>
      </c>
      <c r="R83">
        <v>25.544635696504255</v>
      </c>
      <c r="S83">
        <v>11.704455620155329</v>
      </c>
      <c r="T83">
        <v>22.36084640431401</v>
      </c>
      <c r="U83">
        <v>16.685118062961777</v>
      </c>
      <c r="V83">
        <v>30</v>
      </c>
      <c r="W83">
        <v>80</v>
      </c>
      <c r="X83">
        <v>117</v>
      </c>
      <c r="Y83">
        <v>99</v>
      </c>
      <c r="Z83">
        <v>40</v>
      </c>
      <c r="AA83">
        <v>191</v>
      </c>
      <c r="AB83">
        <v>149</v>
      </c>
      <c r="AC83">
        <v>52.460827663833726</v>
      </c>
      <c r="AD83">
        <v>34.443210637732491</v>
      </c>
      <c r="AE83">
        <v>55.959341237128164</v>
      </c>
      <c r="AF83">
        <v>104.70205358443998</v>
      </c>
      <c r="AG83">
        <v>45</v>
      </c>
      <c r="AH83">
        <v>54.84451380115982</v>
      </c>
      <c r="AI83">
        <v>5</v>
      </c>
      <c r="AJ83">
        <v>15</v>
      </c>
      <c r="AK83">
        <v>2</v>
      </c>
      <c r="AL83">
        <v>27.346955900362957</v>
      </c>
      <c r="AM83">
        <v>0</v>
      </c>
      <c r="AN83">
        <v>9</v>
      </c>
      <c r="AO83">
        <v>5</v>
      </c>
      <c r="AP83">
        <v>51.087964374067461</v>
      </c>
      <c r="AQ83">
        <v>2</v>
      </c>
      <c r="AR83">
        <v>12</v>
      </c>
      <c r="AS83">
        <v>0</v>
      </c>
      <c r="AT83">
        <v>86.296616279103219</v>
      </c>
      <c r="AU83">
        <v>3</v>
      </c>
      <c r="AV83">
        <v>0</v>
      </c>
    </row>
    <row r="84" spans="1:48" x14ac:dyDescent="0.25">
      <c r="A84" t="s">
        <v>253</v>
      </c>
      <c r="B84">
        <v>83</v>
      </c>
      <c r="C84">
        <v>1</v>
      </c>
      <c r="D84" t="s">
        <v>15</v>
      </c>
      <c r="E84">
        <v>29.908882176710549</v>
      </c>
      <c r="F84">
        <v>34.84163943447485</v>
      </c>
      <c r="G84">
        <v>22.887756748923234</v>
      </c>
      <c r="H84">
        <v>29.101886616373651</v>
      </c>
      <c r="I84">
        <v>44.164520453190924</v>
      </c>
      <c r="J84">
        <v>57.010264205060352</v>
      </c>
      <c r="K84">
        <v>84.5131620470152</v>
      </c>
      <c r="L84">
        <v>100</v>
      </c>
      <c r="M84">
        <v>102.84448011838275</v>
      </c>
      <c r="N84">
        <v>88.556680891201964</v>
      </c>
      <c r="O84">
        <v>65.76392014068216</v>
      </c>
      <c r="P84">
        <v>279</v>
      </c>
      <c r="Q84">
        <v>58.478242541435648</v>
      </c>
      <c r="R84">
        <v>73.203195134426025</v>
      </c>
      <c r="S84">
        <v>101</v>
      </c>
      <c r="T84">
        <v>218</v>
      </c>
      <c r="U84">
        <v>81.490965353387892</v>
      </c>
      <c r="V84">
        <v>64.521163181473099</v>
      </c>
      <c r="W84">
        <v>90</v>
      </c>
      <c r="X84">
        <v>18</v>
      </c>
      <c r="Y84">
        <v>115</v>
      </c>
      <c r="Z84">
        <v>31</v>
      </c>
      <c r="AA84">
        <v>199</v>
      </c>
      <c r="AB84">
        <v>80.65503580387751</v>
      </c>
      <c r="AC84">
        <v>17</v>
      </c>
      <c r="AD84">
        <v>64.936523221988423</v>
      </c>
      <c r="AE84">
        <v>43.794781419945622</v>
      </c>
      <c r="AF84">
        <v>43.724892406709543</v>
      </c>
      <c r="AG84">
        <v>24.10615592080412</v>
      </c>
      <c r="AH84">
        <v>22</v>
      </c>
      <c r="AI84">
        <v>9</v>
      </c>
      <c r="AJ84">
        <v>1E-3</v>
      </c>
      <c r="AK84">
        <v>3</v>
      </c>
      <c r="AL84">
        <v>2</v>
      </c>
      <c r="AM84">
        <v>12</v>
      </c>
      <c r="AN84">
        <v>42</v>
      </c>
      <c r="AO84">
        <v>0</v>
      </c>
      <c r="AP84">
        <v>11</v>
      </c>
      <c r="AQ84">
        <v>0</v>
      </c>
      <c r="AR84">
        <v>0</v>
      </c>
      <c r="AS84">
        <v>0</v>
      </c>
      <c r="AT84">
        <v>37.467804500215919</v>
      </c>
      <c r="AU84">
        <v>0</v>
      </c>
      <c r="AV84">
        <v>5</v>
      </c>
    </row>
    <row r="85" spans="1:48" x14ac:dyDescent="0.25">
      <c r="A85" t="s">
        <v>254</v>
      </c>
      <c r="B85">
        <v>84</v>
      </c>
      <c r="C85">
        <v>2</v>
      </c>
      <c r="D85" t="s">
        <v>18</v>
      </c>
      <c r="E85">
        <v>396.53014925747334</v>
      </c>
      <c r="F85">
        <v>526.773649429069</v>
      </c>
      <c r="G85">
        <v>502.95964615555766</v>
      </c>
      <c r="H85">
        <v>567.78740910442616</v>
      </c>
      <c r="I85">
        <v>630.74641524846606</v>
      </c>
      <c r="J85">
        <v>537.56583802246871</v>
      </c>
      <c r="K85">
        <v>725.20101801541364</v>
      </c>
      <c r="L85">
        <v>1235.1149483152919</v>
      </c>
      <c r="M85">
        <v>1079.2691264990101</v>
      </c>
      <c r="N85">
        <v>1203.9244485141819</v>
      </c>
      <c r="O85">
        <v>638.62114534051739</v>
      </c>
      <c r="P85">
        <v>1237.5574847571609</v>
      </c>
      <c r="Q85">
        <v>1054.9205935145026</v>
      </c>
      <c r="R85">
        <v>1410.6600262718448</v>
      </c>
      <c r="S85">
        <v>325</v>
      </c>
      <c r="T85">
        <v>734</v>
      </c>
      <c r="U85">
        <v>1003</v>
      </c>
      <c r="V85">
        <v>1030</v>
      </c>
      <c r="W85">
        <v>2182</v>
      </c>
      <c r="X85">
        <v>703</v>
      </c>
      <c r="Y85">
        <v>565</v>
      </c>
      <c r="Z85">
        <v>637</v>
      </c>
      <c r="AA85">
        <v>1458</v>
      </c>
      <c r="AB85">
        <v>990</v>
      </c>
      <c r="AC85">
        <v>1486</v>
      </c>
      <c r="AD85">
        <v>1511</v>
      </c>
      <c r="AE85">
        <v>1000</v>
      </c>
      <c r="AF85">
        <v>1240.6073843437118</v>
      </c>
      <c r="AG85">
        <v>512.58638325847392</v>
      </c>
      <c r="AH85">
        <v>1589</v>
      </c>
      <c r="AI85">
        <v>1013.7035745599122</v>
      </c>
      <c r="AJ85">
        <v>854.43085516023245</v>
      </c>
      <c r="AK85">
        <v>1305</v>
      </c>
      <c r="AL85">
        <v>409.86614280913017</v>
      </c>
      <c r="AM85">
        <v>1087</v>
      </c>
      <c r="AN85">
        <v>1186</v>
      </c>
      <c r="AO85">
        <v>279</v>
      </c>
      <c r="AP85">
        <v>1160</v>
      </c>
      <c r="AQ85">
        <v>324</v>
      </c>
      <c r="AR85">
        <v>262</v>
      </c>
      <c r="AS85">
        <v>501</v>
      </c>
      <c r="AT85">
        <v>923</v>
      </c>
      <c r="AU85">
        <v>479</v>
      </c>
      <c r="AV85">
        <v>641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69BC9-EB1D-4783-8F4C-A175AB328736}">
  <dimension ref="A1:AS8"/>
  <sheetViews>
    <sheetView workbookViewId="0"/>
  </sheetViews>
  <sheetFormatPr defaultRowHeight="15" x14ac:dyDescent="0.25"/>
  <sheetData>
    <row r="1" spans="1:45" x14ac:dyDescent="0.25">
      <c r="I1">
        <v>1986</v>
      </c>
      <c r="K1">
        <v>1988</v>
      </c>
      <c r="L1">
        <v>1989</v>
      </c>
      <c r="M1">
        <v>1990</v>
      </c>
      <c r="N1">
        <v>1991</v>
      </c>
      <c r="O1">
        <v>1992</v>
      </c>
      <c r="P1">
        <v>1993</v>
      </c>
      <c r="Q1">
        <v>1994</v>
      </c>
      <c r="R1">
        <v>1995</v>
      </c>
      <c r="S1">
        <v>1996</v>
      </c>
      <c r="T1">
        <v>1997</v>
      </c>
      <c r="V1">
        <v>1999</v>
      </c>
      <c r="W1">
        <v>2000</v>
      </c>
      <c r="X1">
        <v>2001</v>
      </c>
      <c r="AA1">
        <v>2004</v>
      </c>
      <c r="AC1">
        <v>2006</v>
      </c>
      <c r="AD1">
        <v>2007</v>
      </c>
      <c r="AF1">
        <v>2009</v>
      </c>
      <c r="AG1">
        <v>2010</v>
      </c>
      <c r="AH1">
        <v>2011</v>
      </c>
      <c r="AI1">
        <v>2012</v>
      </c>
      <c r="AQ1">
        <v>2020</v>
      </c>
      <c r="AR1">
        <v>2021</v>
      </c>
      <c r="AS1">
        <v>2022</v>
      </c>
    </row>
    <row r="2" spans="1:45" x14ac:dyDescent="0.25">
      <c r="A2" t="s">
        <v>202</v>
      </c>
      <c r="AQ2">
        <v>9</v>
      </c>
      <c r="AR2">
        <v>7</v>
      </c>
      <c r="AS2">
        <v>3</v>
      </c>
    </row>
    <row r="3" spans="1:45" x14ac:dyDescent="0.25">
      <c r="A3" t="s">
        <v>121</v>
      </c>
      <c r="I3">
        <v>754</v>
      </c>
    </row>
    <row r="4" spans="1:45" x14ac:dyDescent="0.25">
      <c r="A4" t="s">
        <v>166</v>
      </c>
      <c r="AA4">
        <v>43</v>
      </c>
    </row>
    <row r="5" spans="1:45" x14ac:dyDescent="0.25">
      <c r="A5" t="s">
        <v>184</v>
      </c>
      <c r="I5">
        <v>7</v>
      </c>
      <c r="K5">
        <v>1</v>
      </c>
      <c r="M5">
        <v>3</v>
      </c>
      <c r="O5">
        <v>1</v>
      </c>
      <c r="Q5">
        <v>1</v>
      </c>
      <c r="S5">
        <v>1</v>
      </c>
    </row>
    <row r="6" spans="1:45" x14ac:dyDescent="0.25">
      <c r="A6" t="s">
        <v>191</v>
      </c>
      <c r="T6">
        <v>146</v>
      </c>
      <c r="AC6">
        <v>174</v>
      </c>
      <c r="AD6">
        <v>90</v>
      </c>
    </row>
    <row r="7" spans="1:45" x14ac:dyDescent="0.25">
      <c r="A7" t="s">
        <v>140</v>
      </c>
      <c r="I7">
        <v>50</v>
      </c>
      <c r="K7">
        <v>26</v>
      </c>
      <c r="L7">
        <v>397</v>
      </c>
      <c r="O7">
        <v>617</v>
      </c>
      <c r="P7">
        <v>1148</v>
      </c>
      <c r="R7">
        <v>448</v>
      </c>
      <c r="S7">
        <v>1076</v>
      </c>
      <c r="T7">
        <v>666</v>
      </c>
      <c r="V7">
        <v>402</v>
      </c>
      <c r="W7">
        <v>326</v>
      </c>
      <c r="X7">
        <v>553</v>
      </c>
      <c r="AC7">
        <v>614</v>
      </c>
      <c r="AD7">
        <v>662</v>
      </c>
      <c r="AG7">
        <v>315</v>
      </c>
      <c r="AH7">
        <v>542</v>
      </c>
    </row>
    <row r="8" spans="1:45" x14ac:dyDescent="0.25">
      <c r="A8" t="s">
        <v>254</v>
      </c>
      <c r="N8">
        <v>101</v>
      </c>
      <c r="O8">
        <v>174</v>
      </c>
      <c r="AD8">
        <v>218</v>
      </c>
      <c r="AF8">
        <v>313</v>
      </c>
      <c r="AG8">
        <v>662</v>
      </c>
      <c r="AI8">
        <v>464</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2F037-F3BA-49AF-80D8-2DD2E5B35240}">
  <dimension ref="A1:AS18"/>
  <sheetViews>
    <sheetView workbookViewId="0"/>
  </sheetViews>
  <sheetFormatPr defaultRowHeight="15" x14ac:dyDescent="0.25"/>
  <sheetData>
    <row r="1" spans="1:45" x14ac:dyDescent="0.25">
      <c r="B1">
        <v>1979</v>
      </c>
      <c r="C1">
        <v>1980</v>
      </c>
      <c r="D1">
        <v>1981</v>
      </c>
      <c r="E1">
        <v>1982</v>
      </c>
      <c r="F1">
        <v>1983</v>
      </c>
      <c r="G1">
        <v>1984</v>
      </c>
      <c r="H1">
        <v>1985</v>
      </c>
      <c r="I1">
        <v>1986</v>
      </c>
      <c r="J1">
        <v>1987</v>
      </c>
      <c r="K1">
        <v>1988</v>
      </c>
      <c r="L1">
        <v>1989</v>
      </c>
      <c r="M1">
        <v>1990</v>
      </c>
      <c r="N1">
        <v>1991</v>
      </c>
      <c r="O1">
        <v>1992</v>
      </c>
      <c r="P1">
        <v>1993</v>
      </c>
      <c r="Q1">
        <v>1994</v>
      </c>
      <c r="R1">
        <v>1995</v>
      </c>
      <c r="S1">
        <v>1996</v>
      </c>
      <c r="T1">
        <v>1997</v>
      </c>
      <c r="U1">
        <v>1998</v>
      </c>
      <c r="V1">
        <v>1999</v>
      </c>
      <c r="W1">
        <v>2000</v>
      </c>
      <c r="X1">
        <v>2001</v>
      </c>
      <c r="Y1">
        <v>2002</v>
      </c>
      <c r="Z1">
        <v>2003</v>
      </c>
      <c r="AA1">
        <v>2004</v>
      </c>
      <c r="AB1">
        <v>2005</v>
      </c>
      <c r="AC1">
        <v>2006</v>
      </c>
      <c r="AD1">
        <v>2007</v>
      </c>
      <c r="AE1">
        <v>2008</v>
      </c>
      <c r="AF1">
        <v>2009</v>
      </c>
      <c r="AG1">
        <v>2010</v>
      </c>
      <c r="AH1">
        <v>2011</v>
      </c>
      <c r="AI1">
        <v>2012</v>
      </c>
      <c r="AJ1">
        <v>2013</v>
      </c>
      <c r="AK1">
        <v>2014</v>
      </c>
      <c r="AL1">
        <v>2015</v>
      </c>
      <c r="AM1">
        <v>2016</v>
      </c>
      <c r="AN1">
        <v>2017</v>
      </c>
      <c r="AO1">
        <v>2018</v>
      </c>
      <c r="AP1">
        <v>2019</v>
      </c>
      <c r="AQ1">
        <v>2020</v>
      </c>
      <c r="AR1">
        <v>2021</v>
      </c>
      <c r="AS1">
        <v>2022</v>
      </c>
    </row>
    <row r="2" spans="1:45" x14ac:dyDescent="0.25">
      <c r="A2" t="s">
        <v>124</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c r="AA2">
        <v>1</v>
      </c>
      <c r="AB2">
        <v>1</v>
      </c>
      <c r="AC2">
        <v>1</v>
      </c>
      <c r="AD2">
        <v>1</v>
      </c>
      <c r="AE2">
        <v>1</v>
      </c>
      <c r="AF2">
        <v>1</v>
      </c>
      <c r="AG2">
        <v>1</v>
      </c>
      <c r="AH2">
        <v>1</v>
      </c>
      <c r="AI2">
        <v>1</v>
      </c>
      <c r="AJ2">
        <v>1</v>
      </c>
      <c r="AK2">
        <v>1</v>
      </c>
      <c r="AL2">
        <v>1</v>
      </c>
      <c r="AM2">
        <v>1</v>
      </c>
      <c r="AN2">
        <v>1</v>
      </c>
      <c r="AO2">
        <v>1</v>
      </c>
      <c r="AP2">
        <v>1</v>
      </c>
      <c r="AQ2">
        <v>1</v>
      </c>
      <c r="AR2">
        <v>1</v>
      </c>
      <c r="AS2">
        <v>1</v>
      </c>
    </row>
    <row r="3" spans="1:45" x14ac:dyDescent="0.25">
      <c r="A3" t="s">
        <v>123</v>
      </c>
      <c r="B3">
        <v>0.8465862618258293</v>
      </c>
      <c r="C3">
        <v>0.8465862618258293</v>
      </c>
      <c r="D3">
        <v>0.8465862618258293</v>
      </c>
      <c r="E3">
        <v>0.8465862618258293</v>
      </c>
      <c r="F3">
        <v>0.8465862618258293</v>
      </c>
      <c r="G3">
        <v>0.8465862618258293</v>
      </c>
      <c r="H3">
        <v>0.8465862618258293</v>
      </c>
      <c r="I3">
        <v>0.93918383946042316</v>
      </c>
      <c r="J3">
        <v>0.8465862618258293</v>
      </c>
      <c r="K3">
        <v>0.8465862618258293</v>
      </c>
      <c r="L3">
        <v>0.8465862618258293</v>
      </c>
      <c r="M3">
        <v>0.8465862618258293</v>
      </c>
      <c r="N3">
        <v>0.8465862618258293</v>
      </c>
      <c r="O3">
        <v>0.8465862618258293</v>
      </c>
      <c r="P3">
        <v>0.8465862618258293</v>
      </c>
      <c r="Q3">
        <v>0.8465862618258293</v>
      </c>
      <c r="R3">
        <v>0.90740242236540625</v>
      </c>
      <c r="S3">
        <v>1</v>
      </c>
      <c r="T3">
        <v>1</v>
      </c>
      <c r="U3">
        <v>1</v>
      </c>
      <c r="V3">
        <v>1</v>
      </c>
      <c r="W3">
        <v>1</v>
      </c>
      <c r="X3">
        <v>1</v>
      </c>
      <c r="Y3">
        <v>1</v>
      </c>
      <c r="Z3">
        <v>1</v>
      </c>
      <c r="AA3">
        <v>1</v>
      </c>
      <c r="AB3">
        <v>1</v>
      </c>
      <c r="AC3">
        <v>1</v>
      </c>
      <c r="AD3">
        <v>1</v>
      </c>
      <c r="AE3">
        <v>1</v>
      </c>
      <c r="AF3">
        <v>1</v>
      </c>
      <c r="AG3">
        <v>1</v>
      </c>
      <c r="AH3">
        <v>1</v>
      </c>
      <c r="AI3">
        <v>1</v>
      </c>
      <c r="AJ3">
        <v>1</v>
      </c>
      <c r="AK3">
        <v>1</v>
      </c>
      <c r="AL3">
        <v>1</v>
      </c>
      <c r="AM3">
        <v>1</v>
      </c>
      <c r="AN3">
        <v>1</v>
      </c>
      <c r="AO3">
        <v>1</v>
      </c>
      <c r="AP3">
        <v>1</v>
      </c>
      <c r="AQ3">
        <v>1</v>
      </c>
      <c r="AR3">
        <v>1</v>
      </c>
      <c r="AS3">
        <v>1</v>
      </c>
    </row>
    <row r="4" spans="1:45" x14ac:dyDescent="0.25">
      <c r="A4" t="s">
        <v>122</v>
      </c>
      <c r="B4">
        <v>0.90322900482387636</v>
      </c>
      <c r="C4">
        <v>0.90322900482387636</v>
      </c>
      <c r="D4">
        <v>0.90322900482387636</v>
      </c>
      <c r="E4">
        <v>0.90322900482387636</v>
      </c>
      <c r="F4">
        <v>0.90322900482387636</v>
      </c>
      <c r="G4">
        <v>0.90322900482387636</v>
      </c>
      <c r="H4">
        <v>0.73396488260979431</v>
      </c>
      <c r="I4">
        <v>0.90322900482387636</v>
      </c>
      <c r="J4">
        <v>0.90322900482387636</v>
      </c>
      <c r="K4">
        <v>0.90322900482387636</v>
      </c>
      <c r="L4">
        <v>0.90322900482387636</v>
      </c>
      <c r="M4">
        <v>0.60082431810355208</v>
      </c>
      <c r="N4">
        <v>0.90322900482387636</v>
      </c>
      <c r="O4">
        <v>0.73396488260979431</v>
      </c>
      <c r="P4">
        <v>0</v>
      </c>
      <c r="Q4">
        <v>0.90322900482387636</v>
      </c>
      <c r="R4">
        <v>0.97595770372035096</v>
      </c>
      <c r="S4">
        <v>0.98065889863596023</v>
      </c>
      <c r="T4">
        <v>0.98065889863596023</v>
      </c>
      <c r="U4">
        <v>1</v>
      </c>
      <c r="V4">
        <v>1</v>
      </c>
      <c r="W4">
        <v>1</v>
      </c>
      <c r="X4">
        <v>1</v>
      </c>
      <c r="Y4">
        <v>1</v>
      </c>
      <c r="Z4">
        <v>1</v>
      </c>
      <c r="AA4">
        <v>0.99529880508439073</v>
      </c>
      <c r="AB4">
        <v>0.99529880508439073</v>
      </c>
      <c r="AC4">
        <v>0.99529880508439073</v>
      </c>
      <c r="AD4">
        <v>0.99529880508439073</v>
      </c>
      <c r="AE4">
        <v>0.99529880508439073</v>
      </c>
      <c r="AF4">
        <v>0.99529880508439073</v>
      </c>
      <c r="AG4">
        <v>0.99529880508439073</v>
      </c>
      <c r="AH4">
        <v>0.99529880508439073</v>
      </c>
      <c r="AI4">
        <v>0.99529880508439073</v>
      </c>
      <c r="AJ4">
        <v>0.99529880508439073</v>
      </c>
      <c r="AK4">
        <v>0.99529880508439073</v>
      </c>
      <c r="AL4">
        <v>0.97595770372035096</v>
      </c>
      <c r="AM4">
        <v>0.67355301700002668</v>
      </c>
      <c r="AN4">
        <v>0.97595770372035096</v>
      </c>
      <c r="AO4">
        <v>0.67355301700002668</v>
      </c>
      <c r="AP4">
        <v>0.67355301700002668</v>
      </c>
      <c r="AQ4">
        <v>0.67355301700002668</v>
      </c>
      <c r="AR4">
        <v>0.67355301700002668</v>
      </c>
      <c r="AS4">
        <v>0.67355301700002668</v>
      </c>
    </row>
    <row r="5" spans="1:45" x14ac:dyDescent="0.25">
      <c r="A5" t="s">
        <v>201</v>
      </c>
      <c r="B5">
        <v>0.89738809957638799</v>
      </c>
      <c r="C5">
        <v>0.89738809957638799</v>
      </c>
      <c r="D5">
        <v>0.89738809957638799</v>
      </c>
      <c r="E5">
        <v>0.89738809957638799</v>
      </c>
      <c r="F5">
        <v>0.89738809957638799</v>
      </c>
      <c r="G5">
        <v>0.89738809957638799</v>
      </c>
      <c r="H5">
        <v>0.89738809957638799</v>
      </c>
      <c r="I5">
        <v>0.89738809957638799</v>
      </c>
      <c r="J5">
        <v>0.89738809957638799</v>
      </c>
      <c r="K5">
        <v>0.89738809957638799</v>
      </c>
      <c r="L5">
        <v>0.89738809957638799</v>
      </c>
      <c r="M5">
        <v>0.89738809957638799</v>
      </c>
      <c r="N5">
        <v>0.89738809957638799</v>
      </c>
      <c r="O5">
        <v>0.89738809957638799</v>
      </c>
      <c r="P5">
        <v>0.89738809957638799</v>
      </c>
      <c r="Q5">
        <v>0.89738809957638799</v>
      </c>
      <c r="R5">
        <v>1</v>
      </c>
      <c r="S5">
        <v>1</v>
      </c>
      <c r="T5">
        <v>1</v>
      </c>
      <c r="U5">
        <v>1</v>
      </c>
      <c r="V5">
        <v>1</v>
      </c>
      <c r="W5">
        <v>1</v>
      </c>
      <c r="X5">
        <v>1</v>
      </c>
      <c r="Y5">
        <v>1</v>
      </c>
      <c r="Z5">
        <v>1</v>
      </c>
      <c r="AA5">
        <v>1</v>
      </c>
      <c r="AB5">
        <v>1</v>
      </c>
      <c r="AC5">
        <v>1</v>
      </c>
      <c r="AD5">
        <v>1</v>
      </c>
      <c r="AE5">
        <v>1</v>
      </c>
      <c r="AF5">
        <v>1</v>
      </c>
      <c r="AG5">
        <v>0.89738809957638799</v>
      </c>
      <c r="AH5">
        <v>1</v>
      </c>
      <c r="AI5">
        <v>1</v>
      </c>
      <c r="AJ5">
        <v>1</v>
      </c>
      <c r="AK5">
        <v>1</v>
      </c>
      <c r="AL5">
        <v>1</v>
      </c>
      <c r="AM5">
        <v>1</v>
      </c>
      <c r="AN5">
        <v>1</v>
      </c>
      <c r="AO5">
        <v>1</v>
      </c>
      <c r="AP5">
        <v>1</v>
      </c>
      <c r="AQ5">
        <v>1</v>
      </c>
      <c r="AR5">
        <v>1</v>
      </c>
      <c r="AS5">
        <v>0.89738809957638799</v>
      </c>
    </row>
    <row r="6" spans="1:45" x14ac:dyDescent="0.25">
      <c r="A6" t="s">
        <v>121</v>
      </c>
      <c r="B6">
        <v>0</v>
      </c>
      <c r="C6">
        <v>0</v>
      </c>
      <c r="D6">
        <v>0</v>
      </c>
      <c r="E6">
        <v>0</v>
      </c>
      <c r="F6">
        <v>0</v>
      </c>
      <c r="G6">
        <v>0</v>
      </c>
      <c r="H6">
        <v>0</v>
      </c>
      <c r="I6">
        <v>0</v>
      </c>
      <c r="J6">
        <v>0</v>
      </c>
      <c r="K6">
        <v>0</v>
      </c>
      <c r="L6">
        <v>0</v>
      </c>
      <c r="M6">
        <v>0</v>
      </c>
      <c r="N6">
        <v>0</v>
      </c>
      <c r="O6">
        <v>0</v>
      </c>
      <c r="P6">
        <v>0</v>
      </c>
      <c r="Q6">
        <v>0</v>
      </c>
      <c r="R6">
        <v>0</v>
      </c>
      <c r="S6">
        <v>0</v>
      </c>
      <c r="T6">
        <v>0</v>
      </c>
      <c r="U6">
        <v>0</v>
      </c>
      <c r="V6">
        <v>0.32048963532933439</v>
      </c>
      <c r="W6">
        <v>1.0000000000000002</v>
      </c>
      <c r="X6">
        <v>1.0000000000000002</v>
      </c>
      <c r="Y6">
        <v>1.0000000000000002</v>
      </c>
      <c r="Z6">
        <v>1.0000000000000002</v>
      </c>
      <c r="AA6">
        <v>1.0000000000000002</v>
      </c>
      <c r="AB6">
        <v>1.0000000000000002</v>
      </c>
      <c r="AC6">
        <v>1.0000000000000002</v>
      </c>
      <c r="AD6">
        <v>1.0000000000000002</v>
      </c>
      <c r="AE6">
        <v>1.0000000000000002</v>
      </c>
      <c r="AF6">
        <v>1.0000000000000002</v>
      </c>
      <c r="AG6">
        <v>1.0000000000000002</v>
      </c>
      <c r="AH6">
        <v>1.0000000000000002</v>
      </c>
      <c r="AI6">
        <v>1.0000000000000002</v>
      </c>
      <c r="AJ6">
        <v>1.0000000000000002</v>
      </c>
      <c r="AK6">
        <v>1.0000000000000002</v>
      </c>
      <c r="AL6">
        <v>1.0000000000000002</v>
      </c>
      <c r="AM6">
        <v>1.0000000000000002</v>
      </c>
      <c r="AN6">
        <v>0</v>
      </c>
      <c r="AO6">
        <v>1.0000000000000002</v>
      </c>
      <c r="AP6">
        <v>1.0000000000000002</v>
      </c>
      <c r="AQ6">
        <v>1.0000000000000002</v>
      </c>
      <c r="AR6">
        <v>1.0000000000000002</v>
      </c>
      <c r="AS6">
        <v>1.0000000000000002</v>
      </c>
    </row>
    <row r="7" spans="1:45" x14ac:dyDescent="0.25">
      <c r="A7" t="s">
        <v>120</v>
      </c>
      <c r="B7">
        <v>0.72287606920059166</v>
      </c>
      <c r="C7">
        <v>0.72287606920059166</v>
      </c>
      <c r="D7">
        <v>0.72287606920059166</v>
      </c>
      <c r="E7">
        <v>0.72287606920059166</v>
      </c>
      <c r="F7">
        <v>0.72287606920059166</v>
      </c>
      <c r="G7">
        <v>0.72287606920059166</v>
      </c>
      <c r="H7">
        <v>0.72287606920059166</v>
      </c>
      <c r="I7">
        <v>0.72287606920059166</v>
      </c>
      <c r="J7">
        <v>0.72287606920059166</v>
      </c>
      <c r="K7">
        <v>0.72287606920059166</v>
      </c>
      <c r="L7">
        <v>0.72287606920059166</v>
      </c>
      <c r="M7">
        <v>0.72287606920059166</v>
      </c>
      <c r="N7">
        <v>0.72287606920059166</v>
      </c>
      <c r="O7">
        <v>0.72287606920059166</v>
      </c>
      <c r="P7">
        <v>0.72287606920059166</v>
      </c>
      <c r="Q7">
        <v>0.72287606920059166</v>
      </c>
      <c r="R7">
        <v>0.93467961498059893</v>
      </c>
      <c r="S7">
        <v>0.99999999999999989</v>
      </c>
      <c r="T7">
        <v>0.26736982013848692</v>
      </c>
      <c r="U7">
        <v>0.99999999999999989</v>
      </c>
      <c r="V7">
        <v>0.99024588933907853</v>
      </c>
      <c r="W7">
        <v>0.99999999999999989</v>
      </c>
      <c r="X7">
        <v>0.99999999999999989</v>
      </c>
      <c r="Y7">
        <v>0.99999999999999989</v>
      </c>
      <c r="Z7">
        <v>0.99999999999999989</v>
      </c>
      <c r="AA7">
        <v>0.99999999999999989</v>
      </c>
      <c r="AB7">
        <v>0.99999999999999989</v>
      </c>
      <c r="AC7">
        <v>0.99999999999999989</v>
      </c>
      <c r="AD7">
        <v>0.99999999999999989</v>
      </c>
      <c r="AE7">
        <v>0.99999999999999989</v>
      </c>
      <c r="AF7">
        <v>0.99999999999999989</v>
      </c>
      <c r="AG7">
        <v>0.99999999999999989</v>
      </c>
      <c r="AH7">
        <v>0.99999999999999989</v>
      </c>
      <c r="AI7">
        <v>0.99999999999999989</v>
      </c>
      <c r="AJ7">
        <v>0.99999999999999989</v>
      </c>
      <c r="AK7">
        <v>0.99999999999999989</v>
      </c>
      <c r="AL7">
        <v>0.99999999999999989</v>
      </c>
      <c r="AM7">
        <v>0.99999999999999989</v>
      </c>
      <c r="AN7">
        <v>0.99999999999999989</v>
      </c>
      <c r="AO7">
        <v>0.99999999999999989</v>
      </c>
      <c r="AP7">
        <v>0.99999999999999989</v>
      </c>
      <c r="AQ7">
        <v>0</v>
      </c>
      <c r="AR7">
        <v>0.99999999999999989</v>
      </c>
      <c r="AS7">
        <v>0.99999999999999989</v>
      </c>
    </row>
    <row r="8" spans="1:45" x14ac:dyDescent="0.25">
      <c r="A8" t="s">
        <v>197</v>
      </c>
      <c r="B8">
        <v>1</v>
      </c>
      <c r="C8">
        <v>1</v>
      </c>
      <c r="D8">
        <v>1</v>
      </c>
      <c r="E8">
        <v>1</v>
      </c>
      <c r="F8">
        <v>1</v>
      </c>
      <c r="G8">
        <v>1</v>
      </c>
      <c r="H8">
        <v>1</v>
      </c>
      <c r="I8">
        <v>1</v>
      </c>
      <c r="J8">
        <v>1</v>
      </c>
      <c r="K8">
        <v>1</v>
      </c>
      <c r="L8">
        <v>1</v>
      </c>
      <c r="M8">
        <v>1</v>
      </c>
      <c r="N8">
        <v>1</v>
      </c>
      <c r="O8">
        <v>1</v>
      </c>
      <c r="P8">
        <v>1</v>
      </c>
      <c r="Q8">
        <v>1</v>
      </c>
      <c r="R8">
        <v>1</v>
      </c>
      <c r="S8">
        <v>1</v>
      </c>
      <c r="T8">
        <v>1</v>
      </c>
      <c r="U8">
        <v>1</v>
      </c>
      <c r="V8">
        <v>0</v>
      </c>
      <c r="W8">
        <v>1</v>
      </c>
      <c r="X8">
        <v>1</v>
      </c>
      <c r="Y8">
        <v>1</v>
      </c>
      <c r="Z8">
        <v>1</v>
      </c>
      <c r="AA8">
        <v>1</v>
      </c>
      <c r="AB8">
        <v>1</v>
      </c>
      <c r="AC8">
        <v>1</v>
      </c>
      <c r="AD8">
        <v>1</v>
      </c>
      <c r="AE8">
        <v>1</v>
      </c>
      <c r="AF8">
        <v>1</v>
      </c>
      <c r="AG8">
        <v>1</v>
      </c>
      <c r="AH8">
        <v>1</v>
      </c>
      <c r="AI8">
        <v>1</v>
      </c>
      <c r="AJ8">
        <v>1</v>
      </c>
      <c r="AK8">
        <v>1</v>
      </c>
      <c r="AL8">
        <v>1</v>
      </c>
      <c r="AM8">
        <v>1</v>
      </c>
      <c r="AN8">
        <v>1</v>
      </c>
      <c r="AO8">
        <v>1</v>
      </c>
      <c r="AP8">
        <v>0</v>
      </c>
      <c r="AQ8">
        <v>0</v>
      </c>
      <c r="AR8">
        <v>1</v>
      </c>
      <c r="AS8">
        <v>1</v>
      </c>
    </row>
    <row r="9" spans="1:45" x14ac:dyDescent="0.25">
      <c r="A9" t="s">
        <v>143</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c r="Z9">
        <v>0.98917887602693899</v>
      </c>
      <c r="AA9">
        <v>1</v>
      </c>
      <c r="AB9">
        <v>1</v>
      </c>
      <c r="AC9">
        <v>0.98917887602693899</v>
      </c>
      <c r="AD9">
        <v>1</v>
      </c>
      <c r="AE9">
        <v>1</v>
      </c>
      <c r="AF9">
        <v>1</v>
      </c>
      <c r="AG9">
        <v>1</v>
      </c>
      <c r="AH9">
        <v>1</v>
      </c>
      <c r="AI9">
        <v>0.98917887602693899</v>
      </c>
      <c r="AJ9">
        <v>0.98917887602693899</v>
      </c>
      <c r="AK9">
        <v>0.98917887602693899</v>
      </c>
      <c r="AL9">
        <v>0.98917887602693899</v>
      </c>
      <c r="AM9">
        <v>1</v>
      </c>
      <c r="AN9">
        <v>1</v>
      </c>
      <c r="AO9">
        <v>0.98917887602693899</v>
      </c>
      <c r="AP9">
        <v>1</v>
      </c>
      <c r="AQ9">
        <v>1</v>
      </c>
      <c r="AR9">
        <v>1</v>
      </c>
      <c r="AS9">
        <v>1</v>
      </c>
    </row>
    <row r="11" spans="1:45" x14ac:dyDescent="0.25">
      <c r="A11" t="s">
        <v>124</v>
      </c>
      <c r="B11">
        <v>750</v>
      </c>
      <c r="C11">
        <v>550</v>
      </c>
      <c r="D11">
        <v>510</v>
      </c>
      <c r="E11">
        <v>300</v>
      </c>
      <c r="F11">
        <v>1000</v>
      </c>
      <c r="G11">
        <v>1500</v>
      </c>
      <c r="H11">
        <v>1500</v>
      </c>
      <c r="I11">
        <v>3000</v>
      </c>
      <c r="J11">
        <v>2800</v>
      </c>
      <c r="K11">
        <v>2000</v>
      </c>
      <c r="L11">
        <v>1900</v>
      </c>
      <c r="M11">
        <v>2000</v>
      </c>
      <c r="N11">
        <v>2000</v>
      </c>
      <c r="O11">
        <v>2600</v>
      </c>
      <c r="P11">
        <v>1000</v>
      </c>
      <c r="Q11">
        <v>1921</v>
      </c>
      <c r="R11">
        <v>1422</v>
      </c>
      <c r="S11">
        <v>738</v>
      </c>
      <c r="T11">
        <v>1042</v>
      </c>
      <c r="U11">
        <v>2293</v>
      </c>
      <c r="V11">
        <v>1503</v>
      </c>
      <c r="W11">
        <v>1466</v>
      </c>
      <c r="X11">
        <v>1755</v>
      </c>
      <c r="Y11">
        <v>2565</v>
      </c>
      <c r="Z11">
        <v>4457</v>
      </c>
      <c r="AA11">
        <v>2730</v>
      </c>
      <c r="AB11">
        <v>1027</v>
      </c>
      <c r="AC11">
        <v>1221</v>
      </c>
      <c r="AD11">
        <v>886</v>
      </c>
      <c r="AE11">
        <v>941</v>
      </c>
      <c r="AF11">
        <v>1966</v>
      </c>
      <c r="AG11">
        <v>905</v>
      </c>
      <c r="AH11">
        <v>698</v>
      </c>
      <c r="AI11">
        <v>615</v>
      </c>
      <c r="AJ11">
        <v>1038</v>
      </c>
      <c r="AK11">
        <v>1160</v>
      </c>
      <c r="AL11">
        <v>1063</v>
      </c>
      <c r="AM11">
        <v>715</v>
      </c>
      <c r="AN11">
        <v>588</v>
      </c>
      <c r="AO11">
        <v>643</v>
      </c>
      <c r="AP11">
        <v>8</v>
      </c>
      <c r="AQ11">
        <v>469</v>
      </c>
      <c r="AR11">
        <v>882</v>
      </c>
      <c r="AS11">
        <v>1048</v>
      </c>
    </row>
    <row r="12" spans="1:45" x14ac:dyDescent="0.25">
      <c r="A12" t="s">
        <v>123</v>
      </c>
      <c r="B12">
        <v>1350</v>
      </c>
      <c r="C12">
        <v>2000</v>
      </c>
      <c r="D12">
        <v>1260</v>
      </c>
      <c r="E12">
        <v>1400</v>
      </c>
      <c r="F12">
        <v>4300</v>
      </c>
      <c r="G12">
        <v>4922</v>
      </c>
      <c r="H12">
        <v>7196</v>
      </c>
      <c r="I12">
        <v>11574</v>
      </c>
      <c r="J12">
        <v>11676</v>
      </c>
      <c r="K12">
        <v>5908</v>
      </c>
      <c r="L12">
        <v>6000</v>
      </c>
      <c r="M12">
        <v>6500</v>
      </c>
      <c r="N12">
        <v>4200</v>
      </c>
      <c r="O12">
        <v>4670</v>
      </c>
      <c r="P12">
        <v>6140</v>
      </c>
      <c r="Q12">
        <v>9104</v>
      </c>
      <c r="R12">
        <v>7360</v>
      </c>
      <c r="S12">
        <v>3746</v>
      </c>
      <c r="T12">
        <v>6415</v>
      </c>
      <c r="U12">
        <v>7082</v>
      </c>
      <c r="V12">
        <v>3430</v>
      </c>
      <c r="W12">
        <v>2586</v>
      </c>
      <c r="X12">
        <v>5490</v>
      </c>
      <c r="Y12">
        <v>7059</v>
      </c>
      <c r="Z12">
        <v>10047</v>
      </c>
      <c r="AA12">
        <v>8114</v>
      </c>
      <c r="AB12">
        <v>4594</v>
      </c>
      <c r="AC12">
        <v>3939</v>
      </c>
      <c r="AD12">
        <v>1821</v>
      </c>
      <c r="AE12">
        <v>3427</v>
      </c>
      <c r="AF12">
        <v>4902</v>
      </c>
      <c r="AG12">
        <v>3066</v>
      </c>
      <c r="AH12">
        <v>2469</v>
      </c>
      <c r="AI12">
        <v>2614</v>
      </c>
      <c r="AJ12">
        <v>3897</v>
      </c>
      <c r="AK12">
        <v>5298</v>
      </c>
      <c r="AL12">
        <v>6879</v>
      </c>
      <c r="AM12">
        <v>3558</v>
      </c>
      <c r="AN12">
        <v>1914</v>
      </c>
      <c r="AO12">
        <v>2120</v>
      </c>
      <c r="AP12">
        <v>697</v>
      </c>
      <c r="AQ12">
        <v>3486</v>
      </c>
      <c r="AR12">
        <v>4319</v>
      </c>
      <c r="AS12">
        <v>6381</v>
      </c>
    </row>
    <row r="13" spans="1:45" x14ac:dyDescent="0.25">
      <c r="A13" t="s">
        <v>122</v>
      </c>
      <c r="B13">
        <v>1410</v>
      </c>
      <c r="C13">
        <v>744</v>
      </c>
      <c r="D13">
        <v>660</v>
      </c>
      <c r="E13">
        <v>1400</v>
      </c>
      <c r="F13">
        <v>775</v>
      </c>
      <c r="G13">
        <v>1450</v>
      </c>
      <c r="H13">
        <v>3100</v>
      </c>
      <c r="I13">
        <v>3800</v>
      </c>
      <c r="J13">
        <v>3750</v>
      </c>
      <c r="K13">
        <v>2860</v>
      </c>
      <c r="L13">
        <v>1500</v>
      </c>
      <c r="M13">
        <v>1000</v>
      </c>
      <c r="N13">
        <v>1300</v>
      </c>
      <c r="O13">
        <v>4150</v>
      </c>
      <c r="P13">
        <v>0</v>
      </c>
      <c r="Q13">
        <v>1660</v>
      </c>
      <c r="R13">
        <v>1770</v>
      </c>
      <c r="S13">
        <v>2878</v>
      </c>
      <c r="T13">
        <v>1783</v>
      </c>
      <c r="U13">
        <v>2528</v>
      </c>
      <c r="V13">
        <v>1740</v>
      </c>
      <c r="W13">
        <v>2251</v>
      </c>
      <c r="X13">
        <v>2420</v>
      </c>
      <c r="Y13">
        <v>3753</v>
      </c>
      <c r="Z13">
        <v>4100</v>
      </c>
      <c r="AA13">
        <v>3248</v>
      </c>
      <c r="AB13">
        <v>1311</v>
      </c>
      <c r="AC13">
        <v>1347</v>
      </c>
      <c r="AD13">
        <v>1042</v>
      </c>
      <c r="AE13">
        <v>1259</v>
      </c>
      <c r="AF13">
        <v>2305</v>
      </c>
      <c r="AG13">
        <v>762</v>
      </c>
      <c r="AH13">
        <v>582</v>
      </c>
      <c r="AI13">
        <v>803</v>
      </c>
      <c r="AJ13">
        <v>1193</v>
      </c>
      <c r="AK13">
        <v>1762</v>
      </c>
      <c r="AL13">
        <v>961</v>
      </c>
      <c r="AM13">
        <v>525</v>
      </c>
      <c r="AN13">
        <v>460</v>
      </c>
      <c r="AO13">
        <v>301</v>
      </c>
      <c r="AP13">
        <v>4</v>
      </c>
      <c r="AQ13">
        <v>814</v>
      </c>
      <c r="AR13">
        <v>1143</v>
      </c>
      <c r="AS13">
        <v>1191</v>
      </c>
    </row>
    <row r="14" spans="1:45" x14ac:dyDescent="0.25">
      <c r="A14" t="s">
        <v>201</v>
      </c>
      <c r="B14">
        <v>750</v>
      </c>
      <c r="C14">
        <v>500</v>
      </c>
      <c r="D14">
        <v>440</v>
      </c>
      <c r="E14">
        <v>450</v>
      </c>
      <c r="F14">
        <v>780</v>
      </c>
      <c r="G14">
        <v>350</v>
      </c>
      <c r="H14">
        <v>1400</v>
      </c>
      <c r="I14">
        <v>1450</v>
      </c>
      <c r="J14">
        <v>1600</v>
      </c>
      <c r="K14">
        <v>1800</v>
      </c>
      <c r="L14">
        <v>1200</v>
      </c>
      <c r="M14">
        <v>1800</v>
      </c>
      <c r="N14">
        <v>550</v>
      </c>
      <c r="O14">
        <v>700</v>
      </c>
      <c r="P14">
        <v>600</v>
      </c>
      <c r="Q14">
        <v>1170</v>
      </c>
      <c r="R14">
        <v>884.33503126783762</v>
      </c>
      <c r="S14">
        <v>1340</v>
      </c>
      <c r="T14">
        <v>1869</v>
      </c>
      <c r="U14">
        <v>1588</v>
      </c>
      <c r="V14">
        <v>716</v>
      </c>
      <c r="W14">
        <v>1277</v>
      </c>
      <c r="X14">
        <v>893</v>
      </c>
      <c r="Y14">
        <v>1046</v>
      </c>
      <c r="Z14">
        <v>1739</v>
      </c>
      <c r="AA14">
        <v>1887</v>
      </c>
      <c r="AB14">
        <v>1010</v>
      </c>
      <c r="AC14">
        <v>1205</v>
      </c>
      <c r="AD14">
        <v>380</v>
      </c>
      <c r="AE14">
        <v>667</v>
      </c>
      <c r="AF14">
        <v>1002</v>
      </c>
      <c r="AG14">
        <v>566</v>
      </c>
      <c r="AH14">
        <v>659</v>
      </c>
      <c r="AI14">
        <v>480</v>
      </c>
      <c r="AJ14">
        <v>592</v>
      </c>
      <c r="AK14">
        <v>1474</v>
      </c>
      <c r="AL14">
        <v>868</v>
      </c>
      <c r="AM14">
        <v>395</v>
      </c>
      <c r="AN14">
        <v>301</v>
      </c>
      <c r="AO14">
        <v>239</v>
      </c>
      <c r="AP14">
        <v>362</v>
      </c>
      <c r="AQ14">
        <v>1238</v>
      </c>
      <c r="AR14">
        <v>934</v>
      </c>
      <c r="AS14">
        <v>658</v>
      </c>
    </row>
    <row r="15" spans="1:45" x14ac:dyDescent="0.25">
      <c r="A15" t="s">
        <v>121</v>
      </c>
      <c r="B15">
        <v>0</v>
      </c>
      <c r="C15">
        <v>0</v>
      </c>
      <c r="D15">
        <v>0</v>
      </c>
      <c r="E15">
        <v>0</v>
      </c>
      <c r="F15">
        <v>0</v>
      </c>
      <c r="G15">
        <v>0</v>
      </c>
      <c r="H15">
        <v>0</v>
      </c>
      <c r="I15">
        <v>0</v>
      </c>
      <c r="J15">
        <v>0</v>
      </c>
      <c r="K15">
        <v>0</v>
      </c>
      <c r="L15">
        <v>0</v>
      </c>
      <c r="M15">
        <v>0</v>
      </c>
      <c r="N15">
        <v>0</v>
      </c>
      <c r="O15">
        <v>0</v>
      </c>
      <c r="P15">
        <v>0</v>
      </c>
      <c r="Q15">
        <v>0</v>
      </c>
      <c r="R15">
        <v>0</v>
      </c>
      <c r="S15">
        <v>0</v>
      </c>
      <c r="T15">
        <v>0</v>
      </c>
      <c r="U15">
        <v>0</v>
      </c>
      <c r="V15">
        <v>237</v>
      </c>
      <c r="W15">
        <v>393</v>
      </c>
      <c r="X15">
        <v>724</v>
      </c>
      <c r="Y15">
        <v>675</v>
      </c>
      <c r="Z15">
        <v>1709</v>
      </c>
      <c r="AA15">
        <v>559</v>
      </c>
      <c r="AB15">
        <v>258</v>
      </c>
      <c r="AC15">
        <v>342</v>
      </c>
      <c r="AD15">
        <v>234</v>
      </c>
      <c r="AE15">
        <v>396</v>
      </c>
      <c r="AF15">
        <v>481</v>
      </c>
      <c r="AG15">
        <v>577</v>
      </c>
      <c r="AH15">
        <v>372</v>
      </c>
      <c r="AI15">
        <v>388</v>
      </c>
      <c r="AJ15">
        <v>456</v>
      </c>
      <c r="AK15">
        <v>1061</v>
      </c>
      <c r="AL15">
        <v>611</v>
      </c>
      <c r="AM15">
        <v>300</v>
      </c>
      <c r="AN15">
        <v>0</v>
      </c>
      <c r="AO15">
        <v>289</v>
      </c>
      <c r="AP15">
        <v>59</v>
      </c>
      <c r="AQ15">
        <v>496</v>
      </c>
      <c r="AR15">
        <v>846</v>
      </c>
      <c r="AS15">
        <v>513</v>
      </c>
    </row>
    <row r="16" spans="1:45" x14ac:dyDescent="0.25">
      <c r="A16" t="s">
        <v>120</v>
      </c>
      <c r="B16">
        <v>50</v>
      </c>
      <c r="C16">
        <v>50</v>
      </c>
      <c r="D16">
        <v>40</v>
      </c>
      <c r="E16">
        <v>10</v>
      </c>
      <c r="F16">
        <v>10</v>
      </c>
      <c r="G16">
        <v>100</v>
      </c>
      <c r="H16">
        <v>200</v>
      </c>
      <c r="I16">
        <v>230</v>
      </c>
      <c r="J16">
        <v>0</v>
      </c>
      <c r="K16">
        <v>50</v>
      </c>
      <c r="L16">
        <v>190</v>
      </c>
      <c r="M16">
        <v>200</v>
      </c>
      <c r="N16">
        <v>180</v>
      </c>
      <c r="O16">
        <v>80</v>
      </c>
      <c r="P16">
        <v>250</v>
      </c>
      <c r="Q16">
        <v>200</v>
      </c>
      <c r="R16">
        <v>330</v>
      </c>
      <c r="S16">
        <v>550</v>
      </c>
      <c r="T16">
        <v>25</v>
      </c>
      <c r="U16">
        <v>167</v>
      </c>
      <c r="V16">
        <v>395</v>
      </c>
      <c r="W16">
        <v>91</v>
      </c>
      <c r="X16">
        <v>459</v>
      </c>
      <c r="Y16">
        <v>245</v>
      </c>
      <c r="Z16">
        <v>207</v>
      </c>
      <c r="AA16">
        <v>175</v>
      </c>
      <c r="AB16">
        <v>180</v>
      </c>
      <c r="AC16">
        <v>257</v>
      </c>
      <c r="AD16">
        <v>5</v>
      </c>
      <c r="AE16">
        <v>77</v>
      </c>
      <c r="AF16">
        <v>28</v>
      </c>
      <c r="AG16">
        <v>202</v>
      </c>
      <c r="AH16">
        <v>8</v>
      </c>
      <c r="AI16">
        <v>14</v>
      </c>
      <c r="AJ16">
        <v>195</v>
      </c>
      <c r="AK16">
        <v>96</v>
      </c>
      <c r="AL16">
        <v>144</v>
      </c>
      <c r="AM16">
        <v>6</v>
      </c>
      <c r="AN16">
        <v>17</v>
      </c>
      <c r="AO16">
        <v>11</v>
      </c>
      <c r="AP16">
        <v>7</v>
      </c>
      <c r="AQ16">
        <v>0</v>
      </c>
      <c r="AR16">
        <v>0</v>
      </c>
      <c r="AS16">
        <v>25</v>
      </c>
    </row>
    <row r="17" spans="1:45" x14ac:dyDescent="0.25">
      <c r="A17" t="s">
        <v>197</v>
      </c>
      <c r="B17">
        <v>25</v>
      </c>
      <c r="C17">
        <v>0</v>
      </c>
      <c r="D17">
        <v>10</v>
      </c>
      <c r="E17">
        <v>20</v>
      </c>
      <c r="F17">
        <v>10</v>
      </c>
      <c r="G17">
        <v>45</v>
      </c>
      <c r="H17">
        <v>50</v>
      </c>
      <c r="I17">
        <v>50</v>
      </c>
      <c r="J17">
        <v>105</v>
      </c>
      <c r="K17">
        <v>70</v>
      </c>
      <c r="L17">
        <v>20</v>
      </c>
      <c r="M17">
        <v>70</v>
      </c>
      <c r="N17">
        <v>42</v>
      </c>
      <c r="O17">
        <v>50</v>
      </c>
      <c r="P17">
        <v>60</v>
      </c>
      <c r="Q17">
        <v>43</v>
      </c>
      <c r="R17">
        <v>0</v>
      </c>
      <c r="S17">
        <v>75</v>
      </c>
      <c r="T17">
        <v>0</v>
      </c>
      <c r="U17">
        <v>88</v>
      </c>
      <c r="V17">
        <v>0</v>
      </c>
      <c r="W17">
        <v>52</v>
      </c>
      <c r="X17">
        <v>49</v>
      </c>
      <c r="Y17">
        <v>73</v>
      </c>
      <c r="Z17">
        <v>160</v>
      </c>
      <c r="AA17">
        <v>102</v>
      </c>
      <c r="AB17">
        <v>70</v>
      </c>
      <c r="AC17">
        <v>100</v>
      </c>
      <c r="AD17">
        <v>20</v>
      </c>
      <c r="AE17">
        <v>34</v>
      </c>
      <c r="AF17">
        <v>196</v>
      </c>
      <c r="AG17">
        <v>23</v>
      </c>
      <c r="AH17">
        <v>17</v>
      </c>
      <c r="AI17">
        <v>51</v>
      </c>
      <c r="AJ17">
        <v>73</v>
      </c>
      <c r="AK17">
        <v>97</v>
      </c>
      <c r="AL17">
        <v>21</v>
      </c>
      <c r="AM17">
        <v>24</v>
      </c>
      <c r="AN17">
        <v>56</v>
      </c>
      <c r="AO17">
        <v>52</v>
      </c>
      <c r="AP17">
        <v>0</v>
      </c>
      <c r="AQ17">
        <v>0</v>
      </c>
      <c r="AR17">
        <v>2</v>
      </c>
      <c r="AS17">
        <v>58</v>
      </c>
    </row>
    <row r="18" spans="1:45" x14ac:dyDescent="0.25">
      <c r="A18" t="s">
        <v>143</v>
      </c>
      <c r="B18">
        <v>200</v>
      </c>
      <c r="C18">
        <v>300</v>
      </c>
      <c r="D18">
        <v>300</v>
      </c>
      <c r="E18">
        <v>325</v>
      </c>
      <c r="F18">
        <v>900</v>
      </c>
      <c r="G18">
        <v>900</v>
      </c>
      <c r="H18">
        <v>1500</v>
      </c>
      <c r="I18">
        <v>1300</v>
      </c>
      <c r="J18">
        <v>2700</v>
      </c>
      <c r="K18">
        <v>0</v>
      </c>
      <c r="L18">
        <v>800</v>
      </c>
      <c r="M18">
        <v>1000</v>
      </c>
      <c r="N18">
        <v>1000</v>
      </c>
      <c r="O18">
        <v>2200</v>
      </c>
      <c r="P18">
        <v>4470</v>
      </c>
      <c r="Q18">
        <v>4690</v>
      </c>
      <c r="R18">
        <v>2100</v>
      </c>
      <c r="S18">
        <v>1900</v>
      </c>
      <c r="T18">
        <v>3329</v>
      </c>
      <c r="U18">
        <v>2026</v>
      </c>
      <c r="V18">
        <v>709</v>
      </c>
      <c r="W18">
        <v>1208</v>
      </c>
      <c r="X18">
        <v>788</v>
      </c>
      <c r="Y18">
        <v>1348</v>
      </c>
      <c r="Z18">
        <v>1555</v>
      </c>
      <c r="AA18">
        <v>1235</v>
      </c>
      <c r="AB18">
        <v>559</v>
      </c>
      <c r="AC18">
        <v>741</v>
      </c>
      <c r="AD18">
        <v>393</v>
      </c>
      <c r="AE18">
        <v>225</v>
      </c>
      <c r="AF18">
        <v>535</v>
      </c>
      <c r="AG18">
        <v>833</v>
      </c>
      <c r="AH18">
        <v>376</v>
      </c>
      <c r="AI18">
        <v>513</v>
      </c>
      <c r="AJ18">
        <v>532</v>
      </c>
      <c r="AK18">
        <v>920</v>
      </c>
      <c r="AL18">
        <v>647</v>
      </c>
      <c r="AM18">
        <v>363</v>
      </c>
      <c r="AN18">
        <v>157</v>
      </c>
      <c r="AO18">
        <v>181</v>
      </c>
      <c r="AP18">
        <v>88</v>
      </c>
      <c r="AQ18">
        <v>308</v>
      </c>
      <c r="AR18">
        <v>374</v>
      </c>
      <c r="AS18">
        <v>514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J4945"/>
  <sheetViews>
    <sheetView zoomScale="90" zoomScaleNormal="90" workbookViewId="0">
      <pane ySplit="1" topLeftCell="A4899" activePane="bottomLeft" state="frozen"/>
      <selection pane="bottomLeft" activeCell="E4945" sqref="E4945"/>
    </sheetView>
  </sheetViews>
  <sheetFormatPr defaultColWidth="9.140625" defaultRowHeight="15" x14ac:dyDescent="0.25"/>
  <cols>
    <col min="1" max="1" width="11.7109375" style="59" bestFit="1" customWidth="1"/>
    <col min="2" max="2" width="22.42578125" style="59" bestFit="1" customWidth="1"/>
    <col min="3" max="3" width="9.28515625" style="83" bestFit="1" customWidth="1"/>
    <col min="4" max="4" width="10.7109375" style="59" bestFit="1" customWidth="1"/>
    <col min="5" max="5" width="9.140625" style="59"/>
    <col min="6" max="6" width="12.85546875" style="78" customWidth="1"/>
    <col min="7" max="7" width="81" style="59" customWidth="1"/>
    <col min="8" max="8" width="63.7109375" style="59" customWidth="1"/>
    <col min="9" max="9" width="38.5703125" style="59" customWidth="1"/>
    <col min="10" max="16384" width="9.140625" style="59"/>
  </cols>
  <sheetData>
    <row r="1" spans="1:9" ht="15" customHeight="1" x14ac:dyDescent="0.25">
      <c r="A1" s="84" t="s">
        <v>0</v>
      </c>
      <c r="B1" s="85" t="s">
        <v>1</v>
      </c>
      <c r="C1" s="86" t="s">
        <v>2</v>
      </c>
      <c r="D1" s="85" t="s">
        <v>3</v>
      </c>
      <c r="E1" s="85" t="s">
        <v>4</v>
      </c>
      <c r="F1" s="85" t="s">
        <v>5</v>
      </c>
      <c r="G1" s="84" t="s">
        <v>6</v>
      </c>
      <c r="H1" s="84" t="s">
        <v>7</v>
      </c>
      <c r="I1" s="85" t="s">
        <v>244</v>
      </c>
    </row>
    <row r="2" spans="1:9" ht="15" customHeight="1" x14ac:dyDescent="0.25">
      <c r="A2" s="87" t="s">
        <v>65</v>
      </c>
      <c r="B2" s="87" t="s">
        <v>230</v>
      </c>
      <c r="C2" s="87">
        <v>1975</v>
      </c>
      <c r="D2" s="87" t="s">
        <v>138</v>
      </c>
      <c r="E2" s="116">
        <v>15000</v>
      </c>
      <c r="F2" s="87" t="s">
        <v>1038</v>
      </c>
      <c r="G2" s="87" t="s">
        <v>332</v>
      </c>
      <c r="H2" s="87" t="s">
        <v>661</v>
      </c>
      <c r="I2" s="87">
        <v>60</v>
      </c>
    </row>
    <row r="3" spans="1:9" ht="15" customHeight="1" x14ac:dyDescent="0.25">
      <c r="A3" s="87" t="s">
        <v>65</v>
      </c>
      <c r="B3" s="87" t="s">
        <v>230</v>
      </c>
      <c r="C3" s="87">
        <v>1976</v>
      </c>
      <c r="D3" s="87" t="s">
        <v>138</v>
      </c>
      <c r="E3" s="116">
        <v>7500</v>
      </c>
      <c r="F3" s="87" t="s">
        <v>1038</v>
      </c>
      <c r="G3" s="87" t="s">
        <v>332</v>
      </c>
      <c r="H3" s="87" t="s">
        <v>661</v>
      </c>
      <c r="I3" s="87">
        <v>60</v>
      </c>
    </row>
    <row r="4" spans="1:9" ht="15" customHeight="1" x14ac:dyDescent="0.25">
      <c r="A4" s="87" t="s">
        <v>65</v>
      </c>
      <c r="B4" s="87" t="s">
        <v>230</v>
      </c>
      <c r="C4" s="87">
        <v>1977</v>
      </c>
      <c r="D4" s="87" t="s">
        <v>138</v>
      </c>
      <c r="E4" s="116">
        <v>25000</v>
      </c>
      <c r="F4" s="87" t="s">
        <v>1038</v>
      </c>
      <c r="G4" s="87" t="s">
        <v>332</v>
      </c>
      <c r="H4" s="87" t="s">
        <v>661</v>
      </c>
      <c r="I4" s="87">
        <v>60</v>
      </c>
    </row>
    <row r="5" spans="1:9" ht="15" customHeight="1" x14ac:dyDescent="0.25">
      <c r="A5" s="87" t="s">
        <v>65</v>
      </c>
      <c r="B5" s="87" t="s">
        <v>230</v>
      </c>
      <c r="C5" s="87">
        <v>1978</v>
      </c>
      <c r="D5" s="87" t="s">
        <v>138</v>
      </c>
      <c r="E5" s="116">
        <v>15000</v>
      </c>
      <c r="F5" s="87" t="s">
        <v>1038</v>
      </c>
      <c r="G5" s="87" t="s">
        <v>332</v>
      </c>
      <c r="H5" s="87" t="s">
        <v>661</v>
      </c>
      <c r="I5" s="87">
        <v>60</v>
      </c>
    </row>
    <row r="6" spans="1:9" ht="15" customHeight="1" x14ac:dyDescent="0.25">
      <c r="A6" s="87" t="s">
        <v>65</v>
      </c>
      <c r="B6" s="87" t="s">
        <v>230</v>
      </c>
      <c r="C6" s="87">
        <v>1979</v>
      </c>
      <c r="D6" s="87" t="s">
        <v>138</v>
      </c>
      <c r="E6" s="116">
        <v>78000</v>
      </c>
      <c r="F6" s="87" t="s">
        <v>662</v>
      </c>
      <c r="G6" s="87" t="s">
        <v>272</v>
      </c>
      <c r="H6" s="87" t="s">
        <v>662</v>
      </c>
      <c r="I6" s="87">
        <v>60</v>
      </c>
    </row>
    <row r="7" spans="1:9" ht="15" customHeight="1" x14ac:dyDescent="0.25">
      <c r="A7" s="87" t="s">
        <v>65</v>
      </c>
      <c r="B7" s="87" t="s">
        <v>230</v>
      </c>
      <c r="C7" s="87">
        <v>1980</v>
      </c>
      <c r="D7" s="87" t="s">
        <v>138</v>
      </c>
      <c r="E7" s="116">
        <v>52000</v>
      </c>
      <c r="F7" s="87" t="s">
        <v>662</v>
      </c>
      <c r="G7" s="87" t="s">
        <v>272</v>
      </c>
      <c r="H7" s="87" t="s">
        <v>662</v>
      </c>
      <c r="I7" s="87">
        <v>60</v>
      </c>
    </row>
    <row r="8" spans="1:9" ht="15" customHeight="1" x14ac:dyDescent="0.25">
      <c r="A8" s="87" t="s">
        <v>65</v>
      </c>
      <c r="B8" s="87" t="s">
        <v>230</v>
      </c>
      <c r="C8" s="87">
        <v>1981</v>
      </c>
      <c r="D8" s="87" t="s">
        <v>138</v>
      </c>
      <c r="E8" s="116">
        <v>104000</v>
      </c>
      <c r="F8" s="87" t="s">
        <v>662</v>
      </c>
      <c r="G8" s="87" t="s">
        <v>272</v>
      </c>
      <c r="H8" s="87" t="s">
        <v>662</v>
      </c>
      <c r="I8" s="87">
        <v>60</v>
      </c>
    </row>
    <row r="9" spans="1:9" ht="15" customHeight="1" x14ac:dyDescent="0.25">
      <c r="A9" s="87" t="s">
        <v>65</v>
      </c>
      <c r="B9" s="87" t="s">
        <v>230</v>
      </c>
      <c r="C9" s="87">
        <v>1982</v>
      </c>
      <c r="D9" s="87" t="s">
        <v>138</v>
      </c>
      <c r="E9" s="116">
        <v>114400</v>
      </c>
      <c r="F9" s="87" t="s">
        <v>662</v>
      </c>
      <c r="G9" s="87" t="s">
        <v>272</v>
      </c>
      <c r="H9" s="87" t="s">
        <v>662</v>
      </c>
      <c r="I9" s="87">
        <v>60</v>
      </c>
    </row>
    <row r="10" spans="1:9" ht="15" customHeight="1" x14ac:dyDescent="0.25">
      <c r="A10" s="87" t="s">
        <v>65</v>
      </c>
      <c r="B10" s="87" t="s">
        <v>230</v>
      </c>
      <c r="C10" s="87">
        <v>1983</v>
      </c>
      <c r="D10" s="87" t="s">
        <v>138</v>
      </c>
      <c r="E10" s="116">
        <v>31200</v>
      </c>
      <c r="F10" s="87" t="s">
        <v>1038</v>
      </c>
      <c r="G10" s="87" t="s">
        <v>332</v>
      </c>
      <c r="H10" s="87" t="s">
        <v>661</v>
      </c>
      <c r="I10" s="87">
        <v>60</v>
      </c>
    </row>
    <row r="11" spans="1:9" ht="15" customHeight="1" x14ac:dyDescent="0.25">
      <c r="A11" s="87" t="s">
        <v>65</v>
      </c>
      <c r="B11" s="87" t="s">
        <v>230</v>
      </c>
      <c r="C11" s="87">
        <v>1984</v>
      </c>
      <c r="D11" s="87" t="s">
        <v>138</v>
      </c>
      <c r="E11" s="116">
        <v>120835</v>
      </c>
      <c r="F11" s="87" t="s">
        <v>967</v>
      </c>
      <c r="G11" s="87" t="s">
        <v>273</v>
      </c>
      <c r="H11" s="87" t="s">
        <v>967</v>
      </c>
      <c r="I11" s="87">
        <v>60</v>
      </c>
    </row>
    <row r="12" spans="1:9" ht="15" customHeight="1" x14ac:dyDescent="0.25">
      <c r="A12" s="87" t="s">
        <v>65</v>
      </c>
      <c r="B12" s="87" t="s">
        <v>230</v>
      </c>
      <c r="C12" s="87">
        <v>1985</v>
      </c>
      <c r="D12" s="87" t="s">
        <v>138</v>
      </c>
      <c r="E12" s="116">
        <v>174776</v>
      </c>
      <c r="F12" s="87" t="s">
        <v>967</v>
      </c>
      <c r="G12" s="87" t="s">
        <v>273</v>
      </c>
      <c r="H12" s="87" t="s">
        <v>967</v>
      </c>
      <c r="I12" s="87">
        <v>60</v>
      </c>
    </row>
    <row r="13" spans="1:9" ht="15" customHeight="1" x14ac:dyDescent="0.25">
      <c r="A13" s="87" t="s">
        <v>65</v>
      </c>
      <c r="B13" s="87" t="s">
        <v>230</v>
      </c>
      <c r="C13" s="87">
        <v>1986</v>
      </c>
      <c r="D13" s="87" t="s">
        <v>138</v>
      </c>
      <c r="E13" s="116">
        <v>162594</v>
      </c>
      <c r="F13" s="87" t="s">
        <v>967</v>
      </c>
      <c r="G13" s="87" t="s">
        <v>273</v>
      </c>
      <c r="H13" s="87" t="s">
        <v>967</v>
      </c>
      <c r="I13" s="87">
        <v>60</v>
      </c>
    </row>
    <row r="14" spans="1:9" ht="15" customHeight="1" x14ac:dyDescent="0.25">
      <c r="A14" s="87" t="s">
        <v>65</v>
      </c>
      <c r="B14" s="87" t="s">
        <v>230</v>
      </c>
      <c r="C14" s="87">
        <v>1987</v>
      </c>
      <c r="D14" s="87" t="s">
        <v>138</v>
      </c>
      <c r="E14" s="116">
        <v>79036</v>
      </c>
      <c r="F14" s="87" t="s">
        <v>967</v>
      </c>
      <c r="G14" s="87" t="s">
        <v>273</v>
      </c>
      <c r="H14" s="87" t="s">
        <v>967</v>
      </c>
      <c r="I14" s="87">
        <v>60</v>
      </c>
    </row>
    <row r="15" spans="1:9" ht="15" customHeight="1" x14ac:dyDescent="0.25">
      <c r="A15" s="87" t="s">
        <v>65</v>
      </c>
      <c r="B15" s="87" t="s">
        <v>230</v>
      </c>
      <c r="C15" s="87">
        <v>1988</v>
      </c>
      <c r="D15" s="87" t="s">
        <v>138</v>
      </c>
      <c r="E15" s="116">
        <v>35114</v>
      </c>
      <c r="F15" s="87" t="s">
        <v>967</v>
      </c>
      <c r="G15" s="87" t="s">
        <v>273</v>
      </c>
      <c r="H15" s="87" t="s">
        <v>967</v>
      </c>
      <c r="I15" s="87">
        <v>60</v>
      </c>
    </row>
    <row r="16" spans="1:9" ht="15" customHeight="1" x14ac:dyDescent="0.25">
      <c r="A16" s="87" t="s">
        <v>65</v>
      </c>
      <c r="B16" s="87" t="s">
        <v>230</v>
      </c>
      <c r="C16" s="87">
        <v>1989</v>
      </c>
      <c r="D16" s="87" t="s">
        <v>138</v>
      </c>
      <c r="E16" s="116">
        <v>74683</v>
      </c>
      <c r="F16" s="87" t="s">
        <v>967</v>
      </c>
      <c r="G16" s="87" t="s">
        <v>273</v>
      </c>
      <c r="H16" s="87" t="s">
        <v>967</v>
      </c>
      <c r="I16" s="87">
        <v>60</v>
      </c>
    </row>
    <row r="17" spans="1:9" ht="15" customHeight="1" x14ac:dyDescent="0.25">
      <c r="A17" s="87" t="s">
        <v>65</v>
      </c>
      <c r="B17" s="87" t="s">
        <v>230</v>
      </c>
      <c r="C17" s="87">
        <v>1990</v>
      </c>
      <c r="D17" s="87" t="s">
        <v>138</v>
      </c>
      <c r="E17" s="116">
        <v>177373</v>
      </c>
      <c r="F17" s="87" t="s">
        <v>967</v>
      </c>
      <c r="G17" s="87" t="s">
        <v>273</v>
      </c>
      <c r="H17" s="87" t="s">
        <v>967</v>
      </c>
      <c r="I17" s="87">
        <v>60</v>
      </c>
    </row>
    <row r="18" spans="1:9" ht="15" customHeight="1" x14ac:dyDescent="0.25">
      <c r="A18" s="87" t="s">
        <v>65</v>
      </c>
      <c r="B18" s="87" t="s">
        <v>230</v>
      </c>
      <c r="C18" s="87">
        <v>1991</v>
      </c>
      <c r="D18" s="87" t="s">
        <v>138</v>
      </c>
      <c r="E18" s="116">
        <v>90636</v>
      </c>
      <c r="F18" s="87" t="s">
        <v>967</v>
      </c>
      <c r="G18" s="87" t="s">
        <v>273</v>
      </c>
      <c r="H18" s="87" t="s">
        <v>967</v>
      </c>
      <c r="I18" s="87">
        <v>60</v>
      </c>
    </row>
    <row r="19" spans="1:9" ht="15" customHeight="1" x14ac:dyDescent="0.25">
      <c r="A19" s="87" t="s">
        <v>65</v>
      </c>
      <c r="B19" s="87" t="s">
        <v>230</v>
      </c>
      <c r="C19" s="87">
        <v>1992</v>
      </c>
      <c r="D19" s="87" t="s">
        <v>138</v>
      </c>
      <c r="E19" s="116">
        <v>130409</v>
      </c>
      <c r="F19" s="87" t="s">
        <v>967</v>
      </c>
      <c r="G19" s="87" t="s">
        <v>273</v>
      </c>
      <c r="H19" s="87" t="s">
        <v>967</v>
      </c>
      <c r="I19" s="87">
        <v>60</v>
      </c>
    </row>
    <row r="20" spans="1:9" ht="15" customHeight="1" x14ac:dyDescent="0.25">
      <c r="A20" s="87" t="s">
        <v>65</v>
      </c>
      <c r="B20" s="87" t="s">
        <v>230</v>
      </c>
      <c r="C20" s="87">
        <v>1993</v>
      </c>
      <c r="D20" s="87" t="s">
        <v>138</v>
      </c>
      <c r="E20" s="116">
        <v>118997</v>
      </c>
      <c r="F20" s="87" t="s">
        <v>967</v>
      </c>
      <c r="G20" s="87" t="s">
        <v>273</v>
      </c>
      <c r="H20" s="87" t="s">
        <v>967</v>
      </c>
      <c r="I20" s="87">
        <v>60</v>
      </c>
    </row>
    <row r="21" spans="1:9" ht="15" customHeight="1" x14ac:dyDescent="0.25">
      <c r="A21" s="87" t="s">
        <v>65</v>
      </c>
      <c r="B21" s="87" t="s">
        <v>230</v>
      </c>
      <c r="C21" s="87">
        <v>1994</v>
      </c>
      <c r="D21" s="87" t="s">
        <v>138</v>
      </c>
      <c r="E21" s="116">
        <v>98342</v>
      </c>
      <c r="F21" s="87" t="s">
        <v>967</v>
      </c>
      <c r="G21" s="87" t="s">
        <v>273</v>
      </c>
      <c r="H21" s="87" t="s">
        <v>967</v>
      </c>
      <c r="I21" s="87">
        <v>60</v>
      </c>
    </row>
    <row r="22" spans="1:9" ht="15" customHeight="1" x14ac:dyDescent="0.25">
      <c r="A22" s="87" t="s">
        <v>65</v>
      </c>
      <c r="B22" s="87" t="s">
        <v>230</v>
      </c>
      <c r="C22" s="87">
        <v>1995</v>
      </c>
      <c r="D22" s="87" t="s">
        <v>138</v>
      </c>
      <c r="E22" s="116">
        <v>28616</v>
      </c>
      <c r="F22" s="87" t="s">
        <v>967</v>
      </c>
      <c r="G22" s="87" t="s">
        <v>273</v>
      </c>
      <c r="H22" s="87" t="s">
        <v>967</v>
      </c>
      <c r="I22" s="87">
        <v>60</v>
      </c>
    </row>
    <row r="23" spans="1:9" ht="15" customHeight="1" x14ac:dyDescent="0.25">
      <c r="A23" s="87" t="s">
        <v>65</v>
      </c>
      <c r="B23" s="87" t="s">
        <v>230</v>
      </c>
      <c r="C23" s="87">
        <v>1996</v>
      </c>
      <c r="D23" s="87" t="s">
        <v>138</v>
      </c>
      <c r="E23" s="116">
        <v>37392</v>
      </c>
      <c r="F23" s="87" t="s">
        <v>967</v>
      </c>
      <c r="G23" s="87" t="s">
        <v>273</v>
      </c>
      <c r="H23" s="87" t="s">
        <v>967</v>
      </c>
      <c r="I23" s="87">
        <v>60</v>
      </c>
    </row>
    <row r="24" spans="1:9" ht="15" customHeight="1" x14ac:dyDescent="0.25">
      <c r="A24" s="87" t="s">
        <v>65</v>
      </c>
      <c r="B24" s="87" t="s">
        <v>230</v>
      </c>
      <c r="C24" s="87">
        <v>1997</v>
      </c>
      <c r="D24" s="87" t="s">
        <v>138</v>
      </c>
      <c r="E24" s="116">
        <v>70514</v>
      </c>
      <c r="F24" s="87" t="s">
        <v>967</v>
      </c>
      <c r="G24" s="87" t="s">
        <v>273</v>
      </c>
      <c r="H24" s="87" t="s">
        <v>967</v>
      </c>
      <c r="I24" s="87">
        <v>60</v>
      </c>
    </row>
    <row r="25" spans="1:9" ht="15" customHeight="1" x14ac:dyDescent="0.25">
      <c r="A25" s="87" t="s">
        <v>65</v>
      </c>
      <c r="B25" s="87" t="s">
        <v>230</v>
      </c>
      <c r="C25" s="87">
        <v>1998</v>
      </c>
      <c r="D25" s="87" t="s">
        <v>138</v>
      </c>
      <c r="E25" s="116">
        <v>200258</v>
      </c>
      <c r="F25" s="87" t="s">
        <v>967</v>
      </c>
      <c r="G25" s="87" t="s">
        <v>273</v>
      </c>
      <c r="H25" s="87" t="s">
        <v>967</v>
      </c>
      <c r="I25" s="87">
        <v>60</v>
      </c>
    </row>
    <row r="26" spans="1:9" ht="15" customHeight="1" x14ac:dyDescent="0.25">
      <c r="A26" s="87" t="s">
        <v>65</v>
      </c>
      <c r="B26" s="87" t="s">
        <v>230</v>
      </c>
      <c r="C26" s="87">
        <v>1999</v>
      </c>
      <c r="D26" s="87" t="s">
        <v>138</v>
      </c>
      <c r="E26" s="116">
        <v>104415</v>
      </c>
      <c r="F26" s="87" t="s">
        <v>967</v>
      </c>
      <c r="G26" s="87" t="s">
        <v>273</v>
      </c>
      <c r="H26" s="87" t="s">
        <v>967</v>
      </c>
      <c r="I26" s="87">
        <v>60</v>
      </c>
    </row>
    <row r="27" spans="1:9" ht="15" customHeight="1" x14ac:dyDescent="0.25">
      <c r="A27" s="87" t="s">
        <v>65</v>
      </c>
      <c r="B27" s="87" t="s">
        <v>230</v>
      </c>
      <c r="C27" s="87">
        <v>2000</v>
      </c>
      <c r="D27" s="87" t="s">
        <v>138</v>
      </c>
      <c r="E27" s="116">
        <v>77754</v>
      </c>
      <c r="F27" s="87" t="s">
        <v>967</v>
      </c>
      <c r="G27" s="87" t="s">
        <v>273</v>
      </c>
      <c r="H27" s="87" t="s">
        <v>967</v>
      </c>
      <c r="I27" s="87">
        <v>60</v>
      </c>
    </row>
    <row r="28" spans="1:9" ht="15" customHeight="1" x14ac:dyDescent="0.25">
      <c r="A28" s="87" t="s">
        <v>65</v>
      </c>
      <c r="B28" s="87" t="s">
        <v>230</v>
      </c>
      <c r="C28" s="87">
        <v>2001</v>
      </c>
      <c r="D28" s="87" t="s">
        <v>138</v>
      </c>
      <c r="E28" s="116">
        <v>108502</v>
      </c>
      <c r="F28" s="87" t="s">
        <v>967</v>
      </c>
      <c r="G28" s="87" t="s">
        <v>273</v>
      </c>
      <c r="H28" s="87" t="s">
        <v>967</v>
      </c>
      <c r="I28" s="87">
        <v>60</v>
      </c>
    </row>
    <row r="29" spans="1:9" ht="15" customHeight="1" x14ac:dyDescent="0.25">
      <c r="A29" s="87" t="s">
        <v>65</v>
      </c>
      <c r="B29" s="87" t="s">
        <v>230</v>
      </c>
      <c r="C29" s="87">
        <v>2002</v>
      </c>
      <c r="D29" s="87" t="s">
        <v>138</v>
      </c>
      <c r="E29" s="116">
        <v>83011</v>
      </c>
      <c r="F29" s="87" t="s">
        <v>967</v>
      </c>
      <c r="G29" s="87" t="s">
        <v>273</v>
      </c>
      <c r="H29" s="87" t="s">
        <v>967</v>
      </c>
      <c r="I29" s="87">
        <v>60</v>
      </c>
    </row>
    <row r="30" spans="1:9" ht="15" customHeight="1" x14ac:dyDescent="0.25">
      <c r="A30" s="87" t="s">
        <v>65</v>
      </c>
      <c r="B30" s="87" t="s">
        <v>230</v>
      </c>
      <c r="C30" s="87">
        <v>2003</v>
      </c>
      <c r="D30" s="87" t="s">
        <v>138</v>
      </c>
      <c r="E30" s="116">
        <v>246986</v>
      </c>
      <c r="F30" s="87" t="s">
        <v>967</v>
      </c>
      <c r="G30" s="87" t="s">
        <v>273</v>
      </c>
      <c r="H30" s="87" t="s">
        <v>967</v>
      </c>
      <c r="I30" s="87">
        <v>60</v>
      </c>
    </row>
    <row r="31" spans="1:9" ht="15" customHeight="1" x14ac:dyDescent="0.25">
      <c r="A31" s="87" t="s">
        <v>65</v>
      </c>
      <c r="B31" s="87" t="s">
        <v>230</v>
      </c>
      <c r="C31" s="87">
        <v>2004</v>
      </c>
      <c r="D31" s="87" t="s">
        <v>138</v>
      </c>
      <c r="E31" s="116">
        <v>139126</v>
      </c>
      <c r="F31" s="87" t="s">
        <v>967</v>
      </c>
      <c r="G31" s="87" t="s">
        <v>273</v>
      </c>
      <c r="H31" s="87" t="s">
        <v>967</v>
      </c>
      <c r="I31" s="87">
        <v>60</v>
      </c>
    </row>
    <row r="32" spans="1:9" ht="15" customHeight="1" x14ac:dyDescent="0.25">
      <c r="A32" s="87" t="s">
        <v>65</v>
      </c>
      <c r="B32" s="87" t="s">
        <v>230</v>
      </c>
      <c r="C32" s="87">
        <v>2005</v>
      </c>
      <c r="D32" s="87" t="s">
        <v>138</v>
      </c>
      <c r="E32" s="116">
        <v>88589</v>
      </c>
      <c r="F32" s="87" t="s">
        <v>967</v>
      </c>
      <c r="G32" s="87" t="s">
        <v>273</v>
      </c>
      <c r="H32" s="87" t="s">
        <v>967</v>
      </c>
      <c r="I32" s="87">
        <v>60</v>
      </c>
    </row>
    <row r="33" spans="1:9" ht="15" customHeight="1" x14ac:dyDescent="0.25">
      <c r="A33" s="87" t="s">
        <v>65</v>
      </c>
      <c r="B33" s="87" t="s">
        <v>230</v>
      </c>
      <c r="C33" s="87">
        <v>2006</v>
      </c>
      <c r="D33" s="87" t="s">
        <v>138</v>
      </c>
      <c r="E33" s="116">
        <v>60421</v>
      </c>
      <c r="F33" s="87" t="s">
        <v>967</v>
      </c>
      <c r="G33" s="87" t="s">
        <v>273</v>
      </c>
      <c r="H33" s="87" t="s">
        <v>967</v>
      </c>
      <c r="I33" s="87">
        <v>60</v>
      </c>
    </row>
    <row r="34" spans="1:9" ht="15" customHeight="1" x14ac:dyDescent="0.25">
      <c r="A34" s="87" t="s">
        <v>65</v>
      </c>
      <c r="B34" s="87" t="s">
        <v>230</v>
      </c>
      <c r="C34" s="87">
        <v>2007</v>
      </c>
      <c r="D34" s="87" t="s">
        <v>138</v>
      </c>
      <c r="E34" s="116">
        <v>76483</v>
      </c>
      <c r="F34" s="87" t="s">
        <v>967</v>
      </c>
      <c r="G34" s="87" t="s">
        <v>273</v>
      </c>
      <c r="H34" s="87" t="s">
        <v>967</v>
      </c>
      <c r="I34" s="87">
        <v>60</v>
      </c>
    </row>
    <row r="35" spans="1:9" ht="15" customHeight="1" x14ac:dyDescent="0.25">
      <c r="A35" s="87" t="s">
        <v>65</v>
      </c>
      <c r="B35" s="87" t="s">
        <v>230</v>
      </c>
      <c r="C35" s="87">
        <v>2008</v>
      </c>
      <c r="D35" s="87" t="s">
        <v>138</v>
      </c>
      <c r="E35" s="116">
        <v>41603</v>
      </c>
      <c r="F35" s="87" t="s">
        <v>967</v>
      </c>
      <c r="G35" s="87" t="s">
        <v>273</v>
      </c>
      <c r="H35" s="87" t="s">
        <v>967</v>
      </c>
      <c r="I35" s="87">
        <v>60</v>
      </c>
    </row>
    <row r="36" spans="1:9" ht="15" customHeight="1" x14ac:dyDescent="0.25">
      <c r="A36" s="87" t="s">
        <v>65</v>
      </c>
      <c r="B36" s="87" t="s">
        <v>230</v>
      </c>
      <c r="C36" s="87">
        <v>2009</v>
      </c>
      <c r="D36" s="87" t="s">
        <v>138</v>
      </c>
      <c r="E36" s="116">
        <v>70142</v>
      </c>
      <c r="F36" s="87" t="s">
        <v>967</v>
      </c>
      <c r="G36" s="87" t="s">
        <v>273</v>
      </c>
      <c r="H36" s="87" t="s">
        <v>967</v>
      </c>
      <c r="I36" s="87">
        <v>60</v>
      </c>
    </row>
    <row r="37" spans="1:9" ht="15" customHeight="1" x14ac:dyDescent="0.25">
      <c r="A37" s="87" t="s">
        <v>65</v>
      </c>
      <c r="B37" s="87" t="s">
        <v>230</v>
      </c>
      <c r="C37" s="87">
        <v>2010</v>
      </c>
      <c r="D37" s="87" t="s">
        <v>138</v>
      </c>
      <c r="E37" s="116">
        <v>103558</v>
      </c>
      <c r="F37" s="87" t="s">
        <v>967</v>
      </c>
      <c r="G37" s="87" t="s">
        <v>273</v>
      </c>
      <c r="H37" s="87" t="s">
        <v>967</v>
      </c>
      <c r="I37" s="87">
        <v>60</v>
      </c>
    </row>
    <row r="38" spans="1:9" ht="15" customHeight="1" x14ac:dyDescent="0.25">
      <c r="A38" s="87" t="s">
        <v>65</v>
      </c>
      <c r="B38" s="87" t="s">
        <v>230</v>
      </c>
      <c r="C38" s="87">
        <v>2011</v>
      </c>
      <c r="D38" s="87" t="s">
        <v>138</v>
      </c>
      <c r="E38" s="116">
        <v>123647</v>
      </c>
      <c r="F38" s="87" t="s">
        <v>967</v>
      </c>
      <c r="G38" s="87" t="s">
        <v>273</v>
      </c>
      <c r="H38" s="87" t="s">
        <v>967</v>
      </c>
      <c r="I38" s="87">
        <v>60</v>
      </c>
    </row>
    <row r="39" spans="1:9" ht="15" customHeight="1" x14ac:dyDescent="0.25">
      <c r="A39" s="87" t="s">
        <v>65</v>
      </c>
      <c r="B39" s="87" t="s">
        <v>230</v>
      </c>
      <c r="C39" s="87">
        <v>2012</v>
      </c>
      <c r="D39" s="87" t="s">
        <v>138</v>
      </c>
      <c r="E39" s="116">
        <v>44467</v>
      </c>
      <c r="F39" s="87" t="s">
        <v>967</v>
      </c>
      <c r="G39" s="87" t="s">
        <v>273</v>
      </c>
      <c r="H39" s="87" t="s">
        <v>967</v>
      </c>
      <c r="I39" s="87">
        <v>60</v>
      </c>
    </row>
    <row r="40" spans="1:9" ht="15" customHeight="1" x14ac:dyDescent="0.25">
      <c r="A40" s="87" t="s">
        <v>65</v>
      </c>
      <c r="B40" s="87" t="s">
        <v>230</v>
      </c>
      <c r="C40" s="87">
        <v>2013</v>
      </c>
      <c r="D40" s="87" t="s">
        <v>138</v>
      </c>
      <c r="E40" s="116">
        <v>42953</v>
      </c>
      <c r="F40" s="87" t="s">
        <v>967</v>
      </c>
      <c r="G40" s="87" t="s">
        <v>273</v>
      </c>
      <c r="H40" s="87" t="s">
        <v>967</v>
      </c>
      <c r="I40" s="87">
        <v>60</v>
      </c>
    </row>
    <row r="41" spans="1:9" ht="15" customHeight="1" x14ac:dyDescent="0.25">
      <c r="A41" s="87" t="s">
        <v>65</v>
      </c>
      <c r="B41" s="87" t="s">
        <v>230</v>
      </c>
      <c r="C41" s="87">
        <v>2014</v>
      </c>
      <c r="D41" s="87" t="s">
        <v>138</v>
      </c>
      <c r="E41" s="116">
        <v>44686</v>
      </c>
      <c r="F41" s="87" t="s">
        <v>967</v>
      </c>
      <c r="G41" s="87" t="s">
        <v>273</v>
      </c>
      <c r="H41" s="87" t="s">
        <v>967</v>
      </c>
      <c r="I41" s="87">
        <v>60</v>
      </c>
    </row>
    <row r="42" spans="1:9" ht="15" customHeight="1" x14ac:dyDescent="0.25">
      <c r="A42" s="87" t="s">
        <v>65</v>
      </c>
      <c r="B42" s="87" t="s">
        <v>230</v>
      </c>
      <c r="C42" s="87">
        <v>2015</v>
      </c>
      <c r="D42" s="87" t="s">
        <v>138</v>
      </c>
      <c r="E42" s="116">
        <v>101516</v>
      </c>
      <c r="F42" s="87" t="s">
        <v>967</v>
      </c>
      <c r="G42" s="87" t="s">
        <v>273</v>
      </c>
      <c r="H42" s="87" t="s">
        <v>967</v>
      </c>
      <c r="I42" s="87">
        <v>60</v>
      </c>
    </row>
    <row r="43" spans="1:9" ht="15" customHeight="1" x14ac:dyDescent="0.25">
      <c r="A43" s="87" t="s">
        <v>65</v>
      </c>
      <c r="B43" s="87" t="s">
        <v>230</v>
      </c>
      <c r="C43" s="87">
        <v>2016</v>
      </c>
      <c r="D43" s="87" t="s">
        <v>138</v>
      </c>
      <c r="E43" s="116">
        <v>41327</v>
      </c>
      <c r="F43" s="87" t="s">
        <v>967</v>
      </c>
      <c r="G43" s="87" t="s">
        <v>273</v>
      </c>
      <c r="H43" s="87" t="s">
        <v>967</v>
      </c>
      <c r="I43" s="87">
        <v>60</v>
      </c>
    </row>
    <row r="44" spans="1:9" ht="15" customHeight="1" x14ac:dyDescent="0.25">
      <c r="A44" s="87" t="s">
        <v>65</v>
      </c>
      <c r="B44" s="87" t="s">
        <v>230</v>
      </c>
      <c r="C44" s="87">
        <v>2017</v>
      </c>
      <c r="D44" s="87" t="s">
        <v>138</v>
      </c>
      <c r="E44" s="116">
        <v>29799</v>
      </c>
      <c r="F44" s="87" t="s">
        <v>967</v>
      </c>
      <c r="G44" s="87" t="s">
        <v>273</v>
      </c>
      <c r="H44" s="87" t="s">
        <v>967</v>
      </c>
      <c r="I44" s="87">
        <v>60</v>
      </c>
    </row>
    <row r="45" spans="1:9" ht="15" customHeight="1" x14ac:dyDescent="0.25">
      <c r="A45" s="87" t="s">
        <v>65</v>
      </c>
      <c r="B45" s="87" t="s">
        <v>230</v>
      </c>
      <c r="C45" s="87">
        <v>2018</v>
      </c>
      <c r="D45" s="87" t="s">
        <v>138</v>
      </c>
      <c r="E45" s="116">
        <v>46094</v>
      </c>
      <c r="F45" s="87" t="s">
        <v>967</v>
      </c>
      <c r="G45" s="87" t="s">
        <v>273</v>
      </c>
      <c r="H45" s="87" t="s">
        <v>967</v>
      </c>
      <c r="I45" s="87">
        <v>60</v>
      </c>
    </row>
    <row r="46" spans="1:9" ht="15" customHeight="1" x14ac:dyDescent="0.25">
      <c r="A46" s="87" t="s">
        <v>65</v>
      </c>
      <c r="B46" s="87" t="s">
        <v>230</v>
      </c>
      <c r="C46" s="87">
        <v>2019</v>
      </c>
      <c r="D46" s="87" t="s">
        <v>138</v>
      </c>
      <c r="E46" s="116">
        <v>45186</v>
      </c>
      <c r="F46" s="87" t="s">
        <v>967</v>
      </c>
      <c r="G46" s="87" t="s">
        <v>273</v>
      </c>
      <c r="H46" s="87" t="s">
        <v>967</v>
      </c>
      <c r="I46" s="87">
        <v>60</v>
      </c>
    </row>
    <row r="47" spans="1:9" ht="15" customHeight="1" x14ac:dyDescent="0.25">
      <c r="A47" s="87" t="s">
        <v>65</v>
      </c>
      <c r="B47" s="87" t="s">
        <v>230</v>
      </c>
      <c r="C47" s="87">
        <v>2020</v>
      </c>
      <c r="D47" s="87" t="s">
        <v>138</v>
      </c>
      <c r="E47" s="116">
        <v>43087</v>
      </c>
      <c r="F47" s="87" t="s">
        <v>967</v>
      </c>
      <c r="G47" s="87" t="s">
        <v>273</v>
      </c>
      <c r="H47" s="87" t="s">
        <v>967</v>
      </c>
      <c r="I47" s="87">
        <v>60</v>
      </c>
    </row>
    <row r="48" spans="1:9" ht="15" customHeight="1" x14ac:dyDescent="0.25">
      <c r="A48" s="87" t="s">
        <v>65</v>
      </c>
      <c r="B48" s="87" t="s">
        <v>230</v>
      </c>
      <c r="C48" s="87">
        <v>2021</v>
      </c>
      <c r="D48" s="87" t="s">
        <v>138</v>
      </c>
      <c r="E48" s="116">
        <v>36449</v>
      </c>
      <c r="F48" s="87" t="s">
        <v>967</v>
      </c>
      <c r="G48" s="87" t="s">
        <v>273</v>
      </c>
      <c r="H48" s="87" t="s">
        <v>967</v>
      </c>
      <c r="I48" s="87">
        <v>60</v>
      </c>
    </row>
    <row r="49" spans="1:9" ht="15" customHeight="1" x14ac:dyDescent="0.25">
      <c r="A49" s="87" t="s">
        <v>65</v>
      </c>
      <c r="B49" s="87" t="s">
        <v>230</v>
      </c>
      <c r="C49" s="87">
        <v>2022</v>
      </c>
      <c r="D49" s="87" t="s">
        <v>138</v>
      </c>
      <c r="E49" s="116">
        <v>81649</v>
      </c>
      <c r="F49" s="87" t="s">
        <v>967</v>
      </c>
      <c r="G49" s="87" t="s">
        <v>273</v>
      </c>
      <c r="H49" s="87" t="s">
        <v>967</v>
      </c>
      <c r="I49" s="87">
        <v>60</v>
      </c>
    </row>
    <row r="50" spans="1:9" ht="15" customHeight="1" x14ac:dyDescent="0.25">
      <c r="A50" s="87" t="s">
        <v>67</v>
      </c>
      <c r="B50" s="87" t="s">
        <v>216</v>
      </c>
      <c r="C50" s="87">
        <v>1975</v>
      </c>
      <c r="D50" s="87" t="s">
        <v>15</v>
      </c>
      <c r="E50" s="116">
        <v>200</v>
      </c>
      <c r="F50" s="87" t="s">
        <v>508</v>
      </c>
      <c r="G50" s="87" t="s">
        <v>967</v>
      </c>
      <c r="H50" s="87" t="s">
        <v>508</v>
      </c>
      <c r="I50" s="87">
        <v>59</v>
      </c>
    </row>
    <row r="51" spans="1:9" ht="15" customHeight="1" x14ac:dyDescent="0.25">
      <c r="A51" s="87" t="s">
        <v>67</v>
      </c>
      <c r="B51" s="87" t="s">
        <v>216</v>
      </c>
      <c r="C51" s="87">
        <v>1976</v>
      </c>
      <c r="D51" s="87" t="s">
        <v>15</v>
      </c>
      <c r="E51" s="116">
        <v>200</v>
      </c>
      <c r="F51" s="87" t="s">
        <v>508</v>
      </c>
      <c r="G51" s="87" t="s">
        <v>967</v>
      </c>
      <c r="H51" s="87" t="s">
        <v>508</v>
      </c>
      <c r="I51" s="87">
        <v>59</v>
      </c>
    </row>
    <row r="52" spans="1:9" ht="15" customHeight="1" x14ac:dyDescent="0.25">
      <c r="A52" s="87" t="s">
        <v>67</v>
      </c>
      <c r="B52" s="87" t="s">
        <v>216</v>
      </c>
      <c r="C52" s="87">
        <v>1977</v>
      </c>
      <c r="D52" s="87" t="s">
        <v>15</v>
      </c>
      <c r="E52" s="116">
        <v>600</v>
      </c>
      <c r="F52" s="87" t="s">
        <v>508</v>
      </c>
      <c r="G52" s="87" t="s">
        <v>967</v>
      </c>
      <c r="H52" s="87" t="s">
        <v>508</v>
      </c>
      <c r="I52" s="87">
        <v>59</v>
      </c>
    </row>
    <row r="53" spans="1:9" ht="15" customHeight="1" x14ac:dyDescent="0.25">
      <c r="A53" s="87" t="s">
        <v>67</v>
      </c>
      <c r="B53" s="87" t="s">
        <v>216</v>
      </c>
      <c r="C53" s="87">
        <v>1978</v>
      </c>
      <c r="D53" s="87" t="s">
        <v>15</v>
      </c>
      <c r="E53" s="116">
        <v>400</v>
      </c>
      <c r="F53" s="87" t="s">
        <v>508</v>
      </c>
      <c r="G53" s="87" t="s">
        <v>967</v>
      </c>
      <c r="H53" s="87" t="s">
        <v>508</v>
      </c>
      <c r="I53" s="87">
        <v>59</v>
      </c>
    </row>
    <row r="54" spans="1:9" ht="15" customHeight="1" x14ac:dyDescent="0.25">
      <c r="A54" s="87" t="s">
        <v>67</v>
      </c>
      <c r="B54" s="87" t="s">
        <v>216</v>
      </c>
      <c r="C54" s="87">
        <v>1979</v>
      </c>
      <c r="D54" s="87" t="s">
        <v>15</v>
      </c>
      <c r="E54" s="116">
        <v>200</v>
      </c>
      <c r="F54" s="87" t="s">
        <v>508</v>
      </c>
      <c r="G54" s="87" t="s">
        <v>967</v>
      </c>
      <c r="H54" s="87" t="s">
        <v>508</v>
      </c>
      <c r="I54" s="87">
        <v>59</v>
      </c>
    </row>
    <row r="55" spans="1:9" ht="15" customHeight="1" x14ac:dyDescent="0.25">
      <c r="A55" s="87" t="s">
        <v>67</v>
      </c>
      <c r="B55" s="87" t="s">
        <v>216</v>
      </c>
      <c r="C55" s="87">
        <v>1980</v>
      </c>
      <c r="D55" s="87" t="s">
        <v>15</v>
      </c>
      <c r="E55" s="116">
        <v>300</v>
      </c>
      <c r="F55" s="87" t="s">
        <v>508</v>
      </c>
      <c r="G55" s="87" t="s">
        <v>967</v>
      </c>
      <c r="H55" s="87" t="s">
        <v>508</v>
      </c>
      <c r="I55" s="87">
        <v>59</v>
      </c>
    </row>
    <row r="56" spans="1:9" ht="15" customHeight="1" x14ac:dyDescent="0.25">
      <c r="A56" s="87" t="s">
        <v>67</v>
      </c>
      <c r="B56" s="87" t="s">
        <v>216</v>
      </c>
      <c r="C56" s="87">
        <v>1981</v>
      </c>
      <c r="D56" s="87" t="s">
        <v>15</v>
      </c>
      <c r="E56" s="116">
        <v>100</v>
      </c>
      <c r="F56" s="87" t="s">
        <v>508</v>
      </c>
      <c r="G56" s="87" t="s">
        <v>967</v>
      </c>
      <c r="H56" s="87" t="s">
        <v>508</v>
      </c>
      <c r="I56" s="87">
        <v>59</v>
      </c>
    </row>
    <row r="57" spans="1:9" ht="15" customHeight="1" x14ac:dyDescent="0.25">
      <c r="A57" s="87" t="s">
        <v>67</v>
      </c>
      <c r="B57" s="87" t="s">
        <v>216</v>
      </c>
      <c r="C57" s="87">
        <v>1982</v>
      </c>
      <c r="D57" s="87" t="s">
        <v>15</v>
      </c>
      <c r="E57" s="116">
        <v>400</v>
      </c>
      <c r="F57" s="87" t="s">
        <v>508</v>
      </c>
      <c r="G57" s="87" t="s">
        <v>967</v>
      </c>
      <c r="H57" s="87" t="s">
        <v>508</v>
      </c>
      <c r="I57" s="87">
        <v>59</v>
      </c>
    </row>
    <row r="58" spans="1:9" ht="15" customHeight="1" x14ac:dyDescent="0.25">
      <c r="A58" s="87" t="s">
        <v>67</v>
      </c>
      <c r="B58" s="87" t="s">
        <v>216</v>
      </c>
      <c r="C58" s="87">
        <v>1983</v>
      </c>
      <c r="D58" s="87" t="s">
        <v>15</v>
      </c>
      <c r="E58" s="116">
        <v>550</v>
      </c>
      <c r="F58" s="87" t="s">
        <v>508</v>
      </c>
      <c r="G58" s="87" t="s">
        <v>967</v>
      </c>
      <c r="H58" s="87" t="s">
        <v>508</v>
      </c>
      <c r="I58" s="87">
        <v>59</v>
      </c>
    </row>
    <row r="59" spans="1:9" ht="15" customHeight="1" x14ac:dyDescent="0.25">
      <c r="A59" s="87" t="s">
        <v>67</v>
      </c>
      <c r="B59" s="87" t="s">
        <v>216</v>
      </c>
      <c r="C59" s="87">
        <v>1984</v>
      </c>
      <c r="D59" s="87" t="s">
        <v>15</v>
      </c>
      <c r="E59" s="116">
        <v>300</v>
      </c>
      <c r="F59" s="87" t="s">
        <v>508</v>
      </c>
      <c r="G59" s="87" t="s">
        <v>967</v>
      </c>
      <c r="H59" s="87" t="s">
        <v>508</v>
      </c>
      <c r="I59" s="87">
        <v>59</v>
      </c>
    </row>
    <row r="60" spans="1:9" ht="15" customHeight="1" x14ac:dyDescent="0.25">
      <c r="A60" s="87" t="s">
        <v>67</v>
      </c>
      <c r="B60" s="87" t="s">
        <v>216</v>
      </c>
      <c r="C60" s="87">
        <v>1985</v>
      </c>
      <c r="D60" s="87" t="s">
        <v>15</v>
      </c>
      <c r="E60" s="116">
        <v>200</v>
      </c>
      <c r="F60" s="87" t="s">
        <v>508</v>
      </c>
      <c r="G60" s="87" t="s">
        <v>967</v>
      </c>
      <c r="H60" s="87" t="s">
        <v>508</v>
      </c>
      <c r="I60" s="87">
        <v>59</v>
      </c>
    </row>
    <row r="61" spans="1:9" ht="15" customHeight="1" x14ac:dyDescent="0.25">
      <c r="A61" s="87" t="s">
        <v>67</v>
      </c>
      <c r="B61" s="87" t="s">
        <v>216</v>
      </c>
      <c r="C61" s="87">
        <v>1986</v>
      </c>
      <c r="D61" s="87" t="s">
        <v>15</v>
      </c>
      <c r="E61" s="116">
        <v>150</v>
      </c>
      <c r="F61" s="87" t="s">
        <v>508</v>
      </c>
      <c r="G61" s="87" t="s">
        <v>967</v>
      </c>
      <c r="H61" s="87" t="s">
        <v>508</v>
      </c>
      <c r="I61" s="87">
        <v>59</v>
      </c>
    </row>
    <row r="62" spans="1:9" ht="15" customHeight="1" x14ac:dyDescent="0.25">
      <c r="A62" s="87" t="s">
        <v>67</v>
      </c>
      <c r="B62" s="87" t="s">
        <v>216</v>
      </c>
      <c r="C62" s="87">
        <v>1987</v>
      </c>
      <c r="D62" s="87" t="s">
        <v>15</v>
      </c>
      <c r="E62" s="116">
        <v>80</v>
      </c>
      <c r="F62" s="87" t="s">
        <v>508</v>
      </c>
      <c r="G62" s="87" t="s">
        <v>967</v>
      </c>
      <c r="H62" s="87" t="s">
        <v>508</v>
      </c>
      <c r="I62" s="87">
        <v>59</v>
      </c>
    </row>
    <row r="63" spans="1:9" ht="15" customHeight="1" x14ac:dyDescent="0.25">
      <c r="A63" s="87" t="s">
        <v>67</v>
      </c>
      <c r="B63" s="87" t="s">
        <v>216</v>
      </c>
      <c r="C63" s="87">
        <v>1988</v>
      </c>
      <c r="D63" s="87" t="s">
        <v>15</v>
      </c>
      <c r="E63" s="116">
        <v>412</v>
      </c>
      <c r="F63" s="87" t="s">
        <v>508</v>
      </c>
      <c r="G63" s="87" t="s">
        <v>967</v>
      </c>
      <c r="H63" s="87" t="s">
        <v>508</v>
      </c>
      <c r="I63" s="87">
        <v>59</v>
      </c>
    </row>
    <row r="64" spans="1:9" ht="15" customHeight="1" x14ac:dyDescent="0.25">
      <c r="A64" s="87" t="s">
        <v>67</v>
      </c>
      <c r="B64" s="87" t="s">
        <v>216</v>
      </c>
      <c r="C64" s="87">
        <v>1989</v>
      </c>
      <c r="D64" s="87" t="s">
        <v>15</v>
      </c>
      <c r="E64" s="116">
        <v>415</v>
      </c>
      <c r="F64" s="87" t="s">
        <v>508</v>
      </c>
      <c r="G64" s="87" t="s">
        <v>967</v>
      </c>
      <c r="H64" s="87" t="s">
        <v>508</v>
      </c>
      <c r="I64" s="87">
        <v>59</v>
      </c>
    </row>
    <row r="65" spans="1:9" ht="15" customHeight="1" x14ac:dyDescent="0.25">
      <c r="A65" s="87" t="s">
        <v>67</v>
      </c>
      <c r="B65" s="87" t="s">
        <v>216</v>
      </c>
      <c r="C65" s="87">
        <v>1990</v>
      </c>
      <c r="D65" s="87" t="s">
        <v>15</v>
      </c>
      <c r="E65" s="116">
        <v>275</v>
      </c>
      <c r="F65" s="87" t="s">
        <v>508</v>
      </c>
      <c r="G65" s="87" t="s">
        <v>967</v>
      </c>
      <c r="H65" s="87" t="s">
        <v>508</v>
      </c>
      <c r="I65" s="87">
        <v>59</v>
      </c>
    </row>
    <row r="66" spans="1:9" ht="15" customHeight="1" x14ac:dyDescent="0.25">
      <c r="A66" s="87" t="s">
        <v>67</v>
      </c>
      <c r="B66" s="87" t="s">
        <v>216</v>
      </c>
      <c r="C66" s="87">
        <v>1991</v>
      </c>
      <c r="D66" s="87" t="s">
        <v>15</v>
      </c>
      <c r="E66" s="116">
        <v>242</v>
      </c>
      <c r="F66" s="87" t="s">
        <v>967</v>
      </c>
      <c r="G66" s="87" t="s">
        <v>967</v>
      </c>
      <c r="H66" s="87" t="s">
        <v>524</v>
      </c>
      <c r="I66" s="87">
        <v>59</v>
      </c>
    </row>
    <row r="67" spans="1:9" ht="15" customHeight="1" x14ac:dyDescent="0.25">
      <c r="A67" s="87" t="s">
        <v>67</v>
      </c>
      <c r="B67" s="87" t="s">
        <v>216</v>
      </c>
      <c r="C67" s="87">
        <v>1992</v>
      </c>
      <c r="D67" s="87" t="s">
        <v>15</v>
      </c>
      <c r="E67" s="116">
        <v>713</v>
      </c>
      <c r="F67" s="87" t="s">
        <v>967</v>
      </c>
      <c r="G67" s="87" t="s">
        <v>967</v>
      </c>
      <c r="H67" s="87" t="s">
        <v>524</v>
      </c>
      <c r="I67" s="87">
        <v>59</v>
      </c>
    </row>
    <row r="68" spans="1:9" ht="15" customHeight="1" x14ac:dyDescent="0.25">
      <c r="A68" s="87" t="s">
        <v>67</v>
      </c>
      <c r="B68" s="87" t="s">
        <v>216</v>
      </c>
      <c r="C68" s="87">
        <v>1993</v>
      </c>
      <c r="D68" s="87" t="s">
        <v>15</v>
      </c>
      <c r="E68" s="116">
        <v>241</v>
      </c>
      <c r="F68" s="87" t="s">
        <v>967</v>
      </c>
      <c r="G68" s="87" t="s">
        <v>967</v>
      </c>
      <c r="H68" s="87" t="s">
        <v>524</v>
      </c>
      <c r="I68" s="87">
        <v>59</v>
      </c>
    </row>
    <row r="69" spans="1:9" ht="15" customHeight="1" x14ac:dyDescent="0.25">
      <c r="A69" s="87" t="s">
        <v>67</v>
      </c>
      <c r="B69" s="87" t="s">
        <v>216</v>
      </c>
      <c r="C69" s="87">
        <v>1994</v>
      </c>
      <c r="D69" s="87" t="s">
        <v>15</v>
      </c>
      <c r="E69" s="116">
        <v>343</v>
      </c>
      <c r="F69" s="87" t="s">
        <v>967</v>
      </c>
      <c r="G69" s="87" t="s">
        <v>967</v>
      </c>
      <c r="H69" s="87" t="s">
        <v>524</v>
      </c>
      <c r="I69" s="87">
        <v>59</v>
      </c>
    </row>
    <row r="70" spans="1:9" ht="15" customHeight="1" x14ac:dyDescent="0.25">
      <c r="A70" s="87" t="s">
        <v>67</v>
      </c>
      <c r="B70" s="87" t="s">
        <v>216</v>
      </c>
      <c r="C70" s="87">
        <v>1995</v>
      </c>
      <c r="D70" s="87" t="s">
        <v>15</v>
      </c>
      <c r="E70" s="116">
        <v>140</v>
      </c>
      <c r="F70" s="87" t="s">
        <v>526</v>
      </c>
      <c r="G70" s="87" t="s">
        <v>272</v>
      </c>
      <c r="H70" s="87" t="s">
        <v>525</v>
      </c>
      <c r="I70" s="87">
        <v>59</v>
      </c>
    </row>
    <row r="71" spans="1:9" ht="15" customHeight="1" x14ac:dyDescent="0.25">
      <c r="A71" s="87" t="s">
        <v>67</v>
      </c>
      <c r="B71" s="87" t="s">
        <v>216</v>
      </c>
      <c r="C71" s="87">
        <v>1996</v>
      </c>
      <c r="D71" s="87" t="s">
        <v>15</v>
      </c>
      <c r="E71" s="116">
        <v>263</v>
      </c>
      <c r="F71" s="87" t="s">
        <v>526</v>
      </c>
      <c r="G71" s="87" t="s">
        <v>272</v>
      </c>
      <c r="H71" s="87" t="s">
        <v>525</v>
      </c>
      <c r="I71" s="87">
        <v>59</v>
      </c>
    </row>
    <row r="72" spans="1:9" ht="15" customHeight="1" x14ac:dyDescent="0.25">
      <c r="A72" s="87" t="s">
        <v>67</v>
      </c>
      <c r="B72" s="87" t="s">
        <v>216</v>
      </c>
      <c r="C72" s="87">
        <v>1997</v>
      </c>
      <c r="D72" s="87" t="s">
        <v>15</v>
      </c>
      <c r="E72" s="116">
        <v>543</v>
      </c>
      <c r="F72" s="87" t="s">
        <v>526</v>
      </c>
      <c r="G72" s="87" t="s">
        <v>272</v>
      </c>
      <c r="H72" s="87" t="s">
        <v>525</v>
      </c>
      <c r="I72" s="87">
        <v>59</v>
      </c>
    </row>
    <row r="73" spans="1:9" ht="15" customHeight="1" x14ac:dyDescent="0.25">
      <c r="A73" s="87" t="s">
        <v>67</v>
      </c>
      <c r="B73" s="87" t="s">
        <v>216</v>
      </c>
      <c r="C73" s="87">
        <v>1998</v>
      </c>
      <c r="D73" s="87" t="s">
        <v>15</v>
      </c>
      <c r="E73" s="116">
        <v>535</v>
      </c>
      <c r="F73" s="87" t="s">
        <v>526</v>
      </c>
      <c r="G73" s="87" t="s">
        <v>272</v>
      </c>
      <c r="H73" s="87" t="s">
        <v>525</v>
      </c>
      <c r="I73" s="87">
        <v>59</v>
      </c>
    </row>
    <row r="74" spans="1:9" ht="15" customHeight="1" x14ac:dyDescent="0.25">
      <c r="A74" s="87" t="s">
        <v>67</v>
      </c>
      <c r="B74" s="87" t="s">
        <v>216</v>
      </c>
      <c r="C74" s="87">
        <v>1999</v>
      </c>
      <c r="D74" s="87" t="s">
        <v>15</v>
      </c>
      <c r="E74" s="116">
        <v>125</v>
      </c>
      <c r="F74" s="87" t="s">
        <v>526</v>
      </c>
      <c r="G74" s="87" t="s">
        <v>272</v>
      </c>
      <c r="H74" s="87" t="s">
        <v>525</v>
      </c>
      <c r="I74" s="87">
        <v>59</v>
      </c>
    </row>
    <row r="75" spans="1:9" ht="15" customHeight="1" x14ac:dyDescent="0.25">
      <c r="A75" s="87" t="s">
        <v>67</v>
      </c>
      <c r="B75" s="87" t="s">
        <v>216</v>
      </c>
      <c r="C75" s="87">
        <v>2000</v>
      </c>
      <c r="D75" s="87" t="s">
        <v>15</v>
      </c>
      <c r="E75" s="116">
        <v>372</v>
      </c>
      <c r="F75" s="87" t="s">
        <v>526</v>
      </c>
      <c r="G75" s="87" t="s">
        <v>272</v>
      </c>
      <c r="H75" s="87" t="s">
        <v>525</v>
      </c>
      <c r="I75" s="87">
        <v>59</v>
      </c>
    </row>
    <row r="76" spans="1:9" ht="15" customHeight="1" x14ac:dyDescent="0.25">
      <c r="A76" s="87" t="s">
        <v>67</v>
      </c>
      <c r="B76" s="87" t="s">
        <v>216</v>
      </c>
      <c r="C76" s="87">
        <v>2001</v>
      </c>
      <c r="D76" s="87" t="s">
        <v>15</v>
      </c>
      <c r="E76" s="116">
        <v>674</v>
      </c>
      <c r="F76" s="87" t="s">
        <v>967</v>
      </c>
      <c r="G76" s="87" t="s">
        <v>967</v>
      </c>
      <c r="H76" s="87" t="s">
        <v>524</v>
      </c>
      <c r="I76" s="87">
        <v>59</v>
      </c>
    </row>
    <row r="77" spans="1:9" ht="15" customHeight="1" x14ac:dyDescent="0.25">
      <c r="A77" s="87" t="s">
        <v>67</v>
      </c>
      <c r="B77" s="87" t="s">
        <v>216</v>
      </c>
      <c r="C77" s="87">
        <v>2002</v>
      </c>
      <c r="D77" s="87" t="s">
        <v>15</v>
      </c>
      <c r="E77" s="116">
        <v>484</v>
      </c>
      <c r="F77" s="87" t="s">
        <v>967</v>
      </c>
      <c r="G77" s="87" t="s">
        <v>967</v>
      </c>
      <c r="H77" s="87" t="s">
        <v>524</v>
      </c>
      <c r="I77" s="87">
        <v>59</v>
      </c>
    </row>
    <row r="78" spans="1:9" ht="15" customHeight="1" x14ac:dyDescent="0.25">
      <c r="A78" s="87" t="s">
        <v>67</v>
      </c>
      <c r="B78" s="87" t="s">
        <v>216</v>
      </c>
      <c r="C78" s="87">
        <v>2003</v>
      </c>
      <c r="D78" s="87" t="s">
        <v>15</v>
      </c>
      <c r="E78" s="116">
        <v>451</v>
      </c>
      <c r="F78" s="87" t="s">
        <v>967</v>
      </c>
      <c r="G78" s="87" t="s">
        <v>967</v>
      </c>
      <c r="H78" s="87" t="s">
        <v>524</v>
      </c>
      <c r="I78" s="87">
        <v>59</v>
      </c>
    </row>
    <row r="79" spans="1:9" ht="15" customHeight="1" x14ac:dyDescent="0.25">
      <c r="A79" s="87" t="s">
        <v>67</v>
      </c>
      <c r="B79" s="87" t="s">
        <v>216</v>
      </c>
      <c r="C79" s="87">
        <v>2004</v>
      </c>
      <c r="D79" s="87" t="s">
        <v>15</v>
      </c>
      <c r="E79" s="116">
        <v>202</v>
      </c>
      <c r="F79" s="87" t="s">
        <v>967</v>
      </c>
      <c r="G79" s="87" t="s">
        <v>967</v>
      </c>
      <c r="H79" s="87" t="s">
        <v>967</v>
      </c>
      <c r="I79" s="87">
        <v>59</v>
      </c>
    </row>
    <row r="80" spans="1:9" ht="15" customHeight="1" x14ac:dyDescent="0.25">
      <c r="A80" s="87" t="s">
        <v>67</v>
      </c>
      <c r="B80" s="87" t="s">
        <v>216</v>
      </c>
      <c r="C80" s="87">
        <v>2005</v>
      </c>
      <c r="D80" s="87" t="s">
        <v>15</v>
      </c>
      <c r="E80" s="116">
        <v>1491</v>
      </c>
      <c r="F80" s="87" t="s">
        <v>527</v>
      </c>
      <c r="G80" s="87" t="s">
        <v>272</v>
      </c>
      <c r="H80" s="87" t="s">
        <v>527</v>
      </c>
      <c r="I80" s="87">
        <v>59</v>
      </c>
    </row>
    <row r="81" spans="1:9" ht="15" customHeight="1" x14ac:dyDescent="0.25">
      <c r="A81" s="87" t="s">
        <v>67</v>
      </c>
      <c r="B81" s="87" t="s">
        <v>216</v>
      </c>
      <c r="C81" s="87">
        <v>2006</v>
      </c>
      <c r="D81" s="87" t="s">
        <v>15</v>
      </c>
      <c r="E81" s="116">
        <v>1259</v>
      </c>
      <c r="F81" s="87" t="s">
        <v>527</v>
      </c>
      <c r="G81" s="87" t="s">
        <v>272</v>
      </c>
      <c r="H81" s="87" t="s">
        <v>527</v>
      </c>
      <c r="I81" s="87">
        <v>59</v>
      </c>
    </row>
    <row r="82" spans="1:9" ht="15" customHeight="1" x14ac:dyDescent="0.25">
      <c r="A82" s="87" t="s">
        <v>67</v>
      </c>
      <c r="B82" s="87" t="s">
        <v>216</v>
      </c>
      <c r="C82" s="87">
        <v>2007</v>
      </c>
      <c r="D82" s="87" t="s">
        <v>15</v>
      </c>
      <c r="E82" s="116">
        <v>1968</v>
      </c>
      <c r="F82" s="87" t="s">
        <v>527</v>
      </c>
      <c r="G82" s="87" t="s">
        <v>967</v>
      </c>
      <c r="H82" s="87" t="s">
        <v>527</v>
      </c>
      <c r="I82" s="87">
        <v>59</v>
      </c>
    </row>
    <row r="83" spans="1:9" ht="15" customHeight="1" x14ac:dyDescent="0.25">
      <c r="A83" s="87" t="s">
        <v>67</v>
      </c>
      <c r="B83" s="87" t="s">
        <v>216</v>
      </c>
      <c r="C83" s="87">
        <v>2008</v>
      </c>
      <c r="D83" s="87" t="s">
        <v>15</v>
      </c>
      <c r="E83" s="116">
        <v>234</v>
      </c>
      <c r="F83" s="87" t="s">
        <v>527</v>
      </c>
      <c r="G83" s="87" t="s">
        <v>967</v>
      </c>
      <c r="H83" s="87" t="s">
        <v>527</v>
      </c>
      <c r="I83" s="87">
        <v>59</v>
      </c>
    </row>
    <row r="84" spans="1:9" ht="15" customHeight="1" x14ac:dyDescent="0.25">
      <c r="A84" s="87" t="s">
        <v>67</v>
      </c>
      <c r="B84" s="87" t="s">
        <v>216</v>
      </c>
      <c r="C84" s="87">
        <v>2009</v>
      </c>
      <c r="D84" s="87" t="s">
        <v>15</v>
      </c>
      <c r="E84" s="116">
        <v>631</v>
      </c>
      <c r="F84" s="87" t="s">
        <v>528</v>
      </c>
      <c r="G84" s="87" t="s">
        <v>272</v>
      </c>
      <c r="H84" s="87" t="s">
        <v>528</v>
      </c>
      <c r="I84" s="87">
        <v>59</v>
      </c>
    </row>
    <row r="85" spans="1:9" ht="15" customHeight="1" x14ac:dyDescent="0.25">
      <c r="A85" s="87" t="s">
        <v>67</v>
      </c>
      <c r="B85" s="87" t="s">
        <v>216</v>
      </c>
      <c r="C85" s="87">
        <v>2010</v>
      </c>
      <c r="D85" s="87" t="s">
        <v>15</v>
      </c>
      <c r="E85" s="116">
        <v>1520</v>
      </c>
      <c r="F85" s="87" t="s">
        <v>527</v>
      </c>
      <c r="G85" s="87" t="s">
        <v>272</v>
      </c>
      <c r="H85" s="87" t="s">
        <v>527</v>
      </c>
      <c r="I85" s="87">
        <v>59</v>
      </c>
    </row>
    <row r="86" spans="1:9" ht="15" customHeight="1" x14ac:dyDescent="0.25">
      <c r="A86" s="87" t="s">
        <v>67</v>
      </c>
      <c r="B86" s="87" t="s">
        <v>216</v>
      </c>
      <c r="C86" s="87">
        <v>2011</v>
      </c>
      <c r="D86" s="87" t="s">
        <v>15</v>
      </c>
      <c r="E86" s="116">
        <v>941</v>
      </c>
      <c r="F86" s="87" t="s">
        <v>527</v>
      </c>
      <c r="G86" s="87" t="s">
        <v>272</v>
      </c>
      <c r="H86" s="87" t="s">
        <v>527</v>
      </c>
      <c r="I86" s="87">
        <v>59</v>
      </c>
    </row>
    <row r="87" spans="1:9" ht="15" customHeight="1" x14ac:dyDescent="0.25">
      <c r="A87" s="87" t="s">
        <v>67</v>
      </c>
      <c r="B87" s="87" t="s">
        <v>216</v>
      </c>
      <c r="C87" s="87">
        <v>2012</v>
      </c>
      <c r="D87" s="87" t="s">
        <v>15</v>
      </c>
      <c r="E87" s="116">
        <v>624</v>
      </c>
      <c r="F87" s="87" t="s">
        <v>527</v>
      </c>
      <c r="G87" s="87" t="s">
        <v>272</v>
      </c>
      <c r="H87" s="87" t="s">
        <v>527</v>
      </c>
      <c r="I87" s="87">
        <v>59</v>
      </c>
    </row>
    <row r="88" spans="1:9" ht="15" customHeight="1" x14ac:dyDescent="0.25">
      <c r="A88" s="87" t="s">
        <v>67</v>
      </c>
      <c r="B88" s="87" t="s">
        <v>216</v>
      </c>
      <c r="C88" s="87">
        <v>2013</v>
      </c>
      <c r="D88" s="87" t="s">
        <v>15</v>
      </c>
      <c r="E88" s="116">
        <v>224</v>
      </c>
      <c r="F88" s="87" t="s">
        <v>527</v>
      </c>
      <c r="G88" s="87" t="s">
        <v>272</v>
      </c>
      <c r="H88" s="87" t="s">
        <v>527</v>
      </c>
      <c r="I88" s="87">
        <v>59</v>
      </c>
    </row>
    <row r="89" spans="1:9" ht="15" customHeight="1" x14ac:dyDescent="0.25">
      <c r="A89" s="87" t="s">
        <v>67</v>
      </c>
      <c r="B89" s="87" t="s">
        <v>216</v>
      </c>
      <c r="C89" s="87">
        <v>2014</v>
      </c>
      <c r="D89" s="87" t="s">
        <v>15</v>
      </c>
      <c r="E89" s="116">
        <v>383</v>
      </c>
      <c r="F89" s="87" t="s">
        <v>527</v>
      </c>
      <c r="G89" s="87" t="s">
        <v>272</v>
      </c>
      <c r="H89" s="87" t="s">
        <v>527</v>
      </c>
      <c r="I89" s="87">
        <v>59</v>
      </c>
    </row>
    <row r="90" spans="1:9" ht="15" customHeight="1" x14ac:dyDescent="0.25">
      <c r="A90" s="87" t="s">
        <v>67</v>
      </c>
      <c r="B90" s="87" t="s">
        <v>216</v>
      </c>
      <c r="C90" s="87">
        <v>2015</v>
      </c>
      <c r="D90" s="87" t="s">
        <v>15</v>
      </c>
      <c r="E90" s="116">
        <v>508</v>
      </c>
      <c r="F90" s="87" t="s">
        <v>967</v>
      </c>
      <c r="G90" s="87" t="s">
        <v>274</v>
      </c>
      <c r="H90" s="87" t="s">
        <v>529</v>
      </c>
      <c r="I90" s="87">
        <v>59</v>
      </c>
    </row>
    <row r="91" spans="1:9" ht="15" customHeight="1" x14ac:dyDescent="0.25">
      <c r="A91" s="87" t="s">
        <v>67</v>
      </c>
      <c r="B91" s="87" t="s">
        <v>216</v>
      </c>
      <c r="C91" s="87">
        <v>2016</v>
      </c>
      <c r="D91" s="87" t="s">
        <v>15</v>
      </c>
      <c r="E91" s="116">
        <v>238</v>
      </c>
      <c r="F91" s="87" t="s">
        <v>967</v>
      </c>
      <c r="G91" s="87" t="s">
        <v>274</v>
      </c>
      <c r="H91" s="87" t="s">
        <v>530</v>
      </c>
      <c r="I91" s="87">
        <v>59</v>
      </c>
    </row>
    <row r="92" spans="1:9" ht="15" customHeight="1" x14ac:dyDescent="0.25">
      <c r="A92" s="87" t="s">
        <v>67</v>
      </c>
      <c r="B92" s="87" t="s">
        <v>216</v>
      </c>
      <c r="C92" s="87">
        <v>2017</v>
      </c>
      <c r="D92" s="87" t="s">
        <v>15</v>
      </c>
      <c r="E92" s="116">
        <v>320</v>
      </c>
      <c r="F92" s="87" t="s">
        <v>967</v>
      </c>
      <c r="G92" s="87" t="s">
        <v>274</v>
      </c>
      <c r="H92" s="87" t="s">
        <v>967</v>
      </c>
      <c r="I92" s="87">
        <v>59</v>
      </c>
    </row>
    <row r="93" spans="1:9" ht="15" customHeight="1" x14ac:dyDescent="0.25">
      <c r="A93" s="87" t="s">
        <v>67</v>
      </c>
      <c r="B93" s="87" t="s">
        <v>216</v>
      </c>
      <c r="C93" s="87">
        <v>2018</v>
      </c>
      <c r="D93" s="87" t="s">
        <v>15</v>
      </c>
      <c r="E93" s="116">
        <v>144</v>
      </c>
      <c r="F93" s="87" t="s">
        <v>967</v>
      </c>
      <c r="G93" s="87" t="s">
        <v>274</v>
      </c>
      <c r="H93" s="87" t="s">
        <v>967</v>
      </c>
      <c r="I93" s="87">
        <v>59</v>
      </c>
    </row>
    <row r="94" spans="1:9" ht="15" customHeight="1" x14ac:dyDescent="0.25">
      <c r="A94" s="87" t="s">
        <v>67</v>
      </c>
      <c r="B94" s="87" t="s">
        <v>216</v>
      </c>
      <c r="C94" s="87">
        <v>2019</v>
      </c>
      <c r="D94" s="87" t="s">
        <v>15</v>
      </c>
      <c r="E94" s="116">
        <v>178</v>
      </c>
      <c r="F94" s="87" t="s">
        <v>967</v>
      </c>
      <c r="G94" s="87" t="s">
        <v>274</v>
      </c>
      <c r="H94" s="87" t="s">
        <v>968</v>
      </c>
      <c r="I94" s="87">
        <v>59</v>
      </c>
    </row>
    <row r="95" spans="1:9" ht="15" customHeight="1" x14ac:dyDescent="0.25">
      <c r="A95" s="87" t="s">
        <v>67</v>
      </c>
      <c r="B95" s="87" t="s">
        <v>216</v>
      </c>
      <c r="C95" s="87">
        <v>2020</v>
      </c>
      <c r="D95" s="87" t="s">
        <v>15</v>
      </c>
      <c r="E95" s="116">
        <v>191</v>
      </c>
      <c r="F95" s="87" t="s">
        <v>967</v>
      </c>
      <c r="G95" s="87" t="s">
        <v>272</v>
      </c>
      <c r="H95" s="87" t="s">
        <v>967</v>
      </c>
      <c r="I95" s="87">
        <v>59</v>
      </c>
    </row>
    <row r="96" spans="1:9" ht="15" customHeight="1" x14ac:dyDescent="0.25">
      <c r="A96" s="87" t="s">
        <v>67</v>
      </c>
      <c r="B96" s="87" t="s">
        <v>216</v>
      </c>
      <c r="C96" s="87">
        <v>2021</v>
      </c>
      <c r="D96" s="87" t="s">
        <v>15</v>
      </c>
      <c r="E96" s="116">
        <v>134</v>
      </c>
      <c r="F96" s="87" t="s">
        <v>967</v>
      </c>
      <c r="G96" s="87" t="s">
        <v>272</v>
      </c>
      <c r="H96" s="87" t="s">
        <v>967</v>
      </c>
      <c r="I96" s="87">
        <v>59</v>
      </c>
    </row>
    <row r="97" spans="1:9" ht="15" customHeight="1" x14ac:dyDescent="0.25">
      <c r="A97" s="87" t="s">
        <v>67</v>
      </c>
      <c r="B97" s="87" t="s">
        <v>216</v>
      </c>
      <c r="C97" s="87">
        <v>2022</v>
      </c>
      <c r="D97" s="87" t="s">
        <v>15</v>
      </c>
      <c r="E97" s="116">
        <v>275</v>
      </c>
      <c r="F97" s="87" t="s">
        <v>967</v>
      </c>
      <c r="G97" s="87" t="s">
        <v>274</v>
      </c>
      <c r="H97" s="87" t="s">
        <v>967</v>
      </c>
      <c r="I97" s="87">
        <v>59</v>
      </c>
    </row>
    <row r="98" spans="1:9" ht="15" customHeight="1" x14ac:dyDescent="0.25">
      <c r="A98" s="87" t="s">
        <v>69</v>
      </c>
      <c r="B98" s="87" t="s">
        <v>275</v>
      </c>
      <c r="C98" s="87">
        <v>1975</v>
      </c>
      <c r="D98" s="87" t="s">
        <v>15</v>
      </c>
      <c r="E98" s="116">
        <v>300</v>
      </c>
      <c r="F98" s="87" t="s">
        <v>508</v>
      </c>
      <c r="G98" s="87" t="s">
        <v>967</v>
      </c>
      <c r="H98" s="87" t="s">
        <v>508</v>
      </c>
      <c r="I98" s="87">
        <v>62</v>
      </c>
    </row>
    <row r="99" spans="1:9" ht="15" customHeight="1" x14ac:dyDescent="0.25">
      <c r="A99" s="87" t="s">
        <v>69</v>
      </c>
      <c r="B99" s="87" t="s">
        <v>275</v>
      </c>
      <c r="C99" s="87">
        <v>1976</v>
      </c>
      <c r="D99" s="87" t="s">
        <v>15</v>
      </c>
      <c r="E99" s="116">
        <v>750</v>
      </c>
      <c r="F99" s="87" t="s">
        <v>508</v>
      </c>
      <c r="G99" s="87" t="s">
        <v>967</v>
      </c>
      <c r="H99" s="87" t="s">
        <v>508</v>
      </c>
      <c r="I99" s="87">
        <v>62</v>
      </c>
    </row>
    <row r="100" spans="1:9" ht="15" customHeight="1" x14ac:dyDescent="0.25">
      <c r="A100" s="87" t="s">
        <v>69</v>
      </c>
      <c r="B100" s="87" t="s">
        <v>275</v>
      </c>
      <c r="C100" s="87">
        <v>1977</v>
      </c>
      <c r="D100" s="87" t="s">
        <v>15</v>
      </c>
      <c r="E100" s="116">
        <v>700</v>
      </c>
      <c r="F100" s="87" t="s">
        <v>508</v>
      </c>
      <c r="G100" s="87" t="s">
        <v>967</v>
      </c>
      <c r="H100" s="87" t="s">
        <v>508</v>
      </c>
      <c r="I100" s="87">
        <v>62</v>
      </c>
    </row>
    <row r="101" spans="1:9" ht="15" customHeight="1" x14ac:dyDescent="0.25">
      <c r="A101" s="87" t="s">
        <v>69</v>
      </c>
      <c r="B101" s="87" t="s">
        <v>275</v>
      </c>
      <c r="C101" s="87">
        <v>1978</v>
      </c>
      <c r="D101" s="87" t="s">
        <v>15</v>
      </c>
      <c r="E101" s="116">
        <v>150</v>
      </c>
      <c r="F101" s="87" t="s">
        <v>745</v>
      </c>
      <c r="G101" s="87" t="s">
        <v>967</v>
      </c>
      <c r="H101" s="87" t="s">
        <v>745</v>
      </c>
      <c r="I101" s="87">
        <v>62</v>
      </c>
    </row>
    <row r="102" spans="1:9" ht="15" customHeight="1" x14ac:dyDescent="0.25">
      <c r="A102" s="87" t="s">
        <v>69</v>
      </c>
      <c r="B102" s="87" t="s">
        <v>275</v>
      </c>
      <c r="C102" s="87">
        <v>1979</v>
      </c>
      <c r="D102" s="87" t="s">
        <v>15</v>
      </c>
      <c r="E102" s="116">
        <v>250</v>
      </c>
      <c r="F102" s="87" t="s">
        <v>746</v>
      </c>
      <c r="G102" s="87" t="s">
        <v>967</v>
      </c>
      <c r="H102" s="87" t="s">
        <v>746</v>
      </c>
      <c r="I102" s="87">
        <v>62</v>
      </c>
    </row>
    <row r="103" spans="1:9" ht="15" customHeight="1" x14ac:dyDescent="0.25">
      <c r="A103" s="87" t="s">
        <v>69</v>
      </c>
      <c r="B103" s="87" t="s">
        <v>275</v>
      </c>
      <c r="C103" s="87">
        <v>1980</v>
      </c>
      <c r="D103" s="87" t="s">
        <v>15</v>
      </c>
      <c r="E103" s="116">
        <v>200</v>
      </c>
      <c r="F103" s="87" t="s">
        <v>746</v>
      </c>
      <c r="G103" s="87" t="s">
        <v>967</v>
      </c>
      <c r="H103" s="87" t="s">
        <v>746</v>
      </c>
      <c r="I103" s="87">
        <v>62</v>
      </c>
    </row>
    <row r="104" spans="1:9" ht="15" customHeight="1" x14ac:dyDescent="0.25">
      <c r="A104" s="87" t="s">
        <v>69</v>
      </c>
      <c r="B104" s="87" t="s">
        <v>275</v>
      </c>
      <c r="C104" s="87">
        <v>1981</v>
      </c>
      <c r="D104" s="87" t="s">
        <v>15</v>
      </c>
      <c r="E104" s="116">
        <v>325</v>
      </c>
      <c r="F104" s="87" t="s">
        <v>747</v>
      </c>
      <c r="G104" s="87" t="s">
        <v>967</v>
      </c>
      <c r="H104" s="87" t="s">
        <v>747</v>
      </c>
      <c r="I104" s="87">
        <v>62</v>
      </c>
    </row>
    <row r="105" spans="1:9" ht="15" customHeight="1" x14ac:dyDescent="0.25">
      <c r="A105" s="87" t="s">
        <v>69</v>
      </c>
      <c r="B105" s="87" t="s">
        <v>275</v>
      </c>
      <c r="C105" s="87">
        <v>1982</v>
      </c>
      <c r="D105" s="87" t="s">
        <v>15</v>
      </c>
      <c r="E105" s="116">
        <v>300</v>
      </c>
      <c r="F105" s="87" t="s">
        <v>508</v>
      </c>
      <c r="G105" s="87" t="s">
        <v>967</v>
      </c>
      <c r="H105" s="87" t="s">
        <v>508</v>
      </c>
      <c r="I105" s="87">
        <v>62</v>
      </c>
    </row>
    <row r="106" spans="1:9" ht="15" customHeight="1" x14ac:dyDescent="0.25">
      <c r="A106" s="87" t="s">
        <v>69</v>
      </c>
      <c r="B106" s="87" t="s">
        <v>275</v>
      </c>
      <c r="C106" s="87">
        <v>1983</v>
      </c>
      <c r="D106" s="87" t="s">
        <v>15</v>
      </c>
      <c r="E106" s="116">
        <v>300</v>
      </c>
      <c r="F106" s="87" t="s">
        <v>508</v>
      </c>
      <c r="G106" s="87" t="s">
        <v>967</v>
      </c>
      <c r="H106" s="87" t="s">
        <v>508</v>
      </c>
      <c r="I106" s="87">
        <v>62</v>
      </c>
    </row>
    <row r="107" spans="1:9" ht="15" customHeight="1" x14ac:dyDescent="0.25">
      <c r="A107" s="87" t="s">
        <v>69</v>
      </c>
      <c r="B107" s="87" t="s">
        <v>275</v>
      </c>
      <c r="C107" s="87">
        <v>1984</v>
      </c>
      <c r="D107" s="87" t="s">
        <v>15</v>
      </c>
      <c r="E107" s="116">
        <v>0.01</v>
      </c>
      <c r="F107" s="87" t="s">
        <v>508</v>
      </c>
      <c r="G107" s="87" t="s">
        <v>967</v>
      </c>
      <c r="H107" s="87" t="s">
        <v>508</v>
      </c>
      <c r="I107" s="87">
        <v>62</v>
      </c>
    </row>
    <row r="108" spans="1:9" ht="15" customHeight="1" x14ac:dyDescent="0.25">
      <c r="A108" s="87" t="s">
        <v>69</v>
      </c>
      <c r="B108" s="87" t="s">
        <v>275</v>
      </c>
      <c r="C108" s="87">
        <v>1985</v>
      </c>
      <c r="D108" s="87" t="s">
        <v>15</v>
      </c>
      <c r="E108" s="116">
        <v>0.01</v>
      </c>
      <c r="F108" s="87" t="s">
        <v>508</v>
      </c>
      <c r="G108" s="87" t="s">
        <v>967</v>
      </c>
      <c r="H108" s="87" t="s">
        <v>508</v>
      </c>
      <c r="I108" s="87">
        <v>62</v>
      </c>
    </row>
    <row r="109" spans="1:9" ht="15" customHeight="1" x14ac:dyDescent="0.25">
      <c r="A109" s="87" t="s">
        <v>69</v>
      </c>
      <c r="B109" s="87" t="s">
        <v>275</v>
      </c>
      <c r="C109" s="87">
        <v>1986</v>
      </c>
      <c r="D109" s="87" t="s">
        <v>15</v>
      </c>
      <c r="E109" s="116">
        <v>300</v>
      </c>
      <c r="F109" s="87" t="s">
        <v>508</v>
      </c>
      <c r="G109" s="87" t="s">
        <v>967</v>
      </c>
      <c r="H109" s="87" t="s">
        <v>508</v>
      </c>
      <c r="I109" s="87">
        <v>62</v>
      </c>
    </row>
    <row r="110" spans="1:9" ht="15" customHeight="1" x14ac:dyDescent="0.25">
      <c r="A110" s="87" t="s">
        <v>69</v>
      </c>
      <c r="B110" s="87" t="s">
        <v>275</v>
      </c>
      <c r="C110" s="87">
        <v>1987</v>
      </c>
      <c r="D110" s="87" t="s">
        <v>15</v>
      </c>
      <c r="E110" s="116">
        <v>350</v>
      </c>
      <c r="F110" s="87" t="s">
        <v>508</v>
      </c>
      <c r="G110" s="87" t="s">
        <v>967</v>
      </c>
      <c r="H110" s="87" t="s">
        <v>508</v>
      </c>
      <c r="I110" s="87">
        <v>62</v>
      </c>
    </row>
    <row r="111" spans="1:9" ht="15" customHeight="1" x14ac:dyDescent="0.25">
      <c r="A111" s="87" t="s">
        <v>69</v>
      </c>
      <c r="B111" s="87" t="s">
        <v>275</v>
      </c>
      <c r="C111" s="87">
        <v>1988</v>
      </c>
      <c r="D111" s="87" t="s">
        <v>15</v>
      </c>
      <c r="E111" s="116">
        <v>850</v>
      </c>
      <c r="F111" s="87" t="s">
        <v>508</v>
      </c>
      <c r="G111" s="87" t="s">
        <v>967</v>
      </c>
      <c r="H111" s="87" t="s">
        <v>508</v>
      </c>
      <c r="I111" s="87">
        <v>62</v>
      </c>
    </row>
    <row r="112" spans="1:9" ht="15" customHeight="1" x14ac:dyDescent="0.25">
      <c r="A112" s="87" t="s">
        <v>69</v>
      </c>
      <c r="B112" s="87" t="s">
        <v>275</v>
      </c>
      <c r="C112" s="87">
        <v>1989</v>
      </c>
      <c r="D112" s="87" t="s">
        <v>15</v>
      </c>
      <c r="E112" s="116">
        <v>375</v>
      </c>
      <c r="F112" s="87" t="s">
        <v>508</v>
      </c>
      <c r="G112" s="87" t="s">
        <v>967</v>
      </c>
      <c r="H112" s="87" t="s">
        <v>508</v>
      </c>
      <c r="I112" s="87">
        <v>62</v>
      </c>
    </row>
    <row r="113" spans="1:9" ht="15" customHeight="1" x14ac:dyDescent="0.25">
      <c r="A113" s="87" t="s">
        <v>69</v>
      </c>
      <c r="B113" s="87" t="s">
        <v>275</v>
      </c>
      <c r="C113" s="87">
        <v>1990</v>
      </c>
      <c r="D113" s="87" t="s">
        <v>15</v>
      </c>
      <c r="E113" s="116">
        <v>450</v>
      </c>
      <c r="F113" s="87" t="s">
        <v>508</v>
      </c>
      <c r="G113" s="87" t="s">
        <v>967</v>
      </c>
      <c r="H113" s="87" t="s">
        <v>508</v>
      </c>
      <c r="I113" s="87">
        <v>62</v>
      </c>
    </row>
    <row r="114" spans="1:9" ht="15" customHeight="1" x14ac:dyDescent="0.25">
      <c r="A114" s="87" t="s">
        <v>69</v>
      </c>
      <c r="B114" s="87" t="s">
        <v>275</v>
      </c>
      <c r="C114" s="87">
        <v>1991</v>
      </c>
      <c r="D114" s="87" t="s">
        <v>15</v>
      </c>
      <c r="E114" s="116">
        <v>150</v>
      </c>
      <c r="F114" s="87" t="s">
        <v>508</v>
      </c>
      <c r="G114" s="87" t="s">
        <v>967</v>
      </c>
      <c r="H114" s="87" t="s">
        <v>508</v>
      </c>
      <c r="I114" s="87">
        <v>62</v>
      </c>
    </row>
    <row r="115" spans="1:9" ht="15" customHeight="1" x14ac:dyDescent="0.25">
      <c r="A115" s="87" t="s">
        <v>69</v>
      </c>
      <c r="B115" s="87" t="s">
        <v>275</v>
      </c>
      <c r="C115" s="87">
        <v>1992</v>
      </c>
      <c r="D115" s="87" t="s">
        <v>15</v>
      </c>
      <c r="E115" s="116">
        <v>300</v>
      </c>
      <c r="F115" s="87" t="s">
        <v>508</v>
      </c>
      <c r="G115" s="87" t="s">
        <v>967</v>
      </c>
      <c r="H115" s="87" t="s">
        <v>508</v>
      </c>
      <c r="I115" s="87">
        <v>62</v>
      </c>
    </row>
    <row r="116" spans="1:9" ht="15" customHeight="1" x14ac:dyDescent="0.25">
      <c r="A116" s="87" t="s">
        <v>69</v>
      </c>
      <c r="B116" s="87" t="s">
        <v>275</v>
      </c>
      <c r="C116" s="87">
        <v>1993</v>
      </c>
      <c r="D116" s="87" t="s">
        <v>15</v>
      </c>
      <c r="E116" s="116">
        <v>175</v>
      </c>
      <c r="F116" s="87" t="s">
        <v>508</v>
      </c>
      <c r="G116" s="87" t="s">
        <v>967</v>
      </c>
      <c r="H116" s="87" t="s">
        <v>508</v>
      </c>
      <c r="I116" s="87">
        <v>62</v>
      </c>
    </row>
    <row r="117" spans="1:9" ht="15" customHeight="1" x14ac:dyDescent="0.25">
      <c r="A117" s="87" t="s">
        <v>69</v>
      </c>
      <c r="B117" s="87" t="s">
        <v>275</v>
      </c>
      <c r="C117" s="87">
        <v>1994</v>
      </c>
      <c r="D117" s="87" t="s">
        <v>15</v>
      </c>
      <c r="E117" s="116">
        <v>-1</v>
      </c>
      <c r="F117" s="87" t="s">
        <v>508</v>
      </c>
      <c r="G117" s="87" t="s">
        <v>967</v>
      </c>
      <c r="H117" s="87" t="s">
        <v>508</v>
      </c>
      <c r="I117" s="87">
        <v>62</v>
      </c>
    </row>
    <row r="118" spans="1:9" ht="15" customHeight="1" x14ac:dyDescent="0.25">
      <c r="A118" s="87" t="s">
        <v>69</v>
      </c>
      <c r="B118" s="87" t="s">
        <v>275</v>
      </c>
      <c r="C118" s="87">
        <v>1995</v>
      </c>
      <c r="D118" s="87" t="s">
        <v>15</v>
      </c>
      <c r="E118" s="116">
        <v>-1</v>
      </c>
      <c r="F118" s="87" t="s">
        <v>586</v>
      </c>
      <c r="G118" s="87" t="s">
        <v>967</v>
      </c>
      <c r="H118" s="87" t="s">
        <v>586</v>
      </c>
      <c r="I118" s="87">
        <v>62</v>
      </c>
    </row>
    <row r="119" spans="1:9" ht="15" customHeight="1" x14ac:dyDescent="0.25">
      <c r="A119" s="87" t="s">
        <v>69</v>
      </c>
      <c r="B119" s="87" t="s">
        <v>275</v>
      </c>
      <c r="C119" s="87">
        <v>1996</v>
      </c>
      <c r="D119" s="87" t="s">
        <v>15</v>
      </c>
      <c r="E119" s="116">
        <v>-1</v>
      </c>
      <c r="F119" s="87" t="s">
        <v>586</v>
      </c>
      <c r="G119" s="87" t="s">
        <v>967</v>
      </c>
      <c r="H119" s="87" t="s">
        <v>586</v>
      </c>
      <c r="I119" s="87">
        <v>62</v>
      </c>
    </row>
    <row r="120" spans="1:9" ht="15" customHeight="1" x14ac:dyDescent="0.25">
      <c r="A120" s="87" t="s">
        <v>69</v>
      </c>
      <c r="B120" s="87" t="s">
        <v>275</v>
      </c>
      <c r="C120" s="87">
        <v>1997</v>
      </c>
      <c r="D120" s="87" t="s">
        <v>15</v>
      </c>
      <c r="E120" s="116">
        <v>-1</v>
      </c>
      <c r="F120" s="87" t="s">
        <v>586</v>
      </c>
      <c r="G120" s="87" t="s">
        <v>967</v>
      </c>
      <c r="H120" s="87" t="s">
        <v>586</v>
      </c>
      <c r="I120" s="87">
        <v>62</v>
      </c>
    </row>
    <row r="121" spans="1:9" ht="15" customHeight="1" x14ac:dyDescent="0.25">
      <c r="A121" s="87" t="s">
        <v>69</v>
      </c>
      <c r="B121" s="87" t="s">
        <v>275</v>
      </c>
      <c r="C121" s="87">
        <v>1998</v>
      </c>
      <c r="D121" s="87" t="s">
        <v>15</v>
      </c>
      <c r="E121" s="116">
        <v>-1</v>
      </c>
      <c r="F121" s="87" t="s">
        <v>586</v>
      </c>
      <c r="G121" s="87" t="s">
        <v>967</v>
      </c>
      <c r="H121" s="87" t="s">
        <v>586</v>
      </c>
      <c r="I121" s="87">
        <v>62</v>
      </c>
    </row>
    <row r="122" spans="1:9" ht="15" customHeight="1" x14ac:dyDescent="0.25">
      <c r="A122" s="87" t="s">
        <v>69</v>
      </c>
      <c r="B122" s="87" t="s">
        <v>275</v>
      </c>
      <c r="C122" s="87">
        <v>1999</v>
      </c>
      <c r="D122" s="87" t="s">
        <v>15</v>
      </c>
      <c r="E122" s="116">
        <v>-1</v>
      </c>
      <c r="F122" s="87" t="s">
        <v>586</v>
      </c>
      <c r="G122" s="87" t="s">
        <v>967</v>
      </c>
      <c r="H122" s="87" t="s">
        <v>586</v>
      </c>
      <c r="I122" s="87">
        <v>62</v>
      </c>
    </row>
    <row r="123" spans="1:9" ht="15" customHeight="1" x14ac:dyDescent="0.25">
      <c r="A123" s="87" t="s">
        <v>69</v>
      </c>
      <c r="B123" s="87" t="s">
        <v>275</v>
      </c>
      <c r="C123" s="87">
        <v>2000</v>
      </c>
      <c r="D123" s="87" t="s">
        <v>15</v>
      </c>
      <c r="E123" s="116">
        <v>-1</v>
      </c>
      <c r="F123" s="87" t="s">
        <v>586</v>
      </c>
      <c r="G123" s="87" t="s">
        <v>967</v>
      </c>
      <c r="H123" s="87" t="s">
        <v>586</v>
      </c>
      <c r="I123" s="87">
        <v>62</v>
      </c>
    </row>
    <row r="124" spans="1:9" ht="15" customHeight="1" x14ac:dyDescent="0.25">
      <c r="A124" s="87" t="s">
        <v>69</v>
      </c>
      <c r="B124" s="87" t="s">
        <v>275</v>
      </c>
      <c r="C124" s="87">
        <v>2001</v>
      </c>
      <c r="D124" s="87" t="s">
        <v>15</v>
      </c>
      <c r="E124" s="116">
        <v>-1</v>
      </c>
      <c r="F124" s="87" t="s">
        <v>586</v>
      </c>
      <c r="G124" s="87" t="s">
        <v>967</v>
      </c>
      <c r="H124" s="87" t="s">
        <v>586</v>
      </c>
      <c r="I124" s="87">
        <v>62</v>
      </c>
    </row>
    <row r="125" spans="1:9" ht="15" customHeight="1" x14ac:dyDescent="0.25">
      <c r="A125" s="87" t="s">
        <v>69</v>
      </c>
      <c r="B125" s="87" t="s">
        <v>275</v>
      </c>
      <c r="C125" s="87">
        <v>2002</v>
      </c>
      <c r="D125" s="87" t="s">
        <v>15</v>
      </c>
      <c r="E125" s="116">
        <v>276</v>
      </c>
      <c r="F125" s="87" t="s">
        <v>748</v>
      </c>
      <c r="G125" s="87" t="s">
        <v>272</v>
      </c>
      <c r="H125" s="87" t="s">
        <v>748</v>
      </c>
      <c r="I125" s="87">
        <v>62</v>
      </c>
    </row>
    <row r="126" spans="1:9" ht="15" customHeight="1" x14ac:dyDescent="0.25">
      <c r="A126" s="87" t="s">
        <v>69</v>
      </c>
      <c r="B126" s="87" t="s">
        <v>275</v>
      </c>
      <c r="C126" s="87">
        <v>2003</v>
      </c>
      <c r="D126" s="87" t="s">
        <v>15</v>
      </c>
      <c r="E126" s="116">
        <v>180</v>
      </c>
      <c r="F126" s="87" t="s">
        <v>967</v>
      </c>
      <c r="G126" s="87" t="s">
        <v>272</v>
      </c>
      <c r="H126" s="87" t="s">
        <v>967</v>
      </c>
      <c r="I126" s="87">
        <v>62</v>
      </c>
    </row>
    <row r="127" spans="1:9" ht="15" customHeight="1" x14ac:dyDescent="0.25">
      <c r="A127" s="87" t="s">
        <v>69</v>
      </c>
      <c r="B127" s="87" t="s">
        <v>275</v>
      </c>
      <c r="C127" s="87">
        <v>2004</v>
      </c>
      <c r="D127" s="87" t="s">
        <v>15</v>
      </c>
      <c r="E127" s="116">
        <v>-1</v>
      </c>
      <c r="F127" s="87" t="s">
        <v>967</v>
      </c>
      <c r="G127" s="87" t="s">
        <v>967</v>
      </c>
      <c r="H127" s="87" t="s">
        <v>967</v>
      </c>
      <c r="I127" s="87">
        <v>62</v>
      </c>
    </row>
    <row r="128" spans="1:9" ht="15" customHeight="1" x14ac:dyDescent="0.25">
      <c r="A128" s="87" t="s">
        <v>69</v>
      </c>
      <c r="B128" s="87" t="s">
        <v>275</v>
      </c>
      <c r="C128" s="87">
        <v>2005</v>
      </c>
      <c r="D128" s="87" t="s">
        <v>15</v>
      </c>
      <c r="E128" s="116">
        <v>188</v>
      </c>
      <c r="F128" s="87" t="s">
        <v>967</v>
      </c>
      <c r="G128" s="87" t="s">
        <v>272</v>
      </c>
      <c r="H128" s="87" t="s">
        <v>967</v>
      </c>
      <c r="I128" s="87">
        <v>62</v>
      </c>
    </row>
    <row r="129" spans="1:9" ht="15" customHeight="1" x14ac:dyDescent="0.25">
      <c r="A129" s="87" t="s">
        <v>69</v>
      </c>
      <c r="B129" s="87" t="s">
        <v>275</v>
      </c>
      <c r="C129" s="87">
        <v>2006</v>
      </c>
      <c r="D129" s="87" t="s">
        <v>15</v>
      </c>
      <c r="E129" s="116">
        <v>211</v>
      </c>
      <c r="F129" s="87" t="s">
        <v>967</v>
      </c>
      <c r="G129" s="87" t="s">
        <v>967</v>
      </c>
      <c r="H129" s="87" t="s">
        <v>967</v>
      </c>
      <c r="I129" s="87">
        <v>62</v>
      </c>
    </row>
    <row r="130" spans="1:9" ht="15" customHeight="1" x14ac:dyDescent="0.25">
      <c r="A130" s="87" t="s">
        <v>69</v>
      </c>
      <c r="B130" s="87" t="s">
        <v>275</v>
      </c>
      <c r="C130" s="87">
        <v>2007</v>
      </c>
      <c r="D130" s="87" t="s">
        <v>15</v>
      </c>
      <c r="E130" s="116">
        <v>103</v>
      </c>
      <c r="F130" s="87" t="s">
        <v>967</v>
      </c>
      <c r="G130" s="87" t="s">
        <v>967</v>
      </c>
      <c r="H130" s="87" t="s">
        <v>967</v>
      </c>
      <c r="I130" s="87">
        <v>62</v>
      </c>
    </row>
    <row r="131" spans="1:9" ht="15" customHeight="1" x14ac:dyDescent="0.25">
      <c r="A131" s="87" t="s">
        <v>69</v>
      </c>
      <c r="B131" s="87" t="s">
        <v>275</v>
      </c>
      <c r="C131" s="87">
        <v>2008</v>
      </c>
      <c r="D131" s="87" t="s">
        <v>15</v>
      </c>
      <c r="E131" s="116">
        <v>198</v>
      </c>
      <c r="F131" s="87" t="s">
        <v>967</v>
      </c>
      <c r="G131" s="87" t="s">
        <v>967</v>
      </c>
      <c r="H131" s="87" t="s">
        <v>967</v>
      </c>
      <c r="I131" s="87">
        <v>62</v>
      </c>
    </row>
    <row r="132" spans="1:9" ht="15" customHeight="1" x14ac:dyDescent="0.25">
      <c r="A132" s="87" t="s">
        <v>69</v>
      </c>
      <c r="B132" s="87" t="s">
        <v>275</v>
      </c>
      <c r="C132" s="87">
        <v>2009</v>
      </c>
      <c r="D132" s="87" t="s">
        <v>15</v>
      </c>
      <c r="E132" s="116">
        <v>105</v>
      </c>
      <c r="F132" s="87" t="s">
        <v>967</v>
      </c>
      <c r="G132" s="87" t="s">
        <v>272</v>
      </c>
      <c r="H132" s="87" t="s">
        <v>967</v>
      </c>
      <c r="I132" s="87">
        <v>62</v>
      </c>
    </row>
    <row r="133" spans="1:9" ht="15" customHeight="1" x14ac:dyDescent="0.25">
      <c r="A133" s="87" t="s">
        <v>69</v>
      </c>
      <c r="B133" s="87" t="s">
        <v>275</v>
      </c>
      <c r="C133" s="87">
        <v>2010</v>
      </c>
      <c r="D133" s="87" t="s">
        <v>15</v>
      </c>
      <c r="E133" s="116">
        <v>85</v>
      </c>
      <c r="F133" s="87" t="s">
        <v>967</v>
      </c>
      <c r="G133" s="87" t="s">
        <v>967</v>
      </c>
      <c r="H133" s="87" t="s">
        <v>967</v>
      </c>
      <c r="I133" s="87">
        <v>62</v>
      </c>
    </row>
    <row r="134" spans="1:9" ht="15" customHeight="1" x14ac:dyDescent="0.25">
      <c r="A134" s="87" t="s">
        <v>69</v>
      </c>
      <c r="B134" s="87" t="s">
        <v>275</v>
      </c>
      <c r="C134" s="87">
        <v>2011</v>
      </c>
      <c r="D134" s="87" t="s">
        <v>15</v>
      </c>
      <c r="E134" s="116">
        <v>178</v>
      </c>
      <c r="F134" s="87" t="s">
        <v>967</v>
      </c>
      <c r="G134" s="87" t="s">
        <v>272</v>
      </c>
      <c r="H134" s="87" t="s">
        <v>967</v>
      </c>
      <c r="I134" s="87">
        <v>62</v>
      </c>
    </row>
    <row r="135" spans="1:9" ht="15" customHeight="1" x14ac:dyDescent="0.25">
      <c r="A135" s="87" t="s">
        <v>69</v>
      </c>
      <c r="B135" s="87" t="s">
        <v>275</v>
      </c>
      <c r="C135" s="87">
        <v>2012</v>
      </c>
      <c r="D135" s="87" t="s">
        <v>15</v>
      </c>
      <c r="E135" s="116">
        <v>103</v>
      </c>
      <c r="F135" s="87" t="s">
        <v>967</v>
      </c>
      <c r="G135" s="87" t="s">
        <v>272</v>
      </c>
      <c r="H135" s="87" t="s">
        <v>967</v>
      </c>
      <c r="I135" s="87">
        <v>62</v>
      </c>
    </row>
    <row r="136" spans="1:9" ht="15" customHeight="1" x14ac:dyDescent="0.25">
      <c r="A136" s="87" t="s">
        <v>69</v>
      </c>
      <c r="B136" s="87" t="s">
        <v>275</v>
      </c>
      <c r="C136" s="87">
        <v>2013</v>
      </c>
      <c r="D136" s="87" t="s">
        <v>15</v>
      </c>
      <c r="E136" s="116">
        <v>-1</v>
      </c>
      <c r="F136" s="87" t="s">
        <v>967</v>
      </c>
      <c r="G136" s="87" t="s">
        <v>967</v>
      </c>
      <c r="H136" s="87" t="s">
        <v>967</v>
      </c>
      <c r="I136" s="87">
        <v>62</v>
      </c>
    </row>
    <row r="137" spans="1:9" ht="15" customHeight="1" x14ac:dyDescent="0.25">
      <c r="A137" s="87" t="s">
        <v>69</v>
      </c>
      <c r="B137" s="87" t="s">
        <v>275</v>
      </c>
      <c r="C137" s="87">
        <v>2014</v>
      </c>
      <c r="D137" s="87" t="s">
        <v>15</v>
      </c>
      <c r="E137" s="116">
        <v>75</v>
      </c>
      <c r="F137" s="87" t="s">
        <v>967</v>
      </c>
      <c r="G137" s="87" t="s">
        <v>272</v>
      </c>
      <c r="H137" s="87" t="s">
        <v>967</v>
      </c>
      <c r="I137" s="87">
        <v>62</v>
      </c>
    </row>
    <row r="138" spans="1:9" ht="15" customHeight="1" x14ac:dyDescent="0.25">
      <c r="A138" s="87" t="s">
        <v>69</v>
      </c>
      <c r="B138" s="87" t="s">
        <v>275</v>
      </c>
      <c r="C138" s="87">
        <v>2015</v>
      </c>
      <c r="D138" s="87" t="s">
        <v>15</v>
      </c>
      <c r="E138" s="116">
        <v>-1</v>
      </c>
      <c r="F138" s="87" t="s">
        <v>967</v>
      </c>
      <c r="G138" s="87" t="s">
        <v>967</v>
      </c>
      <c r="H138" s="87" t="s">
        <v>749</v>
      </c>
      <c r="I138" s="87">
        <v>62</v>
      </c>
    </row>
    <row r="139" spans="1:9" ht="15" customHeight="1" x14ac:dyDescent="0.25">
      <c r="A139" s="87" t="s">
        <v>69</v>
      </c>
      <c r="B139" s="87" t="s">
        <v>275</v>
      </c>
      <c r="C139" s="87">
        <v>2016</v>
      </c>
      <c r="D139" s="87" t="s">
        <v>15</v>
      </c>
      <c r="E139" s="116">
        <v>49</v>
      </c>
      <c r="F139" s="87" t="s">
        <v>967</v>
      </c>
      <c r="G139" s="87" t="s">
        <v>274</v>
      </c>
      <c r="H139" s="87" t="s">
        <v>967</v>
      </c>
      <c r="I139" s="87">
        <v>62</v>
      </c>
    </row>
    <row r="140" spans="1:9" ht="15" customHeight="1" x14ac:dyDescent="0.25">
      <c r="A140" s="87" t="s">
        <v>69</v>
      </c>
      <c r="B140" s="87" t="s">
        <v>275</v>
      </c>
      <c r="C140" s="87">
        <v>2017</v>
      </c>
      <c r="D140" s="87" t="s">
        <v>15</v>
      </c>
      <c r="E140" s="116">
        <v>74</v>
      </c>
      <c r="F140" s="87" t="s">
        <v>967</v>
      </c>
      <c r="G140" s="87" t="s">
        <v>967</v>
      </c>
      <c r="H140" s="87" t="s">
        <v>967</v>
      </c>
      <c r="I140" s="87">
        <v>62</v>
      </c>
    </row>
    <row r="141" spans="1:9" ht="15" customHeight="1" x14ac:dyDescent="0.25">
      <c r="A141" s="87" t="s">
        <v>69</v>
      </c>
      <c r="B141" s="87" t="s">
        <v>275</v>
      </c>
      <c r="C141" s="87">
        <v>2018</v>
      </c>
      <c r="D141" s="87" t="s">
        <v>15</v>
      </c>
      <c r="E141" s="116">
        <v>175</v>
      </c>
      <c r="F141" s="87" t="s">
        <v>967</v>
      </c>
      <c r="G141" s="87" t="s">
        <v>272</v>
      </c>
      <c r="H141" s="87" t="s">
        <v>967</v>
      </c>
      <c r="I141" s="87">
        <v>62</v>
      </c>
    </row>
    <row r="142" spans="1:9" ht="15" customHeight="1" x14ac:dyDescent="0.25">
      <c r="A142" s="87" t="s">
        <v>69</v>
      </c>
      <c r="B142" s="87" t="s">
        <v>275</v>
      </c>
      <c r="C142" s="87">
        <v>2019</v>
      </c>
      <c r="D142" s="87" t="s">
        <v>15</v>
      </c>
      <c r="E142" s="116">
        <v>18</v>
      </c>
      <c r="F142" s="87" t="s">
        <v>967</v>
      </c>
      <c r="G142" s="87" t="s">
        <v>272</v>
      </c>
      <c r="H142" s="87" t="s">
        <v>969</v>
      </c>
      <c r="I142" s="87">
        <v>62</v>
      </c>
    </row>
    <row r="143" spans="1:9" ht="15" customHeight="1" x14ac:dyDescent="0.25">
      <c r="A143" s="87" t="s">
        <v>69</v>
      </c>
      <c r="B143" s="87" t="s">
        <v>275</v>
      </c>
      <c r="C143" s="87">
        <v>2020</v>
      </c>
      <c r="D143" s="87" t="s">
        <v>15</v>
      </c>
      <c r="E143" s="116">
        <v>46</v>
      </c>
      <c r="F143" s="87" t="s">
        <v>967</v>
      </c>
      <c r="G143" s="87" t="s">
        <v>272</v>
      </c>
      <c r="H143" s="87" t="s">
        <v>967</v>
      </c>
      <c r="I143" s="87">
        <v>62</v>
      </c>
    </row>
    <row r="144" spans="1:9" ht="15" customHeight="1" x14ac:dyDescent="0.25">
      <c r="A144" s="87" t="s">
        <v>69</v>
      </c>
      <c r="B144" s="87" t="s">
        <v>275</v>
      </c>
      <c r="C144" s="87">
        <v>2021</v>
      </c>
      <c r="D144" s="87" t="s">
        <v>15</v>
      </c>
      <c r="E144" s="116">
        <v>86</v>
      </c>
      <c r="F144" s="87" t="s">
        <v>967</v>
      </c>
      <c r="G144" s="87" t="s">
        <v>272</v>
      </c>
      <c r="H144" s="87" t="s">
        <v>967</v>
      </c>
      <c r="I144" s="87">
        <v>62</v>
      </c>
    </row>
    <row r="145" spans="1:9" ht="15" customHeight="1" x14ac:dyDescent="0.25">
      <c r="A145" s="87" t="s">
        <v>69</v>
      </c>
      <c r="B145" s="87" t="s">
        <v>275</v>
      </c>
      <c r="C145" s="87">
        <v>2022</v>
      </c>
      <c r="D145" s="87" t="s">
        <v>15</v>
      </c>
      <c r="E145" s="116">
        <v>11</v>
      </c>
      <c r="F145" s="87" t="s">
        <v>967</v>
      </c>
      <c r="G145" s="87" t="s">
        <v>274</v>
      </c>
      <c r="H145" s="87" t="s">
        <v>967</v>
      </c>
      <c r="I145" s="87">
        <v>62</v>
      </c>
    </row>
    <row r="146" spans="1:9" ht="15" customHeight="1" x14ac:dyDescent="0.25">
      <c r="A146" s="87" t="s">
        <v>70</v>
      </c>
      <c r="B146" s="87" t="s">
        <v>276</v>
      </c>
      <c r="C146" s="87">
        <v>1975</v>
      </c>
      <c r="D146" s="87" t="s">
        <v>18</v>
      </c>
      <c r="E146" s="116">
        <v>75</v>
      </c>
      <c r="F146" s="87" t="s">
        <v>508</v>
      </c>
      <c r="G146" s="87" t="s">
        <v>967</v>
      </c>
      <c r="H146" s="87" t="s">
        <v>508</v>
      </c>
      <c r="I146" s="87">
        <v>70</v>
      </c>
    </row>
    <row r="147" spans="1:9" ht="15" customHeight="1" x14ac:dyDescent="0.25">
      <c r="A147" s="87" t="s">
        <v>70</v>
      </c>
      <c r="B147" s="87" t="s">
        <v>276</v>
      </c>
      <c r="C147" s="87">
        <v>1976</v>
      </c>
      <c r="D147" s="87" t="s">
        <v>18</v>
      </c>
      <c r="E147" s="116">
        <v>25</v>
      </c>
      <c r="F147" s="87" t="s">
        <v>508</v>
      </c>
      <c r="G147" s="87" t="s">
        <v>967</v>
      </c>
      <c r="H147" s="87" t="s">
        <v>508</v>
      </c>
      <c r="I147" s="87">
        <v>70</v>
      </c>
    </row>
    <row r="148" spans="1:9" ht="15" customHeight="1" x14ac:dyDescent="0.25">
      <c r="A148" s="87" t="s">
        <v>70</v>
      </c>
      <c r="B148" s="87" t="s">
        <v>276</v>
      </c>
      <c r="C148" s="87">
        <v>1977</v>
      </c>
      <c r="D148" s="87" t="s">
        <v>18</v>
      </c>
      <c r="E148" s="116">
        <v>75</v>
      </c>
      <c r="F148" s="87" t="s">
        <v>508</v>
      </c>
      <c r="G148" s="87" t="s">
        <v>967</v>
      </c>
      <c r="H148" s="87" t="s">
        <v>508</v>
      </c>
      <c r="I148" s="87">
        <v>70</v>
      </c>
    </row>
    <row r="149" spans="1:9" ht="15" customHeight="1" x14ac:dyDescent="0.25">
      <c r="A149" s="87" t="s">
        <v>70</v>
      </c>
      <c r="B149" s="87" t="s">
        <v>276</v>
      </c>
      <c r="C149" s="87">
        <v>1978</v>
      </c>
      <c r="D149" s="87" t="s">
        <v>18</v>
      </c>
      <c r="E149" s="116">
        <v>25</v>
      </c>
      <c r="F149" s="87" t="s">
        <v>508</v>
      </c>
      <c r="G149" s="87" t="s">
        <v>967</v>
      </c>
      <c r="H149" s="87" t="s">
        <v>508</v>
      </c>
      <c r="I149" s="87">
        <v>70</v>
      </c>
    </row>
    <row r="150" spans="1:9" ht="15" customHeight="1" x14ac:dyDescent="0.25">
      <c r="A150" s="87" t="s">
        <v>70</v>
      </c>
      <c r="B150" s="87" t="s">
        <v>276</v>
      </c>
      <c r="C150" s="87">
        <v>1979</v>
      </c>
      <c r="D150" s="87" t="s">
        <v>18</v>
      </c>
      <c r="E150" s="116">
        <v>75</v>
      </c>
      <c r="F150" s="87" t="s">
        <v>508</v>
      </c>
      <c r="G150" s="87" t="s">
        <v>967</v>
      </c>
      <c r="H150" s="87" t="s">
        <v>508</v>
      </c>
      <c r="I150" s="87">
        <v>70</v>
      </c>
    </row>
    <row r="151" spans="1:9" ht="15" customHeight="1" x14ac:dyDescent="0.25">
      <c r="A151" s="87" t="s">
        <v>70</v>
      </c>
      <c r="B151" s="87" t="s">
        <v>276</v>
      </c>
      <c r="C151" s="87">
        <v>1980</v>
      </c>
      <c r="D151" s="87" t="s">
        <v>18</v>
      </c>
      <c r="E151" s="116">
        <v>20</v>
      </c>
      <c r="F151" s="87" t="s">
        <v>508</v>
      </c>
      <c r="G151" s="87" t="s">
        <v>967</v>
      </c>
      <c r="H151" s="87" t="s">
        <v>508</v>
      </c>
      <c r="I151" s="87">
        <v>70</v>
      </c>
    </row>
    <row r="152" spans="1:9" ht="15" customHeight="1" x14ac:dyDescent="0.25">
      <c r="A152" s="87" t="s">
        <v>70</v>
      </c>
      <c r="B152" s="87" t="s">
        <v>276</v>
      </c>
      <c r="C152" s="87">
        <v>1981</v>
      </c>
      <c r="D152" s="87" t="s">
        <v>18</v>
      </c>
      <c r="E152" s="116">
        <v>100</v>
      </c>
      <c r="F152" s="87" t="s">
        <v>508</v>
      </c>
      <c r="G152" s="87" t="s">
        <v>967</v>
      </c>
      <c r="H152" s="87" t="s">
        <v>508</v>
      </c>
      <c r="I152" s="87">
        <v>70</v>
      </c>
    </row>
    <row r="153" spans="1:9" ht="15" customHeight="1" x14ac:dyDescent="0.25">
      <c r="A153" s="87" t="s">
        <v>70</v>
      </c>
      <c r="B153" s="87" t="s">
        <v>276</v>
      </c>
      <c r="C153" s="87">
        <v>1982</v>
      </c>
      <c r="D153" s="87" t="s">
        <v>18</v>
      </c>
      <c r="E153" s="116">
        <v>20</v>
      </c>
      <c r="F153" s="87" t="s">
        <v>508</v>
      </c>
      <c r="G153" s="87" t="s">
        <v>967</v>
      </c>
      <c r="H153" s="87" t="s">
        <v>508</v>
      </c>
      <c r="I153" s="87">
        <v>70</v>
      </c>
    </row>
    <row r="154" spans="1:9" ht="15" customHeight="1" x14ac:dyDescent="0.25">
      <c r="A154" s="87" t="s">
        <v>70</v>
      </c>
      <c r="B154" s="87" t="s">
        <v>276</v>
      </c>
      <c r="C154" s="87">
        <v>1983</v>
      </c>
      <c r="D154" s="87" t="s">
        <v>18</v>
      </c>
      <c r="E154" s="116">
        <v>75</v>
      </c>
      <c r="F154" s="87" t="s">
        <v>508</v>
      </c>
      <c r="G154" s="87" t="s">
        <v>967</v>
      </c>
      <c r="H154" s="87" t="s">
        <v>508</v>
      </c>
      <c r="I154" s="87">
        <v>70</v>
      </c>
    </row>
    <row r="155" spans="1:9" ht="15" customHeight="1" x14ac:dyDescent="0.25">
      <c r="A155" s="87" t="s">
        <v>70</v>
      </c>
      <c r="B155" s="87" t="s">
        <v>276</v>
      </c>
      <c r="C155" s="87">
        <v>1984</v>
      </c>
      <c r="D155" s="87" t="s">
        <v>18</v>
      </c>
      <c r="E155" s="116">
        <v>50</v>
      </c>
      <c r="F155" s="87" t="s">
        <v>508</v>
      </c>
      <c r="G155" s="87" t="s">
        <v>967</v>
      </c>
      <c r="H155" s="87" t="s">
        <v>508</v>
      </c>
      <c r="I155" s="87">
        <v>70</v>
      </c>
    </row>
    <row r="156" spans="1:9" ht="15" customHeight="1" x14ac:dyDescent="0.25">
      <c r="A156" s="87" t="s">
        <v>70</v>
      </c>
      <c r="B156" s="87" t="s">
        <v>276</v>
      </c>
      <c r="C156" s="87">
        <v>1985</v>
      </c>
      <c r="D156" s="87" t="s">
        <v>18</v>
      </c>
      <c r="E156" s="116">
        <v>30</v>
      </c>
      <c r="F156" s="87" t="s">
        <v>508</v>
      </c>
      <c r="G156" s="87" t="s">
        <v>967</v>
      </c>
      <c r="H156" s="87" t="s">
        <v>508</v>
      </c>
      <c r="I156" s="87">
        <v>70</v>
      </c>
    </row>
    <row r="157" spans="1:9" ht="15" customHeight="1" x14ac:dyDescent="0.25">
      <c r="A157" s="87" t="s">
        <v>70</v>
      </c>
      <c r="B157" s="87" t="s">
        <v>276</v>
      </c>
      <c r="C157" s="87">
        <v>1986</v>
      </c>
      <c r="D157" s="87" t="s">
        <v>18</v>
      </c>
      <c r="E157" s="116">
        <v>25</v>
      </c>
      <c r="F157" s="87" t="s">
        <v>508</v>
      </c>
      <c r="G157" s="87" t="s">
        <v>967</v>
      </c>
      <c r="H157" s="87" t="s">
        <v>508</v>
      </c>
      <c r="I157" s="87">
        <v>70</v>
      </c>
    </row>
    <row r="158" spans="1:9" ht="15" customHeight="1" x14ac:dyDescent="0.25">
      <c r="A158" s="87" t="s">
        <v>70</v>
      </c>
      <c r="B158" s="87" t="s">
        <v>276</v>
      </c>
      <c r="C158" s="87">
        <v>1987</v>
      </c>
      <c r="D158" s="87" t="s">
        <v>18</v>
      </c>
      <c r="E158" s="116">
        <v>-1</v>
      </c>
      <c r="F158" s="87" t="s">
        <v>508</v>
      </c>
      <c r="G158" s="87" t="s">
        <v>967</v>
      </c>
      <c r="H158" s="87" t="s">
        <v>508</v>
      </c>
      <c r="I158" s="87">
        <v>70</v>
      </c>
    </row>
    <row r="159" spans="1:9" ht="15" customHeight="1" x14ac:dyDescent="0.25">
      <c r="A159" s="87" t="s">
        <v>70</v>
      </c>
      <c r="B159" s="87" t="s">
        <v>276</v>
      </c>
      <c r="C159" s="87">
        <v>1988</v>
      </c>
      <c r="D159" s="87" t="s">
        <v>18</v>
      </c>
      <c r="E159" s="116">
        <v>-1</v>
      </c>
      <c r="F159" s="87" t="s">
        <v>508</v>
      </c>
      <c r="G159" s="87" t="s">
        <v>967</v>
      </c>
      <c r="H159" s="87" t="s">
        <v>508</v>
      </c>
      <c r="I159" s="87">
        <v>70</v>
      </c>
    </row>
    <row r="160" spans="1:9" ht="15" customHeight="1" x14ac:dyDescent="0.25">
      <c r="A160" s="87" t="s">
        <v>70</v>
      </c>
      <c r="B160" s="87" t="s">
        <v>276</v>
      </c>
      <c r="C160" s="87">
        <v>1989</v>
      </c>
      <c r="D160" s="87" t="s">
        <v>18</v>
      </c>
      <c r="E160" s="116">
        <v>-1</v>
      </c>
      <c r="F160" s="87" t="s">
        <v>508</v>
      </c>
      <c r="G160" s="87" t="s">
        <v>967</v>
      </c>
      <c r="H160" s="87" t="s">
        <v>508</v>
      </c>
      <c r="I160" s="87">
        <v>70</v>
      </c>
    </row>
    <row r="161" spans="1:9" ht="15" customHeight="1" x14ac:dyDescent="0.25">
      <c r="A161" s="87" t="s">
        <v>70</v>
      </c>
      <c r="B161" s="87" t="s">
        <v>276</v>
      </c>
      <c r="C161" s="87">
        <v>1990</v>
      </c>
      <c r="D161" s="87" t="s">
        <v>18</v>
      </c>
      <c r="E161" s="116">
        <v>-1</v>
      </c>
      <c r="F161" s="87" t="s">
        <v>508</v>
      </c>
      <c r="G161" s="87" t="s">
        <v>967</v>
      </c>
      <c r="H161" s="87" t="s">
        <v>508</v>
      </c>
      <c r="I161" s="87">
        <v>70</v>
      </c>
    </row>
    <row r="162" spans="1:9" ht="15" customHeight="1" x14ac:dyDescent="0.25">
      <c r="A162" s="87" t="s">
        <v>70</v>
      </c>
      <c r="B162" s="87" t="s">
        <v>276</v>
      </c>
      <c r="C162" s="87">
        <v>1991</v>
      </c>
      <c r="D162" s="87" t="s">
        <v>18</v>
      </c>
      <c r="E162" s="116">
        <v>-1</v>
      </c>
      <c r="F162" s="87" t="s">
        <v>508</v>
      </c>
      <c r="G162" s="87" t="s">
        <v>967</v>
      </c>
      <c r="H162" s="87" t="s">
        <v>508</v>
      </c>
      <c r="I162" s="87">
        <v>70</v>
      </c>
    </row>
    <row r="163" spans="1:9" ht="15" customHeight="1" x14ac:dyDescent="0.25">
      <c r="A163" s="87" t="s">
        <v>70</v>
      </c>
      <c r="B163" s="87" t="s">
        <v>276</v>
      </c>
      <c r="C163" s="87">
        <v>1992</v>
      </c>
      <c r="D163" s="87" t="s">
        <v>18</v>
      </c>
      <c r="E163" s="116">
        <v>-1</v>
      </c>
      <c r="F163" s="87" t="s">
        <v>508</v>
      </c>
      <c r="G163" s="87" t="s">
        <v>967</v>
      </c>
      <c r="H163" s="87" t="s">
        <v>508</v>
      </c>
      <c r="I163" s="87">
        <v>70</v>
      </c>
    </row>
    <row r="164" spans="1:9" ht="15" customHeight="1" x14ac:dyDescent="0.25">
      <c r="A164" s="87" t="s">
        <v>70</v>
      </c>
      <c r="B164" s="87" t="s">
        <v>276</v>
      </c>
      <c r="C164" s="87">
        <v>1993</v>
      </c>
      <c r="D164" s="87" t="s">
        <v>18</v>
      </c>
      <c r="E164" s="116">
        <v>-1</v>
      </c>
      <c r="F164" s="87" t="s">
        <v>508</v>
      </c>
      <c r="G164" s="87" t="s">
        <v>967</v>
      </c>
      <c r="H164" s="87" t="s">
        <v>508</v>
      </c>
      <c r="I164" s="87">
        <v>70</v>
      </c>
    </row>
    <row r="165" spans="1:9" ht="15" customHeight="1" x14ac:dyDescent="0.25">
      <c r="A165" s="87" t="s">
        <v>70</v>
      </c>
      <c r="B165" s="87" t="s">
        <v>276</v>
      </c>
      <c r="C165" s="87">
        <v>1994</v>
      </c>
      <c r="D165" s="87" t="s">
        <v>18</v>
      </c>
      <c r="E165" s="116">
        <v>-1</v>
      </c>
      <c r="F165" s="87" t="s">
        <v>508</v>
      </c>
      <c r="G165" s="87" t="s">
        <v>967</v>
      </c>
      <c r="H165" s="87" t="s">
        <v>508</v>
      </c>
      <c r="I165" s="87">
        <v>70</v>
      </c>
    </row>
    <row r="166" spans="1:9" ht="15" customHeight="1" x14ac:dyDescent="0.25">
      <c r="A166" s="87" t="s">
        <v>70</v>
      </c>
      <c r="B166" s="87" t="s">
        <v>276</v>
      </c>
      <c r="C166" s="87">
        <v>1995</v>
      </c>
      <c r="D166" s="87" t="s">
        <v>18</v>
      </c>
      <c r="E166" s="116">
        <v>-1</v>
      </c>
      <c r="F166" s="87" t="s">
        <v>508</v>
      </c>
      <c r="G166" s="87" t="s">
        <v>967</v>
      </c>
      <c r="H166" s="87" t="s">
        <v>508</v>
      </c>
      <c r="I166" s="87">
        <v>70</v>
      </c>
    </row>
    <row r="167" spans="1:9" ht="15" customHeight="1" x14ac:dyDescent="0.25">
      <c r="A167" s="87" t="s">
        <v>70</v>
      </c>
      <c r="B167" s="87" t="s">
        <v>276</v>
      </c>
      <c r="C167" s="87">
        <v>1996</v>
      </c>
      <c r="D167" s="87" t="s">
        <v>18</v>
      </c>
      <c r="E167" s="116">
        <v>-1</v>
      </c>
      <c r="F167" s="87" t="s">
        <v>508</v>
      </c>
      <c r="G167" s="87" t="s">
        <v>967</v>
      </c>
      <c r="H167" s="87" t="s">
        <v>508</v>
      </c>
      <c r="I167" s="87">
        <v>70</v>
      </c>
    </row>
    <row r="168" spans="1:9" ht="15" customHeight="1" x14ac:dyDescent="0.25">
      <c r="A168" s="87" t="s">
        <v>70</v>
      </c>
      <c r="B168" s="87" t="s">
        <v>276</v>
      </c>
      <c r="C168" s="87">
        <v>1997</v>
      </c>
      <c r="D168" s="87" t="s">
        <v>18</v>
      </c>
      <c r="E168" s="116">
        <v>-1</v>
      </c>
      <c r="F168" s="87" t="s">
        <v>508</v>
      </c>
      <c r="G168" s="87" t="s">
        <v>967</v>
      </c>
      <c r="H168" s="87" t="s">
        <v>508</v>
      </c>
      <c r="I168" s="87">
        <v>70</v>
      </c>
    </row>
    <row r="169" spans="1:9" ht="15" customHeight="1" x14ac:dyDescent="0.25">
      <c r="A169" s="87" t="s">
        <v>70</v>
      </c>
      <c r="B169" s="87" t="s">
        <v>276</v>
      </c>
      <c r="C169" s="87">
        <v>1998</v>
      </c>
      <c r="D169" s="87" t="s">
        <v>18</v>
      </c>
      <c r="E169" s="116">
        <v>-1</v>
      </c>
      <c r="F169" s="87" t="s">
        <v>508</v>
      </c>
      <c r="G169" s="87" t="s">
        <v>967</v>
      </c>
      <c r="H169" s="87" t="s">
        <v>508</v>
      </c>
      <c r="I169" s="87">
        <v>70</v>
      </c>
    </row>
    <row r="170" spans="1:9" ht="15" customHeight="1" x14ac:dyDescent="0.25">
      <c r="A170" s="87" t="s">
        <v>70</v>
      </c>
      <c r="B170" s="87" t="s">
        <v>276</v>
      </c>
      <c r="C170" s="87">
        <v>1999</v>
      </c>
      <c r="D170" s="87" t="s">
        <v>18</v>
      </c>
      <c r="E170" s="116">
        <v>-1</v>
      </c>
      <c r="F170" s="87" t="s">
        <v>508</v>
      </c>
      <c r="G170" s="87" t="s">
        <v>967</v>
      </c>
      <c r="H170" s="87" t="s">
        <v>508</v>
      </c>
      <c r="I170" s="87">
        <v>70</v>
      </c>
    </row>
    <row r="171" spans="1:9" ht="15" customHeight="1" x14ac:dyDescent="0.25">
      <c r="A171" s="87" t="s">
        <v>70</v>
      </c>
      <c r="B171" s="87" t="s">
        <v>276</v>
      </c>
      <c r="C171" s="87">
        <v>2000</v>
      </c>
      <c r="D171" s="87" t="s">
        <v>18</v>
      </c>
      <c r="E171" s="116">
        <v>-1</v>
      </c>
      <c r="F171" s="87" t="s">
        <v>508</v>
      </c>
      <c r="G171" s="87" t="s">
        <v>967</v>
      </c>
      <c r="H171" s="87" t="s">
        <v>508</v>
      </c>
      <c r="I171" s="87">
        <v>70</v>
      </c>
    </row>
    <row r="172" spans="1:9" ht="15" customHeight="1" x14ac:dyDescent="0.25">
      <c r="A172" s="87" t="s">
        <v>70</v>
      </c>
      <c r="B172" s="87" t="s">
        <v>276</v>
      </c>
      <c r="C172" s="87">
        <v>2001</v>
      </c>
      <c r="D172" s="87" t="s">
        <v>18</v>
      </c>
      <c r="E172" s="116">
        <v>-1</v>
      </c>
      <c r="F172" s="87" t="s">
        <v>508</v>
      </c>
      <c r="G172" s="87" t="s">
        <v>967</v>
      </c>
      <c r="H172" s="87" t="s">
        <v>508</v>
      </c>
      <c r="I172" s="87">
        <v>70</v>
      </c>
    </row>
    <row r="173" spans="1:9" ht="15" customHeight="1" x14ac:dyDescent="0.25">
      <c r="A173" s="87" t="s">
        <v>70</v>
      </c>
      <c r="B173" s="87" t="s">
        <v>276</v>
      </c>
      <c r="C173" s="87">
        <v>2002</v>
      </c>
      <c r="D173" s="87" t="s">
        <v>18</v>
      </c>
      <c r="E173" s="116">
        <v>-1</v>
      </c>
      <c r="F173" s="87" t="s">
        <v>508</v>
      </c>
      <c r="G173" s="87" t="s">
        <v>967</v>
      </c>
      <c r="H173" s="87" t="s">
        <v>508</v>
      </c>
      <c r="I173" s="87">
        <v>70</v>
      </c>
    </row>
    <row r="174" spans="1:9" ht="15" customHeight="1" x14ac:dyDescent="0.25">
      <c r="A174" s="87" t="s">
        <v>70</v>
      </c>
      <c r="B174" s="87" t="s">
        <v>276</v>
      </c>
      <c r="C174" s="87">
        <v>2003</v>
      </c>
      <c r="D174" s="87" t="s">
        <v>18</v>
      </c>
      <c r="E174" s="116">
        <v>-1</v>
      </c>
      <c r="F174" s="87" t="s">
        <v>508</v>
      </c>
      <c r="G174" s="87" t="s">
        <v>967</v>
      </c>
      <c r="H174" s="87" t="s">
        <v>508</v>
      </c>
      <c r="I174" s="87">
        <v>70</v>
      </c>
    </row>
    <row r="175" spans="1:9" ht="15" customHeight="1" x14ac:dyDescent="0.25">
      <c r="A175" s="87" t="s">
        <v>70</v>
      </c>
      <c r="B175" s="87" t="s">
        <v>276</v>
      </c>
      <c r="C175" s="87">
        <v>2004</v>
      </c>
      <c r="D175" s="87" t="s">
        <v>18</v>
      </c>
      <c r="E175" s="116">
        <v>-1</v>
      </c>
      <c r="F175" s="87" t="s">
        <v>508</v>
      </c>
      <c r="G175" s="87" t="s">
        <v>967</v>
      </c>
      <c r="H175" s="87" t="s">
        <v>508</v>
      </c>
      <c r="I175" s="87">
        <v>70</v>
      </c>
    </row>
    <row r="176" spans="1:9" ht="15" customHeight="1" x14ac:dyDescent="0.25">
      <c r="A176" s="87" t="s">
        <v>70</v>
      </c>
      <c r="B176" s="87" t="s">
        <v>276</v>
      </c>
      <c r="C176" s="87">
        <v>2005</v>
      </c>
      <c r="D176" s="87" t="s">
        <v>18</v>
      </c>
      <c r="E176" s="116">
        <v>134</v>
      </c>
      <c r="F176" s="87" t="s">
        <v>967</v>
      </c>
      <c r="G176" s="87" t="s">
        <v>277</v>
      </c>
      <c r="H176" s="87" t="s">
        <v>967</v>
      </c>
      <c r="I176" s="87">
        <v>70</v>
      </c>
    </row>
    <row r="177" spans="1:9" ht="15" customHeight="1" x14ac:dyDescent="0.25">
      <c r="A177" s="87" t="s">
        <v>70</v>
      </c>
      <c r="B177" s="87" t="s">
        <v>276</v>
      </c>
      <c r="C177" s="87">
        <v>2006</v>
      </c>
      <c r="D177" s="87" t="s">
        <v>18</v>
      </c>
      <c r="E177" s="116">
        <v>209</v>
      </c>
      <c r="F177" s="87" t="s">
        <v>967</v>
      </c>
      <c r="G177" s="87" t="s">
        <v>277</v>
      </c>
      <c r="H177" s="87" t="s">
        <v>967</v>
      </c>
      <c r="I177" s="87">
        <v>70</v>
      </c>
    </row>
    <row r="178" spans="1:9" ht="15" customHeight="1" x14ac:dyDescent="0.25">
      <c r="A178" s="87" t="s">
        <v>70</v>
      </c>
      <c r="B178" s="87" t="s">
        <v>276</v>
      </c>
      <c r="C178" s="87">
        <v>2007</v>
      </c>
      <c r="D178" s="87" t="s">
        <v>18</v>
      </c>
      <c r="E178" s="116">
        <v>62</v>
      </c>
      <c r="F178" s="87" t="s">
        <v>967</v>
      </c>
      <c r="G178" s="87" t="s">
        <v>277</v>
      </c>
      <c r="H178" s="87" t="s">
        <v>967</v>
      </c>
      <c r="I178" s="87">
        <v>70</v>
      </c>
    </row>
    <row r="179" spans="1:9" ht="15" customHeight="1" x14ac:dyDescent="0.25">
      <c r="A179" s="87" t="s">
        <v>70</v>
      </c>
      <c r="B179" s="87" t="s">
        <v>276</v>
      </c>
      <c r="C179" s="87">
        <v>2008</v>
      </c>
      <c r="D179" s="87" t="s">
        <v>18</v>
      </c>
      <c r="E179" s="116">
        <v>20</v>
      </c>
      <c r="F179" s="87" t="s">
        <v>967</v>
      </c>
      <c r="G179" s="87" t="s">
        <v>277</v>
      </c>
      <c r="H179" s="87" t="s">
        <v>967</v>
      </c>
      <c r="I179" s="87">
        <v>70</v>
      </c>
    </row>
    <row r="180" spans="1:9" ht="15" customHeight="1" x14ac:dyDescent="0.25">
      <c r="A180" s="87" t="s">
        <v>70</v>
      </c>
      <c r="B180" s="87" t="s">
        <v>276</v>
      </c>
      <c r="C180" s="87">
        <v>2009</v>
      </c>
      <c r="D180" s="87" t="s">
        <v>18</v>
      </c>
      <c r="E180" s="116">
        <v>38</v>
      </c>
      <c r="F180" s="87" t="s">
        <v>967</v>
      </c>
      <c r="G180" s="87" t="s">
        <v>277</v>
      </c>
      <c r="H180" s="87" t="s">
        <v>967</v>
      </c>
      <c r="I180" s="87">
        <v>70</v>
      </c>
    </row>
    <row r="181" spans="1:9" ht="15" customHeight="1" x14ac:dyDescent="0.25">
      <c r="A181" s="87" t="s">
        <v>70</v>
      </c>
      <c r="B181" s="87" t="s">
        <v>276</v>
      </c>
      <c r="C181" s="87">
        <v>2010</v>
      </c>
      <c r="D181" s="87" t="s">
        <v>18</v>
      </c>
      <c r="E181" s="116">
        <v>32</v>
      </c>
      <c r="F181" s="87" t="s">
        <v>967</v>
      </c>
      <c r="G181" s="87" t="s">
        <v>277</v>
      </c>
      <c r="H181" s="87" t="s">
        <v>967</v>
      </c>
      <c r="I181" s="87">
        <v>70</v>
      </c>
    </row>
    <row r="182" spans="1:9" ht="15" customHeight="1" x14ac:dyDescent="0.25">
      <c r="A182" s="87" t="s">
        <v>70</v>
      </c>
      <c r="B182" s="87" t="s">
        <v>276</v>
      </c>
      <c r="C182" s="87">
        <v>2011</v>
      </c>
      <c r="D182" s="87" t="s">
        <v>18</v>
      </c>
      <c r="E182" s="116">
        <v>63</v>
      </c>
      <c r="F182" s="87" t="s">
        <v>967</v>
      </c>
      <c r="G182" s="87" t="s">
        <v>277</v>
      </c>
      <c r="H182" s="87" t="s">
        <v>967</v>
      </c>
      <c r="I182" s="87">
        <v>70</v>
      </c>
    </row>
    <row r="183" spans="1:9" ht="15" customHeight="1" x14ac:dyDescent="0.25">
      <c r="A183" s="87" t="s">
        <v>70</v>
      </c>
      <c r="B183" s="87" t="s">
        <v>276</v>
      </c>
      <c r="C183" s="87">
        <v>2012</v>
      </c>
      <c r="D183" s="87" t="s">
        <v>18</v>
      </c>
      <c r="E183" s="116">
        <v>88</v>
      </c>
      <c r="F183" s="87" t="s">
        <v>278</v>
      </c>
      <c r="G183" s="87" t="s">
        <v>277</v>
      </c>
      <c r="H183" s="87" t="s">
        <v>967</v>
      </c>
      <c r="I183" s="87">
        <v>70</v>
      </c>
    </row>
    <row r="184" spans="1:9" ht="15" customHeight="1" x14ac:dyDescent="0.25">
      <c r="A184" s="87" t="s">
        <v>70</v>
      </c>
      <c r="B184" s="87" t="s">
        <v>276</v>
      </c>
      <c r="C184" s="87">
        <v>2013</v>
      </c>
      <c r="D184" s="87" t="s">
        <v>18</v>
      </c>
      <c r="E184" s="116">
        <v>78</v>
      </c>
      <c r="F184" s="87" t="s">
        <v>967</v>
      </c>
      <c r="G184" s="87" t="s">
        <v>277</v>
      </c>
      <c r="H184" s="87" t="s">
        <v>967</v>
      </c>
      <c r="I184" s="87">
        <v>70</v>
      </c>
    </row>
    <row r="185" spans="1:9" ht="15" customHeight="1" x14ac:dyDescent="0.25">
      <c r="A185" s="87" t="s">
        <v>70</v>
      </c>
      <c r="B185" s="87" t="s">
        <v>276</v>
      </c>
      <c r="C185" s="87">
        <v>2014</v>
      </c>
      <c r="D185" s="87" t="s">
        <v>18</v>
      </c>
      <c r="E185" s="116">
        <v>38</v>
      </c>
      <c r="F185" s="87" t="s">
        <v>967</v>
      </c>
      <c r="G185" s="87" t="s">
        <v>277</v>
      </c>
      <c r="H185" s="87" t="s">
        <v>967</v>
      </c>
      <c r="I185" s="87">
        <v>70</v>
      </c>
    </row>
    <row r="186" spans="1:9" ht="15" customHeight="1" x14ac:dyDescent="0.25">
      <c r="A186" s="87" t="s">
        <v>70</v>
      </c>
      <c r="B186" s="87" t="s">
        <v>276</v>
      </c>
      <c r="C186" s="87">
        <v>2015</v>
      </c>
      <c r="D186" s="87" t="s">
        <v>18</v>
      </c>
      <c r="E186" s="116">
        <v>94</v>
      </c>
      <c r="F186" s="87" t="s">
        <v>967</v>
      </c>
      <c r="G186" s="87" t="s">
        <v>272</v>
      </c>
      <c r="H186" s="87" t="s">
        <v>522</v>
      </c>
      <c r="I186" s="87">
        <v>70</v>
      </c>
    </row>
    <row r="187" spans="1:9" ht="15" customHeight="1" x14ac:dyDescent="0.25">
      <c r="A187" s="87" t="s">
        <v>70</v>
      </c>
      <c r="B187" s="87" t="s">
        <v>276</v>
      </c>
      <c r="C187" s="87">
        <v>2016</v>
      </c>
      <c r="D187" s="87" t="s">
        <v>18</v>
      </c>
      <c r="E187" s="116">
        <v>48</v>
      </c>
      <c r="F187" s="87" t="s">
        <v>967</v>
      </c>
      <c r="G187" s="87" t="s">
        <v>274</v>
      </c>
      <c r="H187" s="87" t="s">
        <v>523</v>
      </c>
      <c r="I187" s="87">
        <v>70</v>
      </c>
    </row>
    <row r="188" spans="1:9" ht="15" customHeight="1" x14ac:dyDescent="0.25">
      <c r="A188" s="87" t="s">
        <v>70</v>
      </c>
      <c r="B188" s="87" t="s">
        <v>276</v>
      </c>
      <c r="C188" s="87">
        <v>2017</v>
      </c>
      <c r="D188" s="87" t="s">
        <v>18</v>
      </c>
      <c r="E188" s="116">
        <v>105</v>
      </c>
      <c r="F188" s="87" t="s">
        <v>967</v>
      </c>
      <c r="G188" s="87" t="s">
        <v>274</v>
      </c>
      <c r="H188" s="87" t="s">
        <v>967</v>
      </c>
      <c r="I188" s="87">
        <v>70</v>
      </c>
    </row>
    <row r="189" spans="1:9" ht="15" customHeight="1" x14ac:dyDescent="0.25">
      <c r="A189" s="87" t="s">
        <v>70</v>
      </c>
      <c r="B189" s="87" t="s">
        <v>276</v>
      </c>
      <c r="C189" s="87">
        <v>2018</v>
      </c>
      <c r="D189" s="87" t="s">
        <v>18</v>
      </c>
      <c r="E189" s="116">
        <v>20</v>
      </c>
      <c r="F189" s="87" t="s">
        <v>967</v>
      </c>
      <c r="G189" s="87" t="s">
        <v>274</v>
      </c>
      <c r="H189" s="87" t="s">
        <v>967</v>
      </c>
      <c r="I189" s="87">
        <v>70</v>
      </c>
    </row>
    <row r="190" spans="1:9" ht="15" customHeight="1" x14ac:dyDescent="0.25">
      <c r="A190" s="87" t="s">
        <v>70</v>
      </c>
      <c r="B190" s="87" t="s">
        <v>276</v>
      </c>
      <c r="C190" s="87">
        <v>2019</v>
      </c>
      <c r="D190" s="87" t="s">
        <v>18</v>
      </c>
      <c r="E190" s="116">
        <v>31</v>
      </c>
      <c r="F190" s="87" t="s">
        <v>967</v>
      </c>
      <c r="G190" s="87" t="s">
        <v>274</v>
      </c>
      <c r="H190" s="87" t="s">
        <v>970</v>
      </c>
      <c r="I190" s="87">
        <v>70</v>
      </c>
    </row>
    <row r="191" spans="1:9" ht="15" customHeight="1" x14ac:dyDescent="0.25">
      <c r="A191" s="87" t="s">
        <v>70</v>
      </c>
      <c r="B191" s="87" t="s">
        <v>276</v>
      </c>
      <c r="C191" s="87">
        <v>2020</v>
      </c>
      <c r="D191" s="87" t="s">
        <v>18</v>
      </c>
      <c r="E191" s="116">
        <v>66</v>
      </c>
      <c r="F191" s="87" t="s">
        <v>967</v>
      </c>
      <c r="G191" s="87" t="s">
        <v>272</v>
      </c>
      <c r="H191" s="87" t="s">
        <v>967</v>
      </c>
      <c r="I191" s="87">
        <v>70</v>
      </c>
    </row>
    <row r="192" spans="1:9" ht="15" customHeight="1" x14ac:dyDescent="0.25">
      <c r="A192" s="87" t="s">
        <v>70</v>
      </c>
      <c r="B192" s="87" t="s">
        <v>276</v>
      </c>
      <c r="C192" s="87">
        <v>2021</v>
      </c>
      <c r="D192" s="87" t="s">
        <v>18</v>
      </c>
      <c r="E192" s="116">
        <v>60</v>
      </c>
      <c r="F192" s="87" t="s">
        <v>967</v>
      </c>
      <c r="G192" s="87" t="s">
        <v>272</v>
      </c>
      <c r="H192" s="87" t="s">
        <v>967</v>
      </c>
      <c r="I192" s="87">
        <v>70</v>
      </c>
    </row>
    <row r="193" spans="1:9" ht="15" customHeight="1" x14ac:dyDescent="0.25">
      <c r="A193" s="87" t="s">
        <v>70</v>
      </c>
      <c r="B193" s="87" t="s">
        <v>276</v>
      </c>
      <c r="C193" s="87">
        <v>2022</v>
      </c>
      <c r="D193" s="87" t="s">
        <v>18</v>
      </c>
      <c r="E193" s="116">
        <v>12</v>
      </c>
      <c r="F193" s="87" t="s">
        <v>967</v>
      </c>
      <c r="G193" s="87" t="s">
        <v>272</v>
      </c>
      <c r="H193" s="87" t="s">
        <v>967</v>
      </c>
      <c r="I193" s="87">
        <v>70</v>
      </c>
    </row>
    <row r="194" spans="1:9" ht="15" customHeight="1" x14ac:dyDescent="0.25">
      <c r="A194" s="87" t="s">
        <v>70</v>
      </c>
      <c r="B194" s="87" t="s">
        <v>243</v>
      </c>
      <c r="C194" s="87">
        <v>1975</v>
      </c>
      <c r="D194" s="87" t="s">
        <v>18</v>
      </c>
      <c r="E194" s="116">
        <v>-1</v>
      </c>
      <c r="F194" s="87" t="s">
        <v>431</v>
      </c>
      <c r="G194" s="87" t="s">
        <v>967</v>
      </c>
      <c r="H194" s="87" t="s">
        <v>431</v>
      </c>
      <c r="I194" s="87">
        <v>71</v>
      </c>
    </row>
    <row r="195" spans="1:9" ht="15" customHeight="1" x14ac:dyDescent="0.25">
      <c r="A195" s="87" t="s">
        <v>70</v>
      </c>
      <c r="B195" s="87" t="s">
        <v>243</v>
      </c>
      <c r="C195" s="87">
        <v>1976</v>
      </c>
      <c r="D195" s="87" t="s">
        <v>18</v>
      </c>
      <c r="E195" s="116">
        <v>-1</v>
      </c>
      <c r="F195" s="87" t="s">
        <v>431</v>
      </c>
      <c r="G195" s="87" t="s">
        <v>967</v>
      </c>
      <c r="H195" s="87" t="s">
        <v>431</v>
      </c>
      <c r="I195" s="87">
        <v>71</v>
      </c>
    </row>
    <row r="196" spans="1:9" ht="15" customHeight="1" x14ac:dyDescent="0.25">
      <c r="A196" s="87" t="s">
        <v>70</v>
      </c>
      <c r="B196" s="87" t="s">
        <v>243</v>
      </c>
      <c r="C196" s="87">
        <v>1977</v>
      </c>
      <c r="D196" s="87" t="s">
        <v>18</v>
      </c>
      <c r="E196" s="116">
        <v>-1</v>
      </c>
      <c r="F196" s="87" t="s">
        <v>431</v>
      </c>
      <c r="G196" s="87" t="s">
        <v>967</v>
      </c>
      <c r="H196" s="87" t="s">
        <v>431</v>
      </c>
      <c r="I196" s="87">
        <v>71</v>
      </c>
    </row>
    <row r="197" spans="1:9" ht="15" customHeight="1" x14ac:dyDescent="0.25">
      <c r="A197" s="87" t="s">
        <v>70</v>
      </c>
      <c r="B197" s="87" t="s">
        <v>243</v>
      </c>
      <c r="C197" s="87">
        <v>1978</v>
      </c>
      <c r="D197" s="87" t="s">
        <v>18</v>
      </c>
      <c r="E197" s="116">
        <v>-1</v>
      </c>
      <c r="F197" s="87" t="s">
        <v>431</v>
      </c>
      <c r="G197" s="87" t="s">
        <v>967</v>
      </c>
      <c r="H197" s="87" t="s">
        <v>431</v>
      </c>
      <c r="I197" s="87">
        <v>71</v>
      </c>
    </row>
    <row r="198" spans="1:9" ht="15" customHeight="1" x14ac:dyDescent="0.25">
      <c r="A198" s="87" t="s">
        <v>70</v>
      </c>
      <c r="B198" s="87" t="s">
        <v>243</v>
      </c>
      <c r="C198" s="87">
        <v>1979</v>
      </c>
      <c r="D198" s="87" t="s">
        <v>18</v>
      </c>
      <c r="E198" s="116">
        <v>-1</v>
      </c>
      <c r="F198" s="87" t="s">
        <v>431</v>
      </c>
      <c r="G198" s="87" t="s">
        <v>967</v>
      </c>
      <c r="H198" s="87" t="s">
        <v>431</v>
      </c>
      <c r="I198" s="87">
        <v>71</v>
      </c>
    </row>
    <row r="199" spans="1:9" ht="15" customHeight="1" x14ac:dyDescent="0.25">
      <c r="A199" s="87" t="s">
        <v>70</v>
      </c>
      <c r="B199" s="87" t="s">
        <v>243</v>
      </c>
      <c r="C199" s="87">
        <v>1980</v>
      </c>
      <c r="D199" s="87" t="s">
        <v>18</v>
      </c>
      <c r="E199" s="116">
        <v>-1</v>
      </c>
      <c r="F199" s="87" t="s">
        <v>431</v>
      </c>
      <c r="G199" s="87" t="s">
        <v>967</v>
      </c>
      <c r="H199" s="87" t="s">
        <v>431</v>
      </c>
      <c r="I199" s="87">
        <v>71</v>
      </c>
    </row>
    <row r="200" spans="1:9" ht="15" customHeight="1" x14ac:dyDescent="0.25">
      <c r="A200" s="87" t="s">
        <v>70</v>
      </c>
      <c r="B200" s="87" t="s">
        <v>243</v>
      </c>
      <c r="C200" s="87">
        <v>1981</v>
      </c>
      <c r="D200" s="87" t="s">
        <v>18</v>
      </c>
      <c r="E200" s="116">
        <v>-1</v>
      </c>
      <c r="F200" s="87" t="s">
        <v>431</v>
      </c>
      <c r="G200" s="87" t="s">
        <v>967</v>
      </c>
      <c r="H200" s="87" t="s">
        <v>431</v>
      </c>
      <c r="I200" s="87">
        <v>71</v>
      </c>
    </row>
    <row r="201" spans="1:9" ht="15" customHeight="1" x14ac:dyDescent="0.25">
      <c r="A201" s="87" t="s">
        <v>70</v>
      </c>
      <c r="B201" s="87" t="s">
        <v>243</v>
      </c>
      <c r="C201" s="87">
        <v>1982</v>
      </c>
      <c r="D201" s="87" t="s">
        <v>18</v>
      </c>
      <c r="E201" s="116">
        <v>-1</v>
      </c>
      <c r="F201" s="87" t="s">
        <v>431</v>
      </c>
      <c r="G201" s="87" t="s">
        <v>967</v>
      </c>
      <c r="H201" s="87" t="s">
        <v>431</v>
      </c>
      <c r="I201" s="87">
        <v>71</v>
      </c>
    </row>
    <row r="202" spans="1:9" ht="15" customHeight="1" x14ac:dyDescent="0.25">
      <c r="A202" s="87" t="s">
        <v>70</v>
      </c>
      <c r="B202" s="87" t="s">
        <v>243</v>
      </c>
      <c r="C202" s="87">
        <v>1983</v>
      </c>
      <c r="D202" s="87" t="s">
        <v>18</v>
      </c>
      <c r="E202" s="116">
        <v>-1</v>
      </c>
      <c r="F202" s="87" t="s">
        <v>431</v>
      </c>
      <c r="G202" s="87" t="s">
        <v>967</v>
      </c>
      <c r="H202" s="87" t="s">
        <v>431</v>
      </c>
      <c r="I202" s="87">
        <v>71</v>
      </c>
    </row>
    <row r="203" spans="1:9" ht="15" customHeight="1" x14ac:dyDescent="0.25">
      <c r="A203" s="87" t="s">
        <v>70</v>
      </c>
      <c r="B203" s="87" t="s">
        <v>243</v>
      </c>
      <c r="C203" s="87">
        <v>1984</v>
      </c>
      <c r="D203" s="87" t="s">
        <v>18</v>
      </c>
      <c r="E203" s="116">
        <v>-1</v>
      </c>
      <c r="F203" s="87" t="s">
        <v>431</v>
      </c>
      <c r="G203" s="87" t="s">
        <v>967</v>
      </c>
      <c r="H203" s="87" t="s">
        <v>431</v>
      </c>
      <c r="I203" s="87">
        <v>71</v>
      </c>
    </row>
    <row r="204" spans="1:9" ht="15" customHeight="1" x14ac:dyDescent="0.25">
      <c r="A204" s="87" t="s">
        <v>70</v>
      </c>
      <c r="B204" s="87" t="s">
        <v>243</v>
      </c>
      <c r="C204" s="87">
        <v>1985</v>
      </c>
      <c r="D204" s="87" t="s">
        <v>18</v>
      </c>
      <c r="E204" s="116">
        <v>-1</v>
      </c>
      <c r="F204" s="87" t="s">
        <v>431</v>
      </c>
      <c r="G204" s="87" t="s">
        <v>967</v>
      </c>
      <c r="H204" s="87" t="s">
        <v>431</v>
      </c>
      <c r="I204" s="87">
        <v>71</v>
      </c>
    </row>
    <row r="205" spans="1:9" ht="15" customHeight="1" x14ac:dyDescent="0.25">
      <c r="A205" s="87" t="s">
        <v>70</v>
      </c>
      <c r="B205" s="87" t="s">
        <v>243</v>
      </c>
      <c r="C205" s="87">
        <v>1986</v>
      </c>
      <c r="D205" s="87" t="s">
        <v>18</v>
      </c>
      <c r="E205" s="116">
        <v>-1</v>
      </c>
      <c r="F205" s="87" t="s">
        <v>562</v>
      </c>
      <c r="G205" s="87" t="s">
        <v>332</v>
      </c>
      <c r="H205" s="87" t="s">
        <v>562</v>
      </c>
      <c r="I205" s="87">
        <v>71</v>
      </c>
    </row>
    <row r="206" spans="1:9" ht="15" customHeight="1" x14ac:dyDescent="0.25">
      <c r="A206" s="87" t="s">
        <v>70</v>
      </c>
      <c r="B206" s="87" t="s">
        <v>243</v>
      </c>
      <c r="C206" s="87">
        <v>1987</v>
      </c>
      <c r="D206" s="87" t="s">
        <v>18</v>
      </c>
      <c r="E206" s="116">
        <v>-1</v>
      </c>
      <c r="F206" s="87" t="s">
        <v>562</v>
      </c>
      <c r="G206" s="87" t="s">
        <v>332</v>
      </c>
      <c r="H206" s="87" t="s">
        <v>562</v>
      </c>
      <c r="I206" s="87">
        <v>71</v>
      </c>
    </row>
    <row r="207" spans="1:9" ht="15" customHeight="1" x14ac:dyDescent="0.25">
      <c r="A207" s="87" t="s">
        <v>70</v>
      </c>
      <c r="B207" s="87" t="s">
        <v>243</v>
      </c>
      <c r="C207" s="87">
        <v>1988</v>
      </c>
      <c r="D207" s="87" t="s">
        <v>18</v>
      </c>
      <c r="E207" s="116">
        <v>-1</v>
      </c>
      <c r="F207" s="87" t="s">
        <v>562</v>
      </c>
      <c r="G207" s="87" t="s">
        <v>332</v>
      </c>
      <c r="H207" s="87" t="s">
        <v>562</v>
      </c>
      <c r="I207" s="87">
        <v>71</v>
      </c>
    </row>
    <row r="208" spans="1:9" ht="15" customHeight="1" x14ac:dyDescent="0.25">
      <c r="A208" s="87" t="s">
        <v>70</v>
      </c>
      <c r="B208" s="87" t="s">
        <v>243</v>
      </c>
      <c r="C208" s="87">
        <v>1989</v>
      </c>
      <c r="D208" s="87" t="s">
        <v>18</v>
      </c>
      <c r="E208" s="116">
        <v>-1</v>
      </c>
      <c r="F208" s="87" t="s">
        <v>562</v>
      </c>
      <c r="G208" s="87" t="s">
        <v>332</v>
      </c>
      <c r="H208" s="87" t="s">
        <v>562</v>
      </c>
      <c r="I208" s="87">
        <v>71</v>
      </c>
    </row>
    <row r="209" spans="1:9" ht="15" customHeight="1" x14ac:dyDescent="0.25">
      <c r="A209" s="87" t="s">
        <v>70</v>
      </c>
      <c r="B209" s="87" t="s">
        <v>243</v>
      </c>
      <c r="C209" s="87">
        <v>1990</v>
      </c>
      <c r="D209" s="87" t="s">
        <v>18</v>
      </c>
      <c r="E209" s="116">
        <v>859</v>
      </c>
      <c r="F209" s="87" t="s">
        <v>562</v>
      </c>
      <c r="G209" s="87" t="s">
        <v>332</v>
      </c>
      <c r="H209" s="87" t="s">
        <v>562</v>
      </c>
      <c r="I209" s="87">
        <v>71</v>
      </c>
    </row>
    <row r="210" spans="1:9" ht="15" customHeight="1" x14ac:dyDescent="0.25">
      <c r="A210" s="87" t="s">
        <v>70</v>
      </c>
      <c r="B210" s="87" t="s">
        <v>243</v>
      </c>
      <c r="C210" s="87">
        <v>1991</v>
      </c>
      <c r="D210" s="87" t="s">
        <v>18</v>
      </c>
      <c r="E210" s="116">
        <v>23</v>
      </c>
      <c r="F210" s="87" t="s">
        <v>562</v>
      </c>
      <c r="G210" s="87" t="s">
        <v>332</v>
      </c>
      <c r="H210" s="87" t="s">
        <v>562</v>
      </c>
      <c r="I210" s="87">
        <v>71</v>
      </c>
    </row>
    <row r="211" spans="1:9" ht="15" customHeight="1" x14ac:dyDescent="0.25">
      <c r="A211" s="87" t="s">
        <v>70</v>
      </c>
      <c r="B211" s="87" t="s">
        <v>243</v>
      </c>
      <c r="C211" s="87">
        <v>1992</v>
      </c>
      <c r="D211" s="87" t="s">
        <v>18</v>
      </c>
      <c r="E211" s="116">
        <v>-1</v>
      </c>
      <c r="F211" s="87" t="s">
        <v>562</v>
      </c>
      <c r="G211" s="87" t="s">
        <v>332</v>
      </c>
      <c r="H211" s="87" t="s">
        <v>562</v>
      </c>
      <c r="I211" s="87">
        <v>71</v>
      </c>
    </row>
    <row r="212" spans="1:9" ht="15" customHeight="1" x14ac:dyDescent="0.25">
      <c r="A212" s="87" t="s">
        <v>70</v>
      </c>
      <c r="B212" s="87" t="s">
        <v>243</v>
      </c>
      <c r="C212" s="87">
        <v>1993</v>
      </c>
      <c r="D212" s="87" t="s">
        <v>18</v>
      </c>
      <c r="E212" s="116">
        <v>-1</v>
      </c>
      <c r="F212" s="87" t="s">
        <v>562</v>
      </c>
      <c r="G212" s="87" t="s">
        <v>332</v>
      </c>
      <c r="H212" s="87" t="s">
        <v>562</v>
      </c>
      <c r="I212" s="87">
        <v>71</v>
      </c>
    </row>
    <row r="213" spans="1:9" ht="15" customHeight="1" x14ac:dyDescent="0.25">
      <c r="A213" s="87" t="s">
        <v>70</v>
      </c>
      <c r="B213" s="87" t="s">
        <v>243</v>
      </c>
      <c r="C213" s="87">
        <v>1994</v>
      </c>
      <c r="D213" s="87" t="s">
        <v>18</v>
      </c>
      <c r="E213" s="116">
        <v>223</v>
      </c>
      <c r="F213" s="87" t="s">
        <v>562</v>
      </c>
      <c r="G213" s="87" t="s">
        <v>332</v>
      </c>
      <c r="H213" s="87" t="s">
        <v>562</v>
      </c>
      <c r="I213" s="87">
        <v>71</v>
      </c>
    </row>
    <row r="214" spans="1:9" ht="15" customHeight="1" x14ac:dyDescent="0.25">
      <c r="A214" s="87" t="s">
        <v>70</v>
      </c>
      <c r="B214" s="87" t="s">
        <v>243</v>
      </c>
      <c r="C214" s="87">
        <v>1995</v>
      </c>
      <c r="D214" s="87" t="s">
        <v>18</v>
      </c>
      <c r="E214" s="116">
        <v>-1</v>
      </c>
      <c r="F214" s="87" t="s">
        <v>562</v>
      </c>
      <c r="G214" s="87" t="s">
        <v>332</v>
      </c>
      <c r="H214" s="87" t="s">
        <v>562</v>
      </c>
      <c r="I214" s="87">
        <v>71</v>
      </c>
    </row>
    <row r="215" spans="1:9" ht="15" customHeight="1" x14ac:dyDescent="0.25">
      <c r="A215" s="87" t="s">
        <v>70</v>
      </c>
      <c r="B215" s="87" t="s">
        <v>243</v>
      </c>
      <c r="C215" s="87">
        <v>1996</v>
      </c>
      <c r="D215" s="87" t="s">
        <v>18</v>
      </c>
      <c r="E215" s="116">
        <v>-1</v>
      </c>
      <c r="F215" s="87" t="s">
        <v>562</v>
      </c>
      <c r="G215" s="87" t="s">
        <v>332</v>
      </c>
      <c r="H215" s="87" t="s">
        <v>562</v>
      </c>
      <c r="I215" s="87">
        <v>71</v>
      </c>
    </row>
    <row r="216" spans="1:9" ht="15" customHeight="1" x14ac:dyDescent="0.25">
      <c r="A216" s="87" t="s">
        <v>70</v>
      </c>
      <c r="B216" s="87" t="s">
        <v>243</v>
      </c>
      <c r="C216" s="87">
        <v>1997</v>
      </c>
      <c r="D216" s="87" t="s">
        <v>18</v>
      </c>
      <c r="E216" s="116">
        <v>-1</v>
      </c>
      <c r="F216" s="87" t="s">
        <v>562</v>
      </c>
      <c r="G216" s="87" t="s">
        <v>332</v>
      </c>
      <c r="H216" s="87" t="s">
        <v>562</v>
      </c>
      <c r="I216" s="87">
        <v>71</v>
      </c>
    </row>
    <row r="217" spans="1:9" ht="15" customHeight="1" x14ac:dyDescent="0.25">
      <c r="A217" s="87" t="s">
        <v>70</v>
      </c>
      <c r="B217" s="87" t="s">
        <v>243</v>
      </c>
      <c r="C217" s="87">
        <v>1998</v>
      </c>
      <c r="D217" s="87" t="s">
        <v>18</v>
      </c>
      <c r="E217" s="116">
        <v>278</v>
      </c>
      <c r="F217" s="87" t="s">
        <v>562</v>
      </c>
      <c r="G217" s="87" t="s">
        <v>332</v>
      </c>
      <c r="H217" s="87" t="s">
        <v>562</v>
      </c>
      <c r="I217" s="87">
        <v>71</v>
      </c>
    </row>
    <row r="218" spans="1:9" ht="15" customHeight="1" x14ac:dyDescent="0.25">
      <c r="A218" s="87" t="s">
        <v>70</v>
      </c>
      <c r="B218" s="87" t="s">
        <v>243</v>
      </c>
      <c r="C218" s="87">
        <v>1999</v>
      </c>
      <c r="D218" s="87" t="s">
        <v>18</v>
      </c>
      <c r="E218" s="116">
        <v>-1</v>
      </c>
      <c r="F218" s="87" t="s">
        <v>562</v>
      </c>
      <c r="G218" s="87" t="s">
        <v>332</v>
      </c>
      <c r="H218" s="87" t="s">
        <v>562</v>
      </c>
      <c r="I218" s="87">
        <v>71</v>
      </c>
    </row>
    <row r="219" spans="1:9" ht="15" customHeight="1" x14ac:dyDescent="0.25">
      <c r="A219" s="87" t="s">
        <v>70</v>
      </c>
      <c r="B219" s="87" t="s">
        <v>243</v>
      </c>
      <c r="C219" s="87">
        <v>2000</v>
      </c>
      <c r="D219" s="87" t="s">
        <v>18</v>
      </c>
      <c r="E219" s="116">
        <v>-1</v>
      </c>
      <c r="F219" s="87" t="s">
        <v>562</v>
      </c>
      <c r="G219" s="87" t="s">
        <v>332</v>
      </c>
      <c r="H219" s="87" t="s">
        <v>562</v>
      </c>
      <c r="I219" s="87">
        <v>71</v>
      </c>
    </row>
    <row r="220" spans="1:9" ht="15" customHeight="1" x14ac:dyDescent="0.25">
      <c r="A220" s="87" t="s">
        <v>70</v>
      </c>
      <c r="B220" s="87" t="s">
        <v>243</v>
      </c>
      <c r="C220" s="87">
        <v>2001</v>
      </c>
      <c r="D220" s="87" t="s">
        <v>18</v>
      </c>
      <c r="E220" s="116">
        <v>-1</v>
      </c>
      <c r="F220" s="87" t="s">
        <v>562</v>
      </c>
      <c r="G220" s="87" t="s">
        <v>332</v>
      </c>
      <c r="H220" s="87" t="s">
        <v>562</v>
      </c>
      <c r="I220" s="87">
        <v>71</v>
      </c>
    </row>
    <row r="221" spans="1:9" ht="15" customHeight="1" x14ac:dyDescent="0.25">
      <c r="A221" s="87" t="s">
        <v>70</v>
      </c>
      <c r="B221" s="87" t="s">
        <v>243</v>
      </c>
      <c r="C221" s="87">
        <v>2002</v>
      </c>
      <c r="D221" s="87" t="s">
        <v>18</v>
      </c>
      <c r="E221" s="116">
        <v>80</v>
      </c>
      <c r="F221" s="87" t="s">
        <v>562</v>
      </c>
      <c r="G221" s="87" t="s">
        <v>332</v>
      </c>
      <c r="H221" s="87" t="s">
        <v>562</v>
      </c>
      <c r="I221" s="87">
        <v>71</v>
      </c>
    </row>
    <row r="222" spans="1:9" ht="15" customHeight="1" x14ac:dyDescent="0.25">
      <c r="A222" s="87" t="s">
        <v>70</v>
      </c>
      <c r="B222" s="87" t="s">
        <v>243</v>
      </c>
      <c r="C222" s="87">
        <v>2003</v>
      </c>
      <c r="D222" s="87" t="s">
        <v>18</v>
      </c>
      <c r="E222" s="116">
        <v>1000</v>
      </c>
      <c r="F222" s="87" t="s">
        <v>562</v>
      </c>
      <c r="G222" s="87" t="s">
        <v>332</v>
      </c>
      <c r="H222" s="87" t="s">
        <v>562</v>
      </c>
      <c r="I222" s="87">
        <v>71</v>
      </c>
    </row>
    <row r="223" spans="1:9" ht="15" customHeight="1" x14ac:dyDescent="0.25">
      <c r="A223" s="87" t="s">
        <v>70</v>
      </c>
      <c r="B223" s="87" t="s">
        <v>243</v>
      </c>
      <c r="C223" s="87">
        <v>2004</v>
      </c>
      <c r="D223" s="87" t="s">
        <v>18</v>
      </c>
      <c r="E223" s="116">
        <v>150</v>
      </c>
      <c r="F223" s="87" t="s">
        <v>562</v>
      </c>
      <c r="G223" s="87" t="s">
        <v>332</v>
      </c>
      <c r="H223" s="87" t="s">
        <v>562</v>
      </c>
      <c r="I223" s="87">
        <v>71</v>
      </c>
    </row>
    <row r="224" spans="1:9" ht="15" customHeight="1" x14ac:dyDescent="0.25">
      <c r="A224" s="87" t="s">
        <v>70</v>
      </c>
      <c r="B224" s="87" t="s">
        <v>243</v>
      </c>
      <c r="C224" s="87">
        <v>2005</v>
      </c>
      <c r="D224" s="87" t="s">
        <v>18</v>
      </c>
      <c r="E224" s="116">
        <v>200</v>
      </c>
      <c r="F224" s="87" t="s">
        <v>562</v>
      </c>
      <c r="G224" s="87" t="s">
        <v>332</v>
      </c>
      <c r="H224" s="87" t="s">
        <v>562</v>
      </c>
      <c r="I224" s="87">
        <v>71</v>
      </c>
    </row>
    <row r="225" spans="1:9" ht="15" customHeight="1" x14ac:dyDescent="0.25">
      <c r="A225" s="87" t="s">
        <v>70</v>
      </c>
      <c r="B225" s="87" t="s">
        <v>243</v>
      </c>
      <c r="C225" s="87">
        <v>2006</v>
      </c>
      <c r="D225" s="87" t="s">
        <v>18</v>
      </c>
      <c r="E225" s="116">
        <v>-1</v>
      </c>
      <c r="F225" s="87" t="s">
        <v>562</v>
      </c>
      <c r="G225" s="87" t="s">
        <v>332</v>
      </c>
      <c r="H225" s="87" t="s">
        <v>562</v>
      </c>
      <c r="I225" s="87">
        <v>71</v>
      </c>
    </row>
    <row r="226" spans="1:9" ht="15" customHeight="1" x14ac:dyDescent="0.25">
      <c r="A226" s="87" t="s">
        <v>70</v>
      </c>
      <c r="B226" s="87" t="s">
        <v>243</v>
      </c>
      <c r="C226" s="87">
        <v>2007</v>
      </c>
      <c r="D226" s="87" t="s">
        <v>18</v>
      </c>
      <c r="E226" s="116">
        <v>-1</v>
      </c>
      <c r="F226" s="87" t="s">
        <v>562</v>
      </c>
      <c r="G226" s="87" t="s">
        <v>332</v>
      </c>
      <c r="H226" s="87" t="s">
        <v>562</v>
      </c>
      <c r="I226" s="87">
        <v>71</v>
      </c>
    </row>
    <row r="227" spans="1:9" ht="15" customHeight="1" x14ac:dyDescent="0.25">
      <c r="A227" s="87" t="s">
        <v>70</v>
      </c>
      <c r="B227" s="87" t="s">
        <v>243</v>
      </c>
      <c r="C227" s="87">
        <v>2008</v>
      </c>
      <c r="D227" s="87" t="s">
        <v>18</v>
      </c>
      <c r="E227" s="116">
        <v>197</v>
      </c>
      <c r="F227" s="87" t="s">
        <v>562</v>
      </c>
      <c r="G227" s="87" t="s">
        <v>332</v>
      </c>
      <c r="H227" s="87" t="s">
        <v>562</v>
      </c>
      <c r="I227" s="87">
        <v>71</v>
      </c>
    </row>
    <row r="228" spans="1:9" ht="15" customHeight="1" x14ac:dyDescent="0.25">
      <c r="A228" s="87" t="s">
        <v>70</v>
      </c>
      <c r="B228" s="87" t="s">
        <v>243</v>
      </c>
      <c r="C228" s="87">
        <v>2009</v>
      </c>
      <c r="D228" s="87" t="s">
        <v>18</v>
      </c>
      <c r="E228" s="116">
        <v>603</v>
      </c>
      <c r="F228" s="87" t="s">
        <v>562</v>
      </c>
      <c r="G228" s="87" t="s">
        <v>332</v>
      </c>
      <c r="H228" s="87" t="s">
        <v>562</v>
      </c>
      <c r="I228" s="87">
        <v>71</v>
      </c>
    </row>
    <row r="229" spans="1:9" ht="15" customHeight="1" x14ac:dyDescent="0.25">
      <c r="A229" s="87" t="s">
        <v>70</v>
      </c>
      <c r="B229" s="87" t="s">
        <v>243</v>
      </c>
      <c r="C229" s="87">
        <v>2010</v>
      </c>
      <c r="D229" s="87" t="s">
        <v>18</v>
      </c>
      <c r="E229" s="116">
        <v>-1</v>
      </c>
      <c r="F229" s="87" t="s">
        <v>562</v>
      </c>
      <c r="G229" s="87" t="s">
        <v>332</v>
      </c>
      <c r="H229" s="87" t="s">
        <v>562</v>
      </c>
      <c r="I229" s="87">
        <v>71</v>
      </c>
    </row>
    <row r="230" spans="1:9" ht="15" customHeight="1" x14ac:dyDescent="0.25">
      <c r="A230" s="87" t="s">
        <v>70</v>
      </c>
      <c r="B230" s="87" t="s">
        <v>243</v>
      </c>
      <c r="C230" s="87">
        <v>2011</v>
      </c>
      <c r="D230" s="87" t="s">
        <v>18</v>
      </c>
      <c r="E230" s="116">
        <v>-1</v>
      </c>
      <c r="F230" s="87" t="s">
        <v>562</v>
      </c>
      <c r="G230" s="87" t="s">
        <v>332</v>
      </c>
      <c r="H230" s="87" t="s">
        <v>562</v>
      </c>
      <c r="I230" s="87">
        <v>71</v>
      </c>
    </row>
    <row r="231" spans="1:9" ht="15" customHeight="1" x14ac:dyDescent="0.25">
      <c r="A231" s="87" t="s">
        <v>70</v>
      </c>
      <c r="B231" s="87" t="s">
        <v>243</v>
      </c>
      <c r="C231" s="87">
        <v>2012</v>
      </c>
      <c r="D231" s="87" t="s">
        <v>18</v>
      </c>
      <c r="E231" s="116">
        <v>200</v>
      </c>
      <c r="F231" s="87" t="s">
        <v>562</v>
      </c>
      <c r="G231" s="87" t="s">
        <v>332</v>
      </c>
      <c r="H231" s="87" t="s">
        <v>562</v>
      </c>
      <c r="I231" s="87">
        <v>71</v>
      </c>
    </row>
    <row r="232" spans="1:9" ht="15" customHeight="1" x14ac:dyDescent="0.25">
      <c r="A232" s="87" t="s">
        <v>70</v>
      </c>
      <c r="B232" s="87" t="s">
        <v>243</v>
      </c>
      <c r="C232" s="87">
        <v>2013</v>
      </c>
      <c r="D232" s="87" t="s">
        <v>18</v>
      </c>
      <c r="E232" s="116">
        <v>1183</v>
      </c>
      <c r="F232" s="87" t="s">
        <v>562</v>
      </c>
      <c r="G232" s="87" t="s">
        <v>332</v>
      </c>
      <c r="H232" s="87" t="s">
        <v>562</v>
      </c>
      <c r="I232" s="87">
        <v>71</v>
      </c>
    </row>
    <row r="233" spans="1:9" ht="15" customHeight="1" x14ac:dyDescent="0.25">
      <c r="A233" s="87" t="s">
        <v>70</v>
      </c>
      <c r="B233" s="87" t="s">
        <v>243</v>
      </c>
      <c r="C233" s="87">
        <v>2014</v>
      </c>
      <c r="D233" s="87" t="s">
        <v>18</v>
      </c>
      <c r="E233" s="116">
        <v>300</v>
      </c>
      <c r="F233" s="87" t="s">
        <v>562</v>
      </c>
      <c r="G233" s="87" t="s">
        <v>332</v>
      </c>
      <c r="H233" s="87" t="s">
        <v>562</v>
      </c>
      <c r="I233" s="87">
        <v>71</v>
      </c>
    </row>
    <row r="234" spans="1:9" ht="15" customHeight="1" x14ac:dyDescent="0.25">
      <c r="A234" s="87" t="s">
        <v>70</v>
      </c>
      <c r="B234" s="87" t="s">
        <v>243</v>
      </c>
      <c r="C234" s="87">
        <v>2015</v>
      </c>
      <c r="D234" s="87" t="s">
        <v>18</v>
      </c>
      <c r="E234" s="116">
        <v>900</v>
      </c>
      <c r="F234" s="87" t="s">
        <v>562</v>
      </c>
      <c r="G234" s="87" t="s">
        <v>332</v>
      </c>
      <c r="H234" s="87" t="s">
        <v>562</v>
      </c>
      <c r="I234" s="87">
        <v>71</v>
      </c>
    </row>
    <row r="235" spans="1:9" ht="15" customHeight="1" x14ac:dyDescent="0.25">
      <c r="A235" s="87" t="s">
        <v>70</v>
      </c>
      <c r="B235" s="87" t="s">
        <v>243</v>
      </c>
      <c r="C235" s="87">
        <v>2016</v>
      </c>
      <c r="D235" s="87" t="s">
        <v>18</v>
      </c>
      <c r="E235" s="116">
        <v>900</v>
      </c>
      <c r="F235" s="87" t="s">
        <v>562</v>
      </c>
      <c r="G235" s="87" t="s">
        <v>332</v>
      </c>
      <c r="H235" s="87" t="s">
        <v>562</v>
      </c>
      <c r="I235" s="87">
        <v>71</v>
      </c>
    </row>
    <row r="236" spans="1:9" ht="15" customHeight="1" x14ac:dyDescent="0.25">
      <c r="A236" s="87" t="s">
        <v>70</v>
      </c>
      <c r="B236" s="87" t="s">
        <v>243</v>
      </c>
      <c r="C236" s="87">
        <v>2017</v>
      </c>
      <c r="D236" s="87" t="s">
        <v>18</v>
      </c>
      <c r="E236" s="116">
        <v>200</v>
      </c>
      <c r="F236" s="87" t="s">
        <v>562</v>
      </c>
      <c r="G236" s="87" t="s">
        <v>332</v>
      </c>
      <c r="H236" s="87" t="s">
        <v>562</v>
      </c>
      <c r="I236" s="87">
        <v>71</v>
      </c>
    </row>
    <row r="237" spans="1:9" ht="15" customHeight="1" x14ac:dyDescent="0.25">
      <c r="A237" s="87" t="s">
        <v>70</v>
      </c>
      <c r="B237" s="87" t="s">
        <v>243</v>
      </c>
      <c r="C237" s="87">
        <v>2018</v>
      </c>
      <c r="D237" s="87" t="s">
        <v>18</v>
      </c>
      <c r="E237" s="116">
        <v>400</v>
      </c>
      <c r="F237" s="87" t="s">
        <v>966</v>
      </c>
      <c r="G237" s="87" t="s">
        <v>332</v>
      </c>
      <c r="H237" s="87" t="s">
        <v>966</v>
      </c>
      <c r="I237" s="87">
        <v>71</v>
      </c>
    </row>
    <row r="238" spans="1:9" ht="15" customHeight="1" x14ac:dyDescent="0.25">
      <c r="A238" s="87" t="s">
        <v>70</v>
      </c>
      <c r="B238" s="87" t="s">
        <v>243</v>
      </c>
      <c r="C238" s="87">
        <v>2019</v>
      </c>
      <c r="D238" s="87" t="s">
        <v>18</v>
      </c>
      <c r="E238" s="116">
        <v>550</v>
      </c>
      <c r="F238" s="87" t="s">
        <v>967</v>
      </c>
      <c r="G238" s="87" t="s">
        <v>332</v>
      </c>
      <c r="H238" s="87" t="s">
        <v>967</v>
      </c>
      <c r="I238" s="87">
        <v>71</v>
      </c>
    </row>
    <row r="239" spans="1:9" ht="15" customHeight="1" x14ac:dyDescent="0.25">
      <c r="A239" s="87" t="s">
        <v>70</v>
      </c>
      <c r="B239" s="87" t="s">
        <v>243</v>
      </c>
      <c r="C239" s="87">
        <v>2020</v>
      </c>
      <c r="D239" s="87" t="s">
        <v>18</v>
      </c>
      <c r="E239" s="116">
        <v>2000</v>
      </c>
      <c r="F239" s="87" t="s">
        <v>967</v>
      </c>
      <c r="G239" s="87" t="s">
        <v>332</v>
      </c>
      <c r="H239" s="87" t="s">
        <v>967</v>
      </c>
      <c r="I239" s="87">
        <v>71</v>
      </c>
    </row>
    <row r="240" spans="1:9" ht="15" customHeight="1" x14ac:dyDescent="0.25">
      <c r="A240" s="87" t="s">
        <v>70</v>
      </c>
      <c r="B240" s="87" t="s">
        <v>243</v>
      </c>
      <c r="C240" s="87">
        <v>2021</v>
      </c>
      <c r="D240" s="87" t="s">
        <v>18</v>
      </c>
      <c r="E240" s="116">
        <v>2001</v>
      </c>
      <c r="F240" s="87" t="s">
        <v>967</v>
      </c>
      <c r="G240" s="87" t="s">
        <v>332</v>
      </c>
      <c r="H240" s="87" t="s">
        <v>967</v>
      </c>
      <c r="I240" s="87">
        <v>71</v>
      </c>
    </row>
    <row r="241" spans="1:9" ht="15" customHeight="1" x14ac:dyDescent="0.25">
      <c r="A241" s="87" t="s">
        <v>70</v>
      </c>
      <c r="B241" s="87" t="s">
        <v>243</v>
      </c>
      <c r="C241" s="87">
        <v>2022</v>
      </c>
      <c r="D241" s="87" t="s">
        <v>18</v>
      </c>
      <c r="E241" s="116">
        <v>3000</v>
      </c>
      <c r="F241" s="87" t="s">
        <v>967</v>
      </c>
      <c r="G241" s="87" t="s">
        <v>332</v>
      </c>
      <c r="H241" s="87" t="s">
        <v>967</v>
      </c>
      <c r="I241" s="87">
        <v>71</v>
      </c>
    </row>
    <row r="242" spans="1:9" ht="15" customHeight="1" x14ac:dyDescent="0.25">
      <c r="A242" s="87" t="s">
        <v>70</v>
      </c>
      <c r="B242" s="87" t="s">
        <v>279</v>
      </c>
      <c r="C242" s="87">
        <v>1975</v>
      </c>
      <c r="D242" s="87" t="s">
        <v>18</v>
      </c>
      <c r="E242" s="116">
        <v>25</v>
      </c>
      <c r="F242" s="87" t="s">
        <v>586</v>
      </c>
      <c r="G242" s="87" t="s">
        <v>967</v>
      </c>
      <c r="H242" s="87" t="s">
        <v>586</v>
      </c>
      <c r="I242" s="87">
        <v>72</v>
      </c>
    </row>
    <row r="243" spans="1:9" ht="15" customHeight="1" x14ac:dyDescent="0.25">
      <c r="A243" s="87" t="s">
        <v>70</v>
      </c>
      <c r="B243" s="87" t="s">
        <v>279</v>
      </c>
      <c r="C243" s="87">
        <v>1976</v>
      </c>
      <c r="D243" s="87" t="s">
        <v>18</v>
      </c>
      <c r="E243" s="116">
        <v>25</v>
      </c>
      <c r="F243" s="87" t="s">
        <v>586</v>
      </c>
      <c r="G243" s="87" t="s">
        <v>967</v>
      </c>
      <c r="H243" s="87" t="s">
        <v>586</v>
      </c>
      <c r="I243" s="87">
        <v>72</v>
      </c>
    </row>
    <row r="244" spans="1:9" ht="15" customHeight="1" x14ac:dyDescent="0.25">
      <c r="A244" s="87" t="s">
        <v>70</v>
      </c>
      <c r="B244" s="87" t="s">
        <v>279</v>
      </c>
      <c r="C244" s="87">
        <v>1977</v>
      </c>
      <c r="D244" s="87" t="s">
        <v>18</v>
      </c>
      <c r="E244" s="116">
        <v>25</v>
      </c>
      <c r="F244" s="87" t="s">
        <v>586</v>
      </c>
      <c r="G244" s="87" t="s">
        <v>967</v>
      </c>
      <c r="H244" s="87" t="s">
        <v>586</v>
      </c>
      <c r="I244" s="87">
        <v>72</v>
      </c>
    </row>
    <row r="245" spans="1:9" ht="15" customHeight="1" x14ac:dyDescent="0.25">
      <c r="A245" s="87" t="s">
        <v>70</v>
      </c>
      <c r="B245" s="87" t="s">
        <v>279</v>
      </c>
      <c r="C245" s="87">
        <v>1978</v>
      </c>
      <c r="D245" s="87" t="s">
        <v>18</v>
      </c>
      <c r="E245" s="116">
        <v>25</v>
      </c>
      <c r="F245" s="87" t="s">
        <v>586</v>
      </c>
      <c r="G245" s="87" t="s">
        <v>967</v>
      </c>
      <c r="H245" s="87" t="s">
        <v>586</v>
      </c>
      <c r="I245" s="87">
        <v>72</v>
      </c>
    </row>
    <row r="246" spans="1:9" ht="15" customHeight="1" x14ac:dyDescent="0.25">
      <c r="A246" s="87" t="s">
        <v>70</v>
      </c>
      <c r="B246" s="87" t="s">
        <v>279</v>
      </c>
      <c r="C246" s="87">
        <v>1979</v>
      </c>
      <c r="D246" s="87" t="s">
        <v>18</v>
      </c>
      <c r="E246" s="116">
        <v>-1</v>
      </c>
      <c r="F246" s="87" t="s">
        <v>586</v>
      </c>
      <c r="G246" s="87" t="s">
        <v>967</v>
      </c>
      <c r="H246" s="87" t="s">
        <v>586</v>
      </c>
      <c r="I246" s="87">
        <v>72</v>
      </c>
    </row>
    <row r="247" spans="1:9" ht="15" customHeight="1" x14ac:dyDescent="0.25">
      <c r="A247" s="87" t="s">
        <v>70</v>
      </c>
      <c r="B247" s="87" t="s">
        <v>279</v>
      </c>
      <c r="C247" s="87">
        <v>1980</v>
      </c>
      <c r="D247" s="87" t="s">
        <v>18</v>
      </c>
      <c r="E247" s="116">
        <v>-1</v>
      </c>
      <c r="F247" s="87" t="s">
        <v>586</v>
      </c>
      <c r="G247" s="87" t="s">
        <v>967</v>
      </c>
      <c r="H247" s="87" t="s">
        <v>586</v>
      </c>
      <c r="I247" s="87">
        <v>72</v>
      </c>
    </row>
    <row r="248" spans="1:9" ht="15" customHeight="1" x14ac:dyDescent="0.25">
      <c r="A248" s="87" t="s">
        <v>70</v>
      </c>
      <c r="B248" s="87" t="s">
        <v>279</v>
      </c>
      <c r="C248" s="87">
        <v>1981</v>
      </c>
      <c r="D248" s="87" t="s">
        <v>18</v>
      </c>
      <c r="E248" s="116">
        <v>-1</v>
      </c>
      <c r="F248" s="87" t="s">
        <v>586</v>
      </c>
      <c r="G248" s="87" t="s">
        <v>967</v>
      </c>
      <c r="H248" s="87" t="s">
        <v>586</v>
      </c>
      <c r="I248" s="87">
        <v>72</v>
      </c>
    </row>
    <row r="249" spans="1:9" ht="15" customHeight="1" x14ac:dyDescent="0.25">
      <c r="A249" s="87" t="s">
        <v>70</v>
      </c>
      <c r="B249" s="87" t="s">
        <v>279</v>
      </c>
      <c r="C249" s="87">
        <v>1982</v>
      </c>
      <c r="D249" s="87" t="s">
        <v>18</v>
      </c>
      <c r="E249" s="116">
        <v>25</v>
      </c>
      <c r="F249" s="87" t="s">
        <v>586</v>
      </c>
      <c r="G249" s="87" t="s">
        <v>967</v>
      </c>
      <c r="H249" s="87" t="s">
        <v>586</v>
      </c>
      <c r="I249" s="87">
        <v>72</v>
      </c>
    </row>
    <row r="250" spans="1:9" ht="15" customHeight="1" x14ac:dyDescent="0.25">
      <c r="A250" s="87" t="s">
        <v>70</v>
      </c>
      <c r="B250" s="87" t="s">
        <v>279</v>
      </c>
      <c r="C250" s="87">
        <v>1983</v>
      </c>
      <c r="D250" s="87" t="s">
        <v>18</v>
      </c>
      <c r="E250" s="116">
        <v>15</v>
      </c>
      <c r="F250" s="87" t="s">
        <v>586</v>
      </c>
      <c r="G250" s="87" t="s">
        <v>967</v>
      </c>
      <c r="H250" s="87" t="s">
        <v>586</v>
      </c>
      <c r="I250" s="87">
        <v>72</v>
      </c>
    </row>
    <row r="251" spans="1:9" ht="15" customHeight="1" x14ac:dyDescent="0.25">
      <c r="A251" s="87" t="s">
        <v>70</v>
      </c>
      <c r="B251" s="87" t="s">
        <v>279</v>
      </c>
      <c r="C251" s="87">
        <v>1984</v>
      </c>
      <c r="D251" s="87" t="s">
        <v>18</v>
      </c>
      <c r="E251" s="116">
        <v>-1</v>
      </c>
      <c r="F251" s="87" t="s">
        <v>586</v>
      </c>
      <c r="G251" s="87" t="s">
        <v>967</v>
      </c>
      <c r="H251" s="87" t="s">
        <v>586</v>
      </c>
      <c r="I251" s="87">
        <v>72</v>
      </c>
    </row>
    <row r="252" spans="1:9" ht="15" customHeight="1" x14ac:dyDescent="0.25">
      <c r="A252" s="87" t="s">
        <v>70</v>
      </c>
      <c r="B252" s="87" t="s">
        <v>279</v>
      </c>
      <c r="C252" s="87">
        <v>1985</v>
      </c>
      <c r="D252" s="87" t="s">
        <v>18</v>
      </c>
      <c r="E252" s="116">
        <v>-1</v>
      </c>
      <c r="F252" s="87" t="s">
        <v>586</v>
      </c>
      <c r="G252" s="87" t="s">
        <v>967</v>
      </c>
      <c r="H252" s="87" t="s">
        <v>586</v>
      </c>
      <c r="I252" s="87">
        <v>72</v>
      </c>
    </row>
    <row r="253" spans="1:9" ht="15" customHeight="1" x14ac:dyDescent="0.25">
      <c r="A253" s="87" t="s">
        <v>70</v>
      </c>
      <c r="B253" s="87" t="s">
        <v>279</v>
      </c>
      <c r="C253" s="87">
        <v>1986</v>
      </c>
      <c r="D253" s="87" t="s">
        <v>18</v>
      </c>
      <c r="E253" s="116">
        <v>-1</v>
      </c>
      <c r="F253" s="87" t="s">
        <v>586</v>
      </c>
      <c r="G253" s="87" t="s">
        <v>967</v>
      </c>
      <c r="H253" s="87" t="s">
        <v>586</v>
      </c>
      <c r="I253" s="87">
        <v>72</v>
      </c>
    </row>
    <row r="254" spans="1:9" ht="15" customHeight="1" x14ac:dyDescent="0.25">
      <c r="A254" s="87" t="s">
        <v>70</v>
      </c>
      <c r="B254" s="87" t="s">
        <v>279</v>
      </c>
      <c r="C254" s="87">
        <v>1987</v>
      </c>
      <c r="D254" s="87" t="s">
        <v>18</v>
      </c>
      <c r="E254" s="116">
        <v>0</v>
      </c>
      <c r="F254" s="87" t="s">
        <v>586</v>
      </c>
      <c r="G254" s="87" t="s">
        <v>967</v>
      </c>
      <c r="H254" s="87" t="s">
        <v>586</v>
      </c>
      <c r="I254" s="87">
        <v>72</v>
      </c>
    </row>
    <row r="255" spans="1:9" ht="15" customHeight="1" x14ac:dyDescent="0.25">
      <c r="A255" s="87" t="s">
        <v>70</v>
      </c>
      <c r="B255" s="87" t="s">
        <v>279</v>
      </c>
      <c r="C255" s="87">
        <v>1988</v>
      </c>
      <c r="D255" s="87" t="s">
        <v>18</v>
      </c>
      <c r="E255" s="116">
        <v>-1</v>
      </c>
      <c r="F255" s="87" t="s">
        <v>586</v>
      </c>
      <c r="G255" s="87" t="s">
        <v>967</v>
      </c>
      <c r="H255" s="87" t="s">
        <v>586</v>
      </c>
      <c r="I255" s="87">
        <v>72</v>
      </c>
    </row>
    <row r="256" spans="1:9" ht="15" customHeight="1" x14ac:dyDescent="0.25">
      <c r="A256" s="87" t="s">
        <v>70</v>
      </c>
      <c r="B256" s="87" t="s">
        <v>279</v>
      </c>
      <c r="C256" s="87">
        <v>1989</v>
      </c>
      <c r="D256" s="87" t="s">
        <v>18</v>
      </c>
      <c r="E256" s="116">
        <v>-1</v>
      </c>
      <c r="F256" s="87" t="s">
        <v>586</v>
      </c>
      <c r="G256" s="87" t="s">
        <v>967</v>
      </c>
      <c r="H256" s="87" t="s">
        <v>586</v>
      </c>
      <c r="I256" s="87">
        <v>72</v>
      </c>
    </row>
    <row r="257" spans="1:9" ht="15" customHeight="1" x14ac:dyDescent="0.25">
      <c r="A257" s="87" t="s">
        <v>70</v>
      </c>
      <c r="B257" s="87" t="s">
        <v>279</v>
      </c>
      <c r="C257" s="87">
        <v>1990</v>
      </c>
      <c r="D257" s="87" t="s">
        <v>18</v>
      </c>
      <c r="E257" s="116">
        <v>-1</v>
      </c>
      <c r="F257" s="87" t="s">
        <v>586</v>
      </c>
      <c r="G257" s="87" t="s">
        <v>967</v>
      </c>
      <c r="H257" s="87" t="s">
        <v>586</v>
      </c>
      <c r="I257" s="87">
        <v>72</v>
      </c>
    </row>
    <row r="258" spans="1:9" ht="15" customHeight="1" x14ac:dyDescent="0.25">
      <c r="A258" s="87" t="s">
        <v>70</v>
      </c>
      <c r="B258" s="87" t="s">
        <v>279</v>
      </c>
      <c r="C258" s="87">
        <v>1991</v>
      </c>
      <c r="D258" s="87" t="s">
        <v>18</v>
      </c>
      <c r="E258" s="116">
        <v>-1</v>
      </c>
      <c r="F258" s="87" t="s">
        <v>586</v>
      </c>
      <c r="G258" s="87" t="s">
        <v>967</v>
      </c>
      <c r="H258" s="87" t="s">
        <v>586</v>
      </c>
      <c r="I258" s="87">
        <v>72</v>
      </c>
    </row>
    <row r="259" spans="1:9" ht="15" customHeight="1" x14ac:dyDescent="0.25">
      <c r="A259" s="87" t="s">
        <v>70</v>
      </c>
      <c r="B259" s="87" t="s">
        <v>279</v>
      </c>
      <c r="C259" s="87">
        <v>1992</v>
      </c>
      <c r="D259" s="87" t="s">
        <v>18</v>
      </c>
      <c r="E259" s="116">
        <v>-1</v>
      </c>
      <c r="F259" s="87" t="s">
        <v>586</v>
      </c>
      <c r="G259" s="87" t="s">
        <v>967</v>
      </c>
      <c r="H259" s="87" t="s">
        <v>586</v>
      </c>
      <c r="I259" s="87">
        <v>72</v>
      </c>
    </row>
    <row r="260" spans="1:9" ht="15" customHeight="1" x14ac:dyDescent="0.25">
      <c r="A260" s="87" t="s">
        <v>70</v>
      </c>
      <c r="B260" s="87" t="s">
        <v>279</v>
      </c>
      <c r="C260" s="87">
        <v>1993</v>
      </c>
      <c r="D260" s="87" t="s">
        <v>18</v>
      </c>
      <c r="E260" s="116">
        <v>-1</v>
      </c>
      <c r="F260" s="87" t="s">
        <v>586</v>
      </c>
      <c r="G260" s="87" t="s">
        <v>967</v>
      </c>
      <c r="H260" s="87" t="s">
        <v>586</v>
      </c>
      <c r="I260" s="87">
        <v>72</v>
      </c>
    </row>
    <row r="261" spans="1:9" ht="15" customHeight="1" x14ac:dyDescent="0.25">
      <c r="A261" s="87" t="s">
        <v>70</v>
      </c>
      <c r="B261" s="87" t="s">
        <v>279</v>
      </c>
      <c r="C261" s="87">
        <v>1994</v>
      </c>
      <c r="D261" s="87" t="s">
        <v>18</v>
      </c>
      <c r="E261" s="116">
        <v>-1</v>
      </c>
      <c r="F261" s="87" t="s">
        <v>586</v>
      </c>
      <c r="G261" s="87" t="s">
        <v>967</v>
      </c>
      <c r="H261" s="87" t="s">
        <v>586</v>
      </c>
      <c r="I261" s="87">
        <v>72</v>
      </c>
    </row>
    <row r="262" spans="1:9" ht="15" customHeight="1" x14ac:dyDescent="0.25">
      <c r="A262" s="87" t="s">
        <v>70</v>
      </c>
      <c r="B262" s="87" t="s">
        <v>279</v>
      </c>
      <c r="C262" s="87">
        <v>1995</v>
      </c>
      <c r="D262" s="87" t="s">
        <v>18</v>
      </c>
      <c r="E262" s="116">
        <v>-1</v>
      </c>
      <c r="F262" s="87" t="s">
        <v>586</v>
      </c>
      <c r="G262" s="87" t="s">
        <v>967</v>
      </c>
      <c r="H262" s="87" t="s">
        <v>586</v>
      </c>
      <c r="I262" s="87">
        <v>72</v>
      </c>
    </row>
    <row r="263" spans="1:9" ht="15" customHeight="1" x14ac:dyDescent="0.25">
      <c r="A263" s="87" t="s">
        <v>70</v>
      </c>
      <c r="B263" s="87" t="s">
        <v>279</v>
      </c>
      <c r="C263" s="87">
        <v>1996</v>
      </c>
      <c r="D263" s="87" t="s">
        <v>18</v>
      </c>
      <c r="E263" s="116">
        <v>-1</v>
      </c>
      <c r="F263" s="87" t="s">
        <v>586</v>
      </c>
      <c r="G263" s="87" t="s">
        <v>967</v>
      </c>
      <c r="H263" s="87" t="s">
        <v>586</v>
      </c>
      <c r="I263" s="87">
        <v>72</v>
      </c>
    </row>
    <row r="264" spans="1:9" ht="15" customHeight="1" x14ac:dyDescent="0.25">
      <c r="A264" s="87" t="s">
        <v>70</v>
      </c>
      <c r="B264" s="87" t="s">
        <v>279</v>
      </c>
      <c r="C264" s="87">
        <v>1997</v>
      </c>
      <c r="D264" s="87" t="s">
        <v>18</v>
      </c>
      <c r="E264" s="116">
        <v>-1</v>
      </c>
      <c r="F264" s="87" t="s">
        <v>586</v>
      </c>
      <c r="G264" s="87" t="s">
        <v>967</v>
      </c>
      <c r="H264" s="87" t="s">
        <v>586</v>
      </c>
      <c r="I264" s="87">
        <v>72</v>
      </c>
    </row>
    <row r="265" spans="1:9" ht="15" customHeight="1" x14ac:dyDescent="0.25">
      <c r="A265" s="87" t="s">
        <v>70</v>
      </c>
      <c r="B265" s="87" t="s">
        <v>279</v>
      </c>
      <c r="C265" s="87">
        <v>1998</v>
      </c>
      <c r="D265" s="87" t="s">
        <v>18</v>
      </c>
      <c r="E265" s="116">
        <v>-1</v>
      </c>
      <c r="F265" s="87" t="s">
        <v>586</v>
      </c>
      <c r="G265" s="87" t="s">
        <v>967</v>
      </c>
      <c r="H265" s="87" t="s">
        <v>586</v>
      </c>
      <c r="I265" s="87">
        <v>72</v>
      </c>
    </row>
    <row r="266" spans="1:9" ht="15" customHeight="1" x14ac:dyDescent="0.25">
      <c r="A266" s="87" t="s">
        <v>70</v>
      </c>
      <c r="B266" s="87" t="s">
        <v>279</v>
      </c>
      <c r="C266" s="87">
        <v>1999</v>
      </c>
      <c r="D266" s="87" t="s">
        <v>18</v>
      </c>
      <c r="E266" s="116">
        <v>-1</v>
      </c>
      <c r="F266" s="87" t="s">
        <v>586</v>
      </c>
      <c r="G266" s="87" t="s">
        <v>967</v>
      </c>
      <c r="H266" s="87" t="s">
        <v>586</v>
      </c>
      <c r="I266" s="87">
        <v>72</v>
      </c>
    </row>
    <row r="267" spans="1:9" ht="15" customHeight="1" x14ac:dyDescent="0.25">
      <c r="A267" s="87" t="s">
        <v>70</v>
      </c>
      <c r="B267" s="87" t="s">
        <v>279</v>
      </c>
      <c r="C267" s="87">
        <v>2000</v>
      </c>
      <c r="D267" s="87" t="s">
        <v>18</v>
      </c>
      <c r="E267" s="116">
        <v>-1</v>
      </c>
      <c r="F267" s="87" t="s">
        <v>586</v>
      </c>
      <c r="G267" s="87" t="s">
        <v>967</v>
      </c>
      <c r="H267" s="87" t="s">
        <v>586</v>
      </c>
      <c r="I267" s="87">
        <v>72</v>
      </c>
    </row>
    <row r="268" spans="1:9" ht="15" customHeight="1" x14ac:dyDescent="0.25">
      <c r="A268" s="87" t="s">
        <v>70</v>
      </c>
      <c r="B268" s="87" t="s">
        <v>279</v>
      </c>
      <c r="C268" s="87">
        <v>2001</v>
      </c>
      <c r="D268" s="87" t="s">
        <v>18</v>
      </c>
      <c r="E268" s="116">
        <v>-1</v>
      </c>
      <c r="F268" s="87" t="s">
        <v>586</v>
      </c>
      <c r="G268" s="87" t="s">
        <v>967</v>
      </c>
      <c r="H268" s="87" t="s">
        <v>586</v>
      </c>
      <c r="I268" s="87">
        <v>72</v>
      </c>
    </row>
    <row r="269" spans="1:9" ht="15" customHeight="1" x14ac:dyDescent="0.25">
      <c r="A269" s="87" t="s">
        <v>70</v>
      </c>
      <c r="B269" s="87" t="s">
        <v>279</v>
      </c>
      <c r="C269" s="87">
        <v>2002</v>
      </c>
      <c r="D269" s="87" t="s">
        <v>18</v>
      </c>
      <c r="E269" s="116">
        <v>46</v>
      </c>
      <c r="F269" s="87" t="s">
        <v>586</v>
      </c>
      <c r="G269" s="87" t="s">
        <v>332</v>
      </c>
      <c r="H269" s="87" t="s">
        <v>586</v>
      </c>
      <c r="I269" s="87">
        <v>72</v>
      </c>
    </row>
    <row r="270" spans="1:9" ht="15" customHeight="1" x14ac:dyDescent="0.25">
      <c r="A270" s="87" t="s">
        <v>70</v>
      </c>
      <c r="B270" s="87" t="s">
        <v>279</v>
      </c>
      <c r="C270" s="87">
        <v>2003</v>
      </c>
      <c r="D270" s="87" t="s">
        <v>18</v>
      </c>
      <c r="E270" s="116">
        <v>0</v>
      </c>
      <c r="F270" s="87" t="s">
        <v>586</v>
      </c>
      <c r="G270" s="87" t="s">
        <v>332</v>
      </c>
      <c r="H270" s="87" t="s">
        <v>586</v>
      </c>
      <c r="I270" s="87">
        <v>72</v>
      </c>
    </row>
    <row r="271" spans="1:9" ht="15" customHeight="1" x14ac:dyDescent="0.25">
      <c r="A271" s="87" t="s">
        <v>70</v>
      </c>
      <c r="B271" s="87" t="s">
        <v>279</v>
      </c>
      <c r="C271" s="87">
        <v>2004</v>
      </c>
      <c r="D271" s="87" t="s">
        <v>18</v>
      </c>
      <c r="E271" s="116">
        <v>7</v>
      </c>
      <c r="F271" s="87" t="s">
        <v>586</v>
      </c>
      <c r="G271" s="87" t="s">
        <v>332</v>
      </c>
      <c r="H271" s="87" t="s">
        <v>586</v>
      </c>
      <c r="I271" s="87">
        <v>72</v>
      </c>
    </row>
    <row r="272" spans="1:9" ht="15" customHeight="1" x14ac:dyDescent="0.25">
      <c r="A272" s="87" t="s">
        <v>70</v>
      </c>
      <c r="B272" s="87" t="s">
        <v>279</v>
      </c>
      <c r="C272" s="87">
        <v>2005</v>
      </c>
      <c r="D272" s="87" t="s">
        <v>18</v>
      </c>
      <c r="E272" s="116">
        <v>0</v>
      </c>
      <c r="F272" s="87" t="s">
        <v>586</v>
      </c>
      <c r="G272" s="87" t="s">
        <v>332</v>
      </c>
      <c r="H272" s="87" t="s">
        <v>586</v>
      </c>
      <c r="I272" s="87">
        <v>72</v>
      </c>
    </row>
    <row r="273" spans="1:9" ht="15" customHeight="1" x14ac:dyDescent="0.25">
      <c r="A273" s="87" t="s">
        <v>70</v>
      </c>
      <c r="B273" s="87" t="s">
        <v>279</v>
      </c>
      <c r="C273" s="87">
        <v>2006</v>
      </c>
      <c r="D273" s="87" t="s">
        <v>18</v>
      </c>
      <c r="E273" s="116">
        <v>0</v>
      </c>
      <c r="F273" s="87" t="s">
        <v>586</v>
      </c>
      <c r="G273" s="87" t="s">
        <v>332</v>
      </c>
      <c r="H273" s="87" t="s">
        <v>586</v>
      </c>
      <c r="I273" s="87">
        <v>72</v>
      </c>
    </row>
    <row r="274" spans="1:9" ht="15" customHeight="1" x14ac:dyDescent="0.25">
      <c r="A274" s="87" t="s">
        <v>70</v>
      </c>
      <c r="B274" s="87" t="s">
        <v>279</v>
      </c>
      <c r="C274" s="87">
        <v>2007</v>
      </c>
      <c r="D274" s="87" t="s">
        <v>18</v>
      </c>
      <c r="E274" s="116">
        <v>-1</v>
      </c>
      <c r="F274" s="87" t="s">
        <v>586</v>
      </c>
      <c r="G274" s="87" t="s">
        <v>967</v>
      </c>
      <c r="H274" s="87" t="s">
        <v>586</v>
      </c>
      <c r="I274" s="87">
        <v>72</v>
      </c>
    </row>
    <row r="275" spans="1:9" ht="15" customHeight="1" x14ac:dyDescent="0.25">
      <c r="A275" s="87" t="s">
        <v>70</v>
      </c>
      <c r="B275" s="87" t="s">
        <v>279</v>
      </c>
      <c r="C275" s="87">
        <v>2008</v>
      </c>
      <c r="D275" s="87" t="s">
        <v>18</v>
      </c>
      <c r="E275" s="116">
        <v>0</v>
      </c>
      <c r="F275" s="87" t="s">
        <v>586</v>
      </c>
      <c r="G275" s="87" t="s">
        <v>332</v>
      </c>
      <c r="H275" s="87" t="s">
        <v>586</v>
      </c>
      <c r="I275" s="87">
        <v>72</v>
      </c>
    </row>
    <row r="276" spans="1:9" ht="15" customHeight="1" x14ac:dyDescent="0.25">
      <c r="A276" s="87" t="s">
        <v>70</v>
      </c>
      <c r="B276" s="87" t="s">
        <v>279</v>
      </c>
      <c r="C276" s="87">
        <v>2009</v>
      </c>
      <c r="D276" s="87" t="s">
        <v>18</v>
      </c>
      <c r="E276" s="116">
        <v>-1</v>
      </c>
      <c r="F276" s="87" t="s">
        <v>586</v>
      </c>
      <c r="G276" s="87" t="s">
        <v>967</v>
      </c>
      <c r="H276" s="87" t="s">
        <v>586</v>
      </c>
      <c r="I276" s="87">
        <v>72</v>
      </c>
    </row>
    <row r="277" spans="1:9" ht="15" customHeight="1" x14ac:dyDescent="0.25">
      <c r="A277" s="87" t="s">
        <v>70</v>
      </c>
      <c r="B277" s="87" t="s">
        <v>279</v>
      </c>
      <c r="C277" s="87">
        <v>2010</v>
      </c>
      <c r="D277" s="87" t="s">
        <v>18</v>
      </c>
      <c r="E277" s="116">
        <v>-1</v>
      </c>
      <c r="F277" s="87" t="s">
        <v>586</v>
      </c>
      <c r="G277" s="87" t="s">
        <v>967</v>
      </c>
      <c r="H277" s="87" t="s">
        <v>586</v>
      </c>
      <c r="I277" s="87">
        <v>72</v>
      </c>
    </row>
    <row r="278" spans="1:9" ht="15" customHeight="1" x14ac:dyDescent="0.25">
      <c r="A278" s="87" t="s">
        <v>70</v>
      </c>
      <c r="B278" s="87" t="s">
        <v>279</v>
      </c>
      <c r="C278" s="87">
        <v>2011</v>
      </c>
      <c r="D278" s="87" t="s">
        <v>18</v>
      </c>
      <c r="E278" s="116">
        <v>-1</v>
      </c>
      <c r="F278" s="87" t="s">
        <v>586</v>
      </c>
      <c r="G278" s="87" t="s">
        <v>967</v>
      </c>
      <c r="H278" s="87" t="s">
        <v>586</v>
      </c>
      <c r="I278" s="87">
        <v>72</v>
      </c>
    </row>
    <row r="279" spans="1:9" ht="15" customHeight="1" x14ac:dyDescent="0.25">
      <c r="A279" s="87" t="s">
        <v>70</v>
      </c>
      <c r="B279" s="87" t="s">
        <v>279</v>
      </c>
      <c r="C279" s="87">
        <v>2012</v>
      </c>
      <c r="D279" s="87" t="s">
        <v>18</v>
      </c>
      <c r="E279" s="116">
        <v>-1</v>
      </c>
      <c r="F279" s="87" t="s">
        <v>586</v>
      </c>
      <c r="G279" s="87" t="s">
        <v>967</v>
      </c>
      <c r="H279" s="87" t="s">
        <v>586</v>
      </c>
      <c r="I279" s="87">
        <v>72</v>
      </c>
    </row>
    <row r="280" spans="1:9" ht="15" customHeight="1" x14ac:dyDescent="0.25">
      <c r="A280" s="87" t="s">
        <v>70</v>
      </c>
      <c r="B280" s="87" t="s">
        <v>279</v>
      </c>
      <c r="C280" s="87">
        <v>2013</v>
      </c>
      <c r="D280" s="87" t="s">
        <v>18</v>
      </c>
      <c r="E280" s="116">
        <v>-1</v>
      </c>
      <c r="F280" s="87" t="s">
        <v>586</v>
      </c>
      <c r="G280" s="87" t="s">
        <v>967</v>
      </c>
      <c r="H280" s="87" t="s">
        <v>586</v>
      </c>
      <c r="I280" s="87">
        <v>72</v>
      </c>
    </row>
    <row r="281" spans="1:9" ht="15" customHeight="1" x14ac:dyDescent="0.25">
      <c r="A281" s="87" t="s">
        <v>70</v>
      </c>
      <c r="B281" s="87" t="s">
        <v>279</v>
      </c>
      <c r="C281" s="87">
        <v>2014</v>
      </c>
      <c r="D281" s="87" t="s">
        <v>18</v>
      </c>
      <c r="E281" s="116">
        <v>-1</v>
      </c>
      <c r="F281" s="87" t="s">
        <v>586</v>
      </c>
      <c r="G281" s="87" t="s">
        <v>967</v>
      </c>
      <c r="H281" s="87" t="s">
        <v>586</v>
      </c>
      <c r="I281" s="87">
        <v>72</v>
      </c>
    </row>
    <row r="282" spans="1:9" ht="15" customHeight="1" x14ac:dyDescent="0.25">
      <c r="A282" s="87" t="s">
        <v>70</v>
      </c>
      <c r="B282" s="87" t="s">
        <v>279</v>
      </c>
      <c r="C282" s="87">
        <v>2015</v>
      </c>
      <c r="D282" s="87" t="s">
        <v>18</v>
      </c>
      <c r="E282" s="116">
        <v>-1</v>
      </c>
      <c r="F282" s="87" t="s">
        <v>967</v>
      </c>
      <c r="G282" s="87" t="s">
        <v>967</v>
      </c>
      <c r="H282" s="87" t="s">
        <v>967</v>
      </c>
      <c r="I282" s="87">
        <v>72</v>
      </c>
    </row>
    <row r="283" spans="1:9" ht="15" customHeight="1" x14ac:dyDescent="0.25">
      <c r="A283" s="87" t="s">
        <v>70</v>
      </c>
      <c r="B283" s="87" t="s">
        <v>279</v>
      </c>
      <c r="C283" s="87">
        <v>2016</v>
      </c>
      <c r="D283" s="87" t="s">
        <v>18</v>
      </c>
      <c r="E283" s="116">
        <v>0</v>
      </c>
      <c r="F283" s="87" t="s">
        <v>967</v>
      </c>
      <c r="G283" s="87" t="s">
        <v>967</v>
      </c>
      <c r="H283" s="87" t="s">
        <v>629</v>
      </c>
      <c r="I283" s="87">
        <v>72</v>
      </c>
    </row>
    <row r="284" spans="1:9" ht="15" customHeight="1" x14ac:dyDescent="0.25">
      <c r="A284" s="87" t="s">
        <v>70</v>
      </c>
      <c r="B284" s="87" t="s">
        <v>279</v>
      </c>
      <c r="C284" s="87">
        <v>2017</v>
      </c>
      <c r="D284" s="87" t="s">
        <v>18</v>
      </c>
      <c r="E284" s="116">
        <v>29</v>
      </c>
      <c r="F284" s="87" t="s">
        <v>967</v>
      </c>
      <c r="G284" s="87" t="s">
        <v>967</v>
      </c>
      <c r="H284" s="87" t="s">
        <v>967</v>
      </c>
      <c r="I284" s="87">
        <v>72</v>
      </c>
    </row>
    <row r="285" spans="1:9" ht="15" customHeight="1" x14ac:dyDescent="0.25">
      <c r="A285" s="87" t="s">
        <v>70</v>
      </c>
      <c r="B285" s="87" t="s">
        <v>279</v>
      </c>
      <c r="C285" s="87">
        <v>2018</v>
      </c>
      <c r="D285" s="87" t="s">
        <v>18</v>
      </c>
      <c r="E285" s="116">
        <v>0</v>
      </c>
      <c r="F285" s="87" t="s">
        <v>967</v>
      </c>
      <c r="G285" s="87" t="s">
        <v>967</v>
      </c>
      <c r="H285" s="87" t="s">
        <v>919</v>
      </c>
      <c r="I285" s="87">
        <v>72</v>
      </c>
    </row>
    <row r="286" spans="1:9" ht="15" customHeight="1" x14ac:dyDescent="0.25">
      <c r="A286" s="87" t="s">
        <v>70</v>
      </c>
      <c r="B286" s="87" t="s">
        <v>279</v>
      </c>
      <c r="C286" s="87">
        <v>2019</v>
      </c>
      <c r="D286" s="87" t="s">
        <v>18</v>
      </c>
      <c r="E286" s="116">
        <v>0</v>
      </c>
      <c r="F286" s="87" t="s">
        <v>967</v>
      </c>
      <c r="G286" s="87" t="s">
        <v>274</v>
      </c>
      <c r="H286" s="87" t="s">
        <v>971</v>
      </c>
      <c r="I286" s="87">
        <v>72</v>
      </c>
    </row>
    <row r="287" spans="1:9" ht="15" customHeight="1" x14ac:dyDescent="0.25">
      <c r="A287" s="87" t="s">
        <v>70</v>
      </c>
      <c r="B287" s="87" t="s">
        <v>279</v>
      </c>
      <c r="C287" s="87">
        <v>2020</v>
      </c>
      <c r="D287" s="87" t="s">
        <v>18</v>
      </c>
      <c r="E287" s="116">
        <v>34</v>
      </c>
      <c r="F287" s="87" t="s">
        <v>967</v>
      </c>
      <c r="G287" s="87" t="s">
        <v>272</v>
      </c>
      <c r="H287" s="87" t="s">
        <v>967</v>
      </c>
      <c r="I287" s="87">
        <v>72</v>
      </c>
    </row>
    <row r="288" spans="1:9" ht="15" customHeight="1" x14ac:dyDescent="0.25">
      <c r="A288" s="87" t="s">
        <v>70</v>
      </c>
      <c r="B288" s="87" t="s">
        <v>279</v>
      </c>
      <c r="C288" s="87">
        <v>2021</v>
      </c>
      <c r="D288" s="87" t="s">
        <v>18</v>
      </c>
      <c r="E288" s="116">
        <v>-1</v>
      </c>
      <c r="F288" s="87" t="s">
        <v>967</v>
      </c>
      <c r="G288" s="87" t="s">
        <v>967</v>
      </c>
      <c r="H288" s="87" t="s">
        <v>967</v>
      </c>
      <c r="I288" s="87">
        <v>72</v>
      </c>
    </row>
    <row r="289" spans="1:9" ht="15" customHeight="1" x14ac:dyDescent="0.25">
      <c r="A289" s="87" t="s">
        <v>70</v>
      </c>
      <c r="B289" s="87" t="s">
        <v>279</v>
      </c>
      <c r="C289" s="87">
        <v>2022</v>
      </c>
      <c r="D289" s="87" t="s">
        <v>18</v>
      </c>
      <c r="E289" s="116">
        <v>-1</v>
      </c>
      <c r="F289" s="87" t="s">
        <v>967</v>
      </c>
      <c r="G289" s="87" t="s">
        <v>967</v>
      </c>
      <c r="H289" s="87" t="s">
        <v>967</v>
      </c>
      <c r="I289" s="87">
        <v>72</v>
      </c>
    </row>
    <row r="290" spans="1:9" ht="15" customHeight="1" x14ac:dyDescent="0.25">
      <c r="A290" s="87" t="s">
        <v>70</v>
      </c>
      <c r="B290" s="87" t="s">
        <v>280</v>
      </c>
      <c r="C290" s="87">
        <v>1975</v>
      </c>
      <c r="D290" s="87" t="s">
        <v>18</v>
      </c>
      <c r="E290" s="116">
        <v>25</v>
      </c>
      <c r="F290" s="87" t="s">
        <v>768</v>
      </c>
      <c r="G290" s="87" t="s">
        <v>967</v>
      </c>
      <c r="H290" s="87" t="s">
        <v>768</v>
      </c>
      <c r="I290" s="87">
        <v>79</v>
      </c>
    </row>
    <row r="291" spans="1:9" ht="15" customHeight="1" x14ac:dyDescent="0.25">
      <c r="A291" s="87" t="s">
        <v>70</v>
      </c>
      <c r="B291" s="87" t="s">
        <v>280</v>
      </c>
      <c r="C291" s="87">
        <v>1976</v>
      </c>
      <c r="D291" s="87" t="s">
        <v>18</v>
      </c>
      <c r="E291" s="116">
        <v>75</v>
      </c>
      <c r="F291" s="87" t="s">
        <v>768</v>
      </c>
      <c r="G291" s="87" t="s">
        <v>967</v>
      </c>
      <c r="H291" s="87" t="s">
        <v>768</v>
      </c>
      <c r="I291" s="87">
        <v>79</v>
      </c>
    </row>
    <row r="292" spans="1:9" ht="15" customHeight="1" x14ac:dyDescent="0.25">
      <c r="A292" s="87" t="s">
        <v>70</v>
      </c>
      <c r="B292" s="87" t="s">
        <v>280</v>
      </c>
      <c r="C292" s="87">
        <v>1977</v>
      </c>
      <c r="D292" s="87" t="s">
        <v>18</v>
      </c>
      <c r="E292" s="116">
        <v>-1</v>
      </c>
      <c r="F292" s="87" t="s">
        <v>768</v>
      </c>
      <c r="G292" s="87" t="s">
        <v>967</v>
      </c>
      <c r="H292" s="87" t="s">
        <v>768</v>
      </c>
      <c r="I292" s="87">
        <v>79</v>
      </c>
    </row>
    <row r="293" spans="1:9" ht="15" customHeight="1" x14ac:dyDescent="0.25">
      <c r="A293" s="87" t="s">
        <v>70</v>
      </c>
      <c r="B293" s="87" t="s">
        <v>280</v>
      </c>
      <c r="C293" s="87">
        <v>1978</v>
      </c>
      <c r="D293" s="87" t="s">
        <v>18</v>
      </c>
      <c r="E293" s="116">
        <v>-1</v>
      </c>
      <c r="F293" s="87" t="s">
        <v>768</v>
      </c>
      <c r="G293" s="87" t="s">
        <v>967</v>
      </c>
      <c r="H293" s="87" t="s">
        <v>768</v>
      </c>
      <c r="I293" s="87">
        <v>79</v>
      </c>
    </row>
    <row r="294" spans="1:9" ht="15" customHeight="1" x14ac:dyDescent="0.25">
      <c r="A294" s="87" t="s">
        <v>70</v>
      </c>
      <c r="B294" s="87" t="s">
        <v>280</v>
      </c>
      <c r="C294" s="87">
        <v>1979</v>
      </c>
      <c r="D294" s="87" t="s">
        <v>18</v>
      </c>
      <c r="E294" s="116">
        <v>-1</v>
      </c>
      <c r="F294" s="87" t="s">
        <v>768</v>
      </c>
      <c r="G294" s="87" t="s">
        <v>967</v>
      </c>
      <c r="H294" s="87" t="s">
        <v>768</v>
      </c>
      <c r="I294" s="87">
        <v>79</v>
      </c>
    </row>
    <row r="295" spans="1:9" ht="15" customHeight="1" x14ac:dyDescent="0.25">
      <c r="A295" s="87" t="s">
        <v>70</v>
      </c>
      <c r="B295" s="87" t="s">
        <v>280</v>
      </c>
      <c r="C295" s="87">
        <v>1980</v>
      </c>
      <c r="D295" s="87" t="s">
        <v>18</v>
      </c>
      <c r="E295" s="116">
        <v>0</v>
      </c>
      <c r="F295" s="87" t="s">
        <v>768</v>
      </c>
      <c r="G295" s="87" t="s">
        <v>967</v>
      </c>
      <c r="H295" s="87" t="s">
        <v>768</v>
      </c>
      <c r="I295" s="87">
        <v>79</v>
      </c>
    </row>
    <row r="296" spans="1:9" ht="15" customHeight="1" x14ac:dyDescent="0.25">
      <c r="A296" s="87" t="s">
        <v>70</v>
      </c>
      <c r="B296" s="87" t="s">
        <v>280</v>
      </c>
      <c r="C296" s="87">
        <v>1981</v>
      </c>
      <c r="D296" s="87" t="s">
        <v>18</v>
      </c>
      <c r="E296" s="116">
        <v>25</v>
      </c>
      <c r="F296" s="87" t="s">
        <v>768</v>
      </c>
      <c r="G296" s="87" t="s">
        <v>967</v>
      </c>
      <c r="H296" s="87" t="s">
        <v>768</v>
      </c>
      <c r="I296" s="87">
        <v>79</v>
      </c>
    </row>
    <row r="297" spans="1:9" ht="15" customHeight="1" x14ac:dyDescent="0.25">
      <c r="A297" s="87" t="s">
        <v>70</v>
      </c>
      <c r="B297" s="87" t="s">
        <v>280</v>
      </c>
      <c r="C297" s="87">
        <v>1982</v>
      </c>
      <c r="D297" s="87" t="s">
        <v>18</v>
      </c>
      <c r="E297" s="116">
        <v>25</v>
      </c>
      <c r="F297" s="87" t="s">
        <v>768</v>
      </c>
      <c r="G297" s="87" t="s">
        <v>967</v>
      </c>
      <c r="H297" s="87" t="s">
        <v>768</v>
      </c>
      <c r="I297" s="87">
        <v>79</v>
      </c>
    </row>
    <row r="298" spans="1:9" ht="15" customHeight="1" x14ac:dyDescent="0.25">
      <c r="A298" s="87" t="s">
        <v>70</v>
      </c>
      <c r="B298" s="87" t="s">
        <v>280</v>
      </c>
      <c r="C298" s="87">
        <v>1983</v>
      </c>
      <c r="D298" s="87" t="s">
        <v>18</v>
      </c>
      <c r="E298" s="116">
        <v>15</v>
      </c>
      <c r="F298" s="87" t="s">
        <v>768</v>
      </c>
      <c r="G298" s="87" t="s">
        <v>967</v>
      </c>
      <c r="H298" s="87" t="s">
        <v>768</v>
      </c>
      <c r="I298" s="87">
        <v>79</v>
      </c>
    </row>
    <row r="299" spans="1:9" ht="15" customHeight="1" x14ac:dyDescent="0.25">
      <c r="A299" s="87" t="s">
        <v>70</v>
      </c>
      <c r="B299" s="87" t="s">
        <v>280</v>
      </c>
      <c r="C299" s="87">
        <v>1984</v>
      </c>
      <c r="D299" s="87" t="s">
        <v>18</v>
      </c>
      <c r="E299" s="116">
        <v>-1</v>
      </c>
      <c r="F299" s="87" t="s">
        <v>768</v>
      </c>
      <c r="G299" s="87" t="s">
        <v>967</v>
      </c>
      <c r="H299" s="87" t="s">
        <v>768</v>
      </c>
      <c r="I299" s="87">
        <v>79</v>
      </c>
    </row>
    <row r="300" spans="1:9" ht="15" customHeight="1" x14ac:dyDescent="0.25">
      <c r="A300" s="87" t="s">
        <v>70</v>
      </c>
      <c r="B300" s="87" t="s">
        <v>280</v>
      </c>
      <c r="C300" s="87">
        <v>1985</v>
      </c>
      <c r="D300" s="87" t="s">
        <v>18</v>
      </c>
      <c r="E300" s="116">
        <v>-1</v>
      </c>
      <c r="F300" s="87" t="s">
        <v>768</v>
      </c>
      <c r="G300" s="87" t="s">
        <v>967</v>
      </c>
      <c r="H300" s="87" t="s">
        <v>768</v>
      </c>
      <c r="I300" s="87">
        <v>79</v>
      </c>
    </row>
    <row r="301" spans="1:9" ht="15" customHeight="1" x14ac:dyDescent="0.25">
      <c r="A301" s="87" t="s">
        <v>70</v>
      </c>
      <c r="B301" s="87" t="s">
        <v>280</v>
      </c>
      <c r="C301" s="87">
        <v>1986</v>
      </c>
      <c r="D301" s="87" t="s">
        <v>18</v>
      </c>
      <c r="E301" s="116">
        <v>-1</v>
      </c>
      <c r="F301" s="87" t="s">
        <v>768</v>
      </c>
      <c r="G301" s="87" t="s">
        <v>967</v>
      </c>
      <c r="H301" s="87" t="s">
        <v>768</v>
      </c>
      <c r="I301" s="87">
        <v>79</v>
      </c>
    </row>
    <row r="302" spans="1:9" ht="15" customHeight="1" x14ac:dyDescent="0.25">
      <c r="A302" s="87" t="s">
        <v>70</v>
      </c>
      <c r="B302" s="87" t="s">
        <v>280</v>
      </c>
      <c r="C302" s="87">
        <v>1987</v>
      </c>
      <c r="D302" s="87" t="s">
        <v>18</v>
      </c>
      <c r="E302" s="116">
        <v>-1</v>
      </c>
      <c r="F302" s="87" t="s">
        <v>768</v>
      </c>
      <c r="G302" s="87" t="s">
        <v>967</v>
      </c>
      <c r="H302" s="87" t="s">
        <v>768</v>
      </c>
      <c r="I302" s="87">
        <v>79</v>
      </c>
    </row>
    <row r="303" spans="1:9" ht="15" customHeight="1" x14ac:dyDescent="0.25">
      <c r="A303" s="87" t="s">
        <v>70</v>
      </c>
      <c r="B303" s="87" t="s">
        <v>280</v>
      </c>
      <c r="C303" s="87">
        <v>1988</v>
      </c>
      <c r="D303" s="87" t="s">
        <v>18</v>
      </c>
      <c r="E303" s="116">
        <v>-1</v>
      </c>
      <c r="F303" s="87" t="s">
        <v>768</v>
      </c>
      <c r="G303" s="87" t="s">
        <v>967</v>
      </c>
      <c r="H303" s="87" t="s">
        <v>768</v>
      </c>
      <c r="I303" s="87">
        <v>79</v>
      </c>
    </row>
    <row r="304" spans="1:9" ht="15" customHeight="1" x14ac:dyDescent="0.25">
      <c r="A304" s="87" t="s">
        <v>70</v>
      </c>
      <c r="B304" s="87" t="s">
        <v>280</v>
      </c>
      <c r="C304" s="87">
        <v>1989</v>
      </c>
      <c r="D304" s="87" t="s">
        <v>18</v>
      </c>
      <c r="E304" s="116">
        <v>-1</v>
      </c>
      <c r="F304" s="87" t="s">
        <v>768</v>
      </c>
      <c r="G304" s="87" t="s">
        <v>967</v>
      </c>
      <c r="H304" s="87" t="s">
        <v>768</v>
      </c>
      <c r="I304" s="87">
        <v>79</v>
      </c>
    </row>
    <row r="305" spans="1:9" ht="15" customHeight="1" x14ac:dyDescent="0.25">
      <c r="A305" s="87" t="s">
        <v>70</v>
      </c>
      <c r="B305" s="87" t="s">
        <v>280</v>
      </c>
      <c r="C305" s="87">
        <v>1990</v>
      </c>
      <c r="D305" s="87" t="s">
        <v>18</v>
      </c>
      <c r="E305" s="116">
        <v>-1</v>
      </c>
      <c r="F305" s="87" t="s">
        <v>768</v>
      </c>
      <c r="G305" s="87" t="s">
        <v>967</v>
      </c>
      <c r="H305" s="87" t="s">
        <v>768</v>
      </c>
      <c r="I305" s="87">
        <v>79</v>
      </c>
    </row>
    <row r="306" spans="1:9" ht="15" customHeight="1" x14ac:dyDescent="0.25">
      <c r="A306" s="87" t="s">
        <v>70</v>
      </c>
      <c r="B306" s="87" t="s">
        <v>280</v>
      </c>
      <c r="C306" s="87">
        <v>1991</v>
      </c>
      <c r="D306" s="87" t="s">
        <v>18</v>
      </c>
      <c r="E306" s="116">
        <v>-1</v>
      </c>
      <c r="F306" s="87" t="s">
        <v>768</v>
      </c>
      <c r="G306" s="87" t="s">
        <v>967</v>
      </c>
      <c r="H306" s="87" t="s">
        <v>768</v>
      </c>
      <c r="I306" s="87">
        <v>79</v>
      </c>
    </row>
    <row r="307" spans="1:9" ht="15" customHeight="1" x14ac:dyDescent="0.25">
      <c r="A307" s="87" t="s">
        <v>70</v>
      </c>
      <c r="B307" s="87" t="s">
        <v>280</v>
      </c>
      <c r="C307" s="87">
        <v>1992</v>
      </c>
      <c r="D307" s="87" t="s">
        <v>18</v>
      </c>
      <c r="E307" s="116">
        <v>-1</v>
      </c>
      <c r="F307" s="87" t="s">
        <v>768</v>
      </c>
      <c r="G307" s="87" t="s">
        <v>967</v>
      </c>
      <c r="H307" s="87" t="s">
        <v>768</v>
      </c>
      <c r="I307" s="87">
        <v>79</v>
      </c>
    </row>
    <row r="308" spans="1:9" ht="15" customHeight="1" x14ac:dyDescent="0.25">
      <c r="A308" s="87" t="s">
        <v>70</v>
      </c>
      <c r="B308" s="87" t="s">
        <v>280</v>
      </c>
      <c r="C308" s="87">
        <v>1993</v>
      </c>
      <c r="D308" s="87" t="s">
        <v>18</v>
      </c>
      <c r="E308" s="116">
        <v>-1</v>
      </c>
      <c r="F308" s="87" t="s">
        <v>768</v>
      </c>
      <c r="G308" s="87" t="s">
        <v>967</v>
      </c>
      <c r="H308" s="87" t="s">
        <v>768</v>
      </c>
      <c r="I308" s="87">
        <v>79</v>
      </c>
    </row>
    <row r="309" spans="1:9" ht="15" customHeight="1" x14ac:dyDescent="0.25">
      <c r="A309" s="87" t="s">
        <v>70</v>
      </c>
      <c r="B309" s="87" t="s">
        <v>280</v>
      </c>
      <c r="C309" s="87">
        <v>1994</v>
      </c>
      <c r="D309" s="87" t="s">
        <v>18</v>
      </c>
      <c r="E309" s="116">
        <v>-1</v>
      </c>
      <c r="F309" s="87" t="s">
        <v>768</v>
      </c>
      <c r="G309" s="87" t="s">
        <v>967</v>
      </c>
      <c r="H309" s="87" t="s">
        <v>768</v>
      </c>
      <c r="I309" s="87">
        <v>79</v>
      </c>
    </row>
    <row r="310" spans="1:9" ht="15" customHeight="1" x14ac:dyDescent="0.25">
      <c r="A310" s="87" t="s">
        <v>70</v>
      </c>
      <c r="B310" s="87" t="s">
        <v>280</v>
      </c>
      <c r="C310" s="87">
        <v>1995</v>
      </c>
      <c r="D310" s="87" t="s">
        <v>18</v>
      </c>
      <c r="E310" s="116">
        <v>-1</v>
      </c>
      <c r="F310" s="87" t="s">
        <v>768</v>
      </c>
      <c r="G310" s="87" t="s">
        <v>967</v>
      </c>
      <c r="H310" s="87" t="s">
        <v>768</v>
      </c>
      <c r="I310" s="87">
        <v>79</v>
      </c>
    </row>
    <row r="311" spans="1:9" ht="15" customHeight="1" x14ac:dyDescent="0.25">
      <c r="A311" s="87" t="s">
        <v>70</v>
      </c>
      <c r="B311" s="87" t="s">
        <v>280</v>
      </c>
      <c r="C311" s="87">
        <v>1996</v>
      </c>
      <c r="D311" s="87" t="s">
        <v>18</v>
      </c>
      <c r="E311" s="116">
        <v>-1</v>
      </c>
      <c r="F311" s="87" t="s">
        <v>768</v>
      </c>
      <c r="G311" s="87" t="s">
        <v>967</v>
      </c>
      <c r="H311" s="87" t="s">
        <v>768</v>
      </c>
      <c r="I311" s="87">
        <v>79</v>
      </c>
    </row>
    <row r="312" spans="1:9" ht="15" customHeight="1" x14ac:dyDescent="0.25">
      <c r="A312" s="87" t="s">
        <v>70</v>
      </c>
      <c r="B312" s="87" t="s">
        <v>280</v>
      </c>
      <c r="C312" s="87">
        <v>1997</v>
      </c>
      <c r="D312" s="87" t="s">
        <v>18</v>
      </c>
      <c r="E312" s="116">
        <v>-1</v>
      </c>
      <c r="F312" s="87" t="s">
        <v>768</v>
      </c>
      <c r="G312" s="87" t="s">
        <v>967</v>
      </c>
      <c r="H312" s="87" t="s">
        <v>768</v>
      </c>
      <c r="I312" s="87">
        <v>79</v>
      </c>
    </row>
    <row r="313" spans="1:9" ht="15" customHeight="1" x14ac:dyDescent="0.25">
      <c r="A313" s="87" t="s">
        <v>70</v>
      </c>
      <c r="B313" s="87" t="s">
        <v>280</v>
      </c>
      <c r="C313" s="87">
        <v>1998</v>
      </c>
      <c r="D313" s="87" t="s">
        <v>18</v>
      </c>
      <c r="E313" s="116">
        <v>-1</v>
      </c>
      <c r="F313" s="87" t="s">
        <v>768</v>
      </c>
      <c r="G313" s="87" t="s">
        <v>967</v>
      </c>
      <c r="H313" s="87" t="s">
        <v>768</v>
      </c>
      <c r="I313" s="87">
        <v>79</v>
      </c>
    </row>
    <row r="314" spans="1:9" ht="15" customHeight="1" x14ac:dyDescent="0.25">
      <c r="A314" s="87" t="s">
        <v>70</v>
      </c>
      <c r="B314" s="87" t="s">
        <v>280</v>
      </c>
      <c r="C314" s="87">
        <v>1999</v>
      </c>
      <c r="D314" s="87" t="s">
        <v>18</v>
      </c>
      <c r="E314" s="116">
        <v>-1</v>
      </c>
      <c r="F314" s="87" t="s">
        <v>768</v>
      </c>
      <c r="G314" s="87" t="s">
        <v>967</v>
      </c>
      <c r="H314" s="87" t="s">
        <v>768</v>
      </c>
      <c r="I314" s="87">
        <v>79</v>
      </c>
    </row>
    <row r="315" spans="1:9" ht="15" customHeight="1" x14ac:dyDescent="0.25">
      <c r="A315" s="87" t="s">
        <v>70</v>
      </c>
      <c r="B315" s="87" t="s">
        <v>280</v>
      </c>
      <c r="C315" s="87">
        <v>2000</v>
      </c>
      <c r="D315" s="87" t="s">
        <v>18</v>
      </c>
      <c r="E315" s="116">
        <v>-1</v>
      </c>
      <c r="F315" s="87" t="s">
        <v>768</v>
      </c>
      <c r="G315" s="87" t="s">
        <v>967</v>
      </c>
      <c r="H315" s="87" t="s">
        <v>768</v>
      </c>
      <c r="I315" s="87">
        <v>79</v>
      </c>
    </row>
    <row r="316" spans="1:9" ht="15" customHeight="1" x14ac:dyDescent="0.25">
      <c r="A316" s="87" t="s">
        <v>70</v>
      </c>
      <c r="B316" s="87" t="s">
        <v>280</v>
      </c>
      <c r="C316" s="87">
        <v>2001</v>
      </c>
      <c r="D316" s="87" t="s">
        <v>18</v>
      </c>
      <c r="E316" s="116">
        <v>-1</v>
      </c>
      <c r="F316" s="87" t="s">
        <v>768</v>
      </c>
      <c r="G316" s="87" t="s">
        <v>967</v>
      </c>
      <c r="H316" s="87" t="s">
        <v>768</v>
      </c>
      <c r="I316" s="87">
        <v>79</v>
      </c>
    </row>
    <row r="317" spans="1:9" ht="15" customHeight="1" x14ac:dyDescent="0.25">
      <c r="A317" s="87" t="s">
        <v>70</v>
      </c>
      <c r="B317" s="87" t="s">
        <v>280</v>
      </c>
      <c r="C317" s="87">
        <v>2002</v>
      </c>
      <c r="D317" s="87" t="s">
        <v>18</v>
      </c>
      <c r="E317" s="116">
        <v>97</v>
      </c>
      <c r="F317" s="87" t="s">
        <v>768</v>
      </c>
      <c r="G317" s="87" t="s">
        <v>272</v>
      </c>
      <c r="H317" s="87" t="s">
        <v>768</v>
      </c>
      <c r="I317" s="87">
        <v>79</v>
      </c>
    </row>
    <row r="318" spans="1:9" ht="15" customHeight="1" x14ac:dyDescent="0.25">
      <c r="A318" s="87" t="s">
        <v>70</v>
      </c>
      <c r="B318" s="87" t="s">
        <v>280</v>
      </c>
      <c r="C318" s="87">
        <v>2003</v>
      </c>
      <c r="D318" s="87" t="s">
        <v>18</v>
      </c>
      <c r="E318" s="116">
        <v>86</v>
      </c>
      <c r="F318" s="87" t="s">
        <v>768</v>
      </c>
      <c r="G318" s="87" t="s">
        <v>272</v>
      </c>
      <c r="H318" s="87" t="s">
        <v>768</v>
      </c>
      <c r="I318" s="87">
        <v>79</v>
      </c>
    </row>
    <row r="319" spans="1:9" ht="15" customHeight="1" x14ac:dyDescent="0.25">
      <c r="A319" s="87" t="s">
        <v>70</v>
      </c>
      <c r="B319" s="87" t="s">
        <v>280</v>
      </c>
      <c r="C319" s="87">
        <v>2004</v>
      </c>
      <c r="D319" s="87" t="s">
        <v>18</v>
      </c>
      <c r="E319" s="116">
        <v>139</v>
      </c>
      <c r="F319" s="87" t="s">
        <v>768</v>
      </c>
      <c r="G319" s="87" t="s">
        <v>272</v>
      </c>
      <c r="H319" s="87" t="s">
        <v>768</v>
      </c>
      <c r="I319" s="87">
        <v>79</v>
      </c>
    </row>
    <row r="320" spans="1:9" ht="15" customHeight="1" x14ac:dyDescent="0.25">
      <c r="A320" s="87" t="s">
        <v>70</v>
      </c>
      <c r="B320" s="87" t="s">
        <v>280</v>
      </c>
      <c r="C320" s="87">
        <v>2005</v>
      </c>
      <c r="D320" s="87" t="s">
        <v>18</v>
      </c>
      <c r="E320" s="116">
        <v>43</v>
      </c>
      <c r="F320" s="87" t="s">
        <v>768</v>
      </c>
      <c r="G320" s="87" t="s">
        <v>272</v>
      </c>
      <c r="H320" s="87" t="s">
        <v>768</v>
      </c>
      <c r="I320" s="87">
        <v>79</v>
      </c>
    </row>
    <row r="321" spans="1:9" ht="15" customHeight="1" x14ac:dyDescent="0.25">
      <c r="A321" s="87" t="s">
        <v>70</v>
      </c>
      <c r="B321" s="87" t="s">
        <v>280</v>
      </c>
      <c r="C321" s="87">
        <v>2006</v>
      </c>
      <c r="D321" s="87" t="s">
        <v>18</v>
      </c>
      <c r="E321" s="116">
        <v>126</v>
      </c>
      <c r="F321" s="87" t="s">
        <v>768</v>
      </c>
      <c r="G321" s="87" t="s">
        <v>272</v>
      </c>
      <c r="H321" s="87" t="s">
        <v>768</v>
      </c>
      <c r="I321" s="87">
        <v>79</v>
      </c>
    </row>
    <row r="322" spans="1:9" ht="15" customHeight="1" x14ac:dyDescent="0.25">
      <c r="A322" s="87" t="s">
        <v>70</v>
      </c>
      <c r="B322" s="87" t="s">
        <v>280</v>
      </c>
      <c r="C322" s="87">
        <v>2007</v>
      </c>
      <c r="D322" s="87" t="s">
        <v>18</v>
      </c>
      <c r="E322" s="116">
        <v>-1</v>
      </c>
      <c r="F322" s="87" t="s">
        <v>768</v>
      </c>
      <c r="G322" s="87" t="s">
        <v>967</v>
      </c>
      <c r="H322" s="87" t="s">
        <v>768</v>
      </c>
      <c r="I322" s="87">
        <v>79</v>
      </c>
    </row>
    <row r="323" spans="1:9" ht="15" customHeight="1" x14ac:dyDescent="0.25">
      <c r="A323" s="87" t="s">
        <v>70</v>
      </c>
      <c r="B323" s="87" t="s">
        <v>280</v>
      </c>
      <c r="C323" s="87">
        <v>2008</v>
      </c>
      <c r="D323" s="87" t="s">
        <v>18</v>
      </c>
      <c r="E323" s="116">
        <v>11</v>
      </c>
      <c r="F323" s="87" t="s">
        <v>768</v>
      </c>
      <c r="G323" s="87" t="s">
        <v>272</v>
      </c>
      <c r="H323" s="87" t="s">
        <v>768</v>
      </c>
      <c r="I323" s="87">
        <v>79</v>
      </c>
    </row>
    <row r="324" spans="1:9" ht="15" customHeight="1" x14ac:dyDescent="0.25">
      <c r="A324" s="87" t="s">
        <v>70</v>
      </c>
      <c r="B324" s="87" t="s">
        <v>280</v>
      </c>
      <c r="C324" s="87">
        <v>2009</v>
      </c>
      <c r="D324" s="87" t="s">
        <v>18</v>
      </c>
      <c r="E324" s="116">
        <v>-1</v>
      </c>
      <c r="F324" s="87" t="s">
        <v>768</v>
      </c>
      <c r="G324" s="87" t="s">
        <v>967</v>
      </c>
      <c r="H324" s="87" t="s">
        <v>768</v>
      </c>
      <c r="I324" s="87">
        <v>79</v>
      </c>
    </row>
    <row r="325" spans="1:9" ht="15" customHeight="1" x14ac:dyDescent="0.25">
      <c r="A325" s="87" t="s">
        <v>70</v>
      </c>
      <c r="B325" s="87" t="s">
        <v>280</v>
      </c>
      <c r="C325" s="87">
        <v>2010</v>
      </c>
      <c r="D325" s="87" t="s">
        <v>18</v>
      </c>
      <c r="E325" s="116">
        <v>-1</v>
      </c>
      <c r="F325" s="87" t="s">
        <v>768</v>
      </c>
      <c r="G325" s="87" t="s">
        <v>967</v>
      </c>
      <c r="H325" s="87" t="s">
        <v>768</v>
      </c>
      <c r="I325" s="87">
        <v>79</v>
      </c>
    </row>
    <row r="326" spans="1:9" ht="15" customHeight="1" x14ac:dyDescent="0.25">
      <c r="A326" s="87" t="s">
        <v>70</v>
      </c>
      <c r="B326" s="87" t="s">
        <v>280</v>
      </c>
      <c r="C326" s="87">
        <v>2011</v>
      </c>
      <c r="D326" s="87" t="s">
        <v>18</v>
      </c>
      <c r="E326" s="116">
        <v>-1</v>
      </c>
      <c r="F326" s="87" t="s">
        <v>768</v>
      </c>
      <c r="G326" s="87" t="s">
        <v>967</v>
      </c>
      <c r="H326" s="87" t="s">
        <v>768</v>
      </c>
      <c r="I326" s="87">
        <v>79</v>
      </c>
    </row>
    <row r="327" spans="1:9" ht="15" customHeight="1" x14ac:dyDescent="0.25">
      <c r="A327" s="87" t="s">
        <v>70</v>
      </c>
      <c r="B327" s="87" t="s">
        <v>280</v>
      </c>
      <c r="C327" s="87">
        <v>2012</v>
      </c>
      <c r="D327" s="87" t="s">
        <v>18</v>
      </c>
      <c r="E327" s="116">
        <v>-1</v>
      </c>
      <c r="F327" s="87" t="s">
        <v>768</v>
      </c>
      <c r="G327" s="87" t="s">
        <v>967</v>
      </c>
      <c r="H327" s="87" t="s">
        <v>768</v>
      </c>
      <c r="I327" s="87">
        <v>79</v>
      </c>
    </row>
    <row r="328" spans="1:9" ht="15" customHeight="1" x14ac:dyDescent="0.25">
      <c r="A328" s="87" t="s">
        <v>70</v>
      </c>
      <c r="B328" s="87" t="s">
        <v>280</v>
      </c>
      <c r="C328" s="87">
        <v>2013</v>
      </c>
      <c r="D328" s="87" t="s">
        <v>18</v>
      </c>
      <c r="E328" s="116">
        <v>-1</v>
      </c>
      <c r="F328" s="87" t="s">
        <v>768</v>
      </c>
      <c r="G328" s="87" t="s">
        <v>967</v>
      </c>
      <c r="H328" s="87" t="s">
        <v>768</v>
      </c>
      <c r="I328" s="87">
        <v>79</v>
      </c>
    </row>
    <row r="329" spans="1:9" ht="15" customHeight="1" x14ac:dyDescent="0.25">
      <c r="A329" s="87" t="s">
        <v>70</v>
      </c>
      <c r="B329" s="87" t="s">
        <v>280</v>
      </c>
      <c r="C329" s="87">
        <v>2014</v>
      </c>
      <c r="D329" s="87" t="s">
        <v>18</v>
      </c>
      <c r="E329" s="116">
        <v>-1</v>
      </c>
      <c r="F329" s="87" t="s">
        <v>768</v>
      </c>
      <c r="G329" s="87" t="s">
        <v>967</v>
      </c>
      <c r="H329" s="87" t="s">
        <v>768</v>
      </c>
      <c r="I329" s="87">
        <v>79</v>
      </c>
    </row>
    <row r="330" spans="1:9" ht="15" customHeight="1" x14ac:dyDescent="0.25">
      <c r="A330" s="87" t="s">
        <v>70</v>
      </c>
      <c r="B330" s="87" t="s">
        <v>280</v>
      </c>
      <c r="C330" s="87">
        <v>2015</v>
      </c>
      <c r="D330" s="87" t="s">
        <v>18</v>
      </c>
      <c r="E330" s="116">
        <v>-1</v>
      </c>
      <c r="F330" s="87" t="s">
        <v>967</v>
      </c>
      <c r="G330" s="87" t="s">
        <v>967</v>
      </c>
      <c r="H330" s="87" t="s">
        <v>967</v>
      </c>
      <c r="I330" s="87">
        <v>79</v>
      </c>
    </row>
    <row r="331" spans="1:9" ht="15" customHeight="1" x14ac:dyDescent="0.25">
      <c r="A331" s="87" t="s">
        <v>70</v>
      </c>
      <c r="B331" s="87" t="s">
        <v>280</v>
      </c>
      <c r="C331" s="87">
        <v>2016</v>
      </c>
      <c r="D331" s="87" t="s">
        <v>18</v>
      </c>
      <c r="E331" s="116">
        <v>32</v>
      </c>
      <c r="F331" s="87" t="s">
        <v>967</v>
      </c>
      <c r="G331" s="87" t="s">
        <v>272</v>
      </c>
      <c r="H331" s="87" t="s">
        <v>793</v>
      </c>
      <c r="I331" s="87">
        <v>79</v>
      </c>
    </row>
    <row r="332" spans="1:9" ht="15" customHeight="1" x14ac:dyDescent="0.25">
      <c r="A332" s="87" t="s">
        <v>70</v>
      </c>
      <c r="B332" s="87" t="s">
        <v>280</v>
      </c>
      <c r="C332" s="87">
        <v>2017</v>
      </c>
      <c r="D332" s="87" t="s">
        <v>18</v>
      </c>
      <c r="E332" s="116">
        <v>58</v>
      </c>
      <c r="F332" s="87" t="s">
        <v>967</v>
      </c>
      <c r="G332" s="87" t="s">
        <v>274</v>
      </c>
      <c r="H332" s="87" t="s">
        <v>967</v>
      </c>
      <c r="I332" s="87">
        <v>79</v>
      </c>
    </row>
    <row r="333" spans="1:9" ht="15" customHeight="1" x14ac:dyDescent="0.25">
      <c r="A333" s="87" t="s">
        <v>70</v>
      </c>
      <c r="B333" s="87" t="s">
        <v>280</v>
      </c>
      <c r="C333" s="87">
        <v>2018</v>
      </c>
      <c r="D333" s="87" t="s">
        <v>18</v>
      </c>
      <c r="E333" s="116">
        <v>9</v>
      </c>
      <c r="F333" s="87" t="s">
        <v>967</v>
      </c>
      <c r="G333" s="87" t="s">
        <v>274</v>
      </c>
      <c r="H333" s="87" t="s">
        <v>967</v>
      </c>
      <c r="I333" s="87">
        <v>79</v>
      </c>
    </row>
    <row r="334" spans="1:9" ht="15" customHeight="1" x14ac:dyDescent="0.25">
      <c r="A334" s="87" t="s">
        <v>70</v>
      </c>
      <c r="B334" s="87" t="s">
        <v>280</v>
      </c>
      <c r="C334" s="87">
        <v>2019</v>
      </c>
      <c r="D334" s="87" t="s">
        <v>18</v>
      </c>
      <c r="E334" s="116">
        <v>12</v>
      </c>
      <c r="F334" s="87" t="s">
        <v>967</v>
      </c>
      <c r="G334" s="87" t="s">
        <v>274</v>
      </c>
      <c r="H334" s="87" t="s">
        <v>972</v>
      </c>
      <c r="I334" s="87">
        <v>79</v>
      </c>
    </row>
    <row r="335" spans="1:9" ht="15" customHeight="1" x14ac:dyDescent="0.25">
      <c r="A335" s="87" t="s">
        <v>70</v>
      </c>
      <c r="B335" s="87" t="s">
        <v>280</v>
      </c>
      <c r="C335" s="87">
        <v>2020</v>
      </c>
      <c r="D335" s="87" t="s">
        <v>18</v>
      </c>
      <c r="E335" s="116">
        <v>22</v>
      </c>
      <c r="F335" s="87" t="s">
        <v>967</v>
      </c>
      <c r="G335" s="87" t="s">
        <v>272</v>
      </c>
      <c r="H335" s="87" t="s">
        <v>967</v>
      </c>
      <c r="I335" s="87">
        <v>79</v>
      </c>
    </row>
    <row r="336" spans="1:9" ht="15" customHeight="1" x14ac:dyDescent="0.25">
      <c r="A336" s="87" t="s">
        <v>70</v>
      </c>
      <c r="B336" s="87" t="s">
        <v>280</v>
      </c>
      <c r="C336" s="87">
        <v>2021</v>
      </c>
      <c r="D336" s="87" t="s">
        <v>18</v>
      </c>
      <c r="E336" s="116">
        <v>-1</v>
      </c>
      <c r="F336" s="87" t="s">
        <v>967</v>
      </c>
      <c r="G336" s="87" t="s">
        <v>967</v>
      </c>
      <c r="H336" s="87" t="s">
        <v>967</v>
      </c>
      <c r="I336" s="87">
        <v>79</v>
      </c>
    </row>
    <row r="337" spans="1:9" ht="15" customHeight="1" x14ac:dyDescent="0.25">
      <c r="A337" s="87" t="s">
        <v>70</v>
      </c>
      <c r="B337" s="87" t="s">
        <v>280</v>
      </c>
      <c r="C337" s="87">
        <v>2022</v>
      </c>
      <c r="D337" s="87" t="s">
        <v>18</v>
      </c>
      <c r="E337" s="116">
        <v>-6</v>
      </c>
      <c r="F337" s="87" t="s">
        <v>967</v>
      </c>
      <c r="G337" s="87" t="s">
        <v>372</v>
      </c>
      <c r="H337" s="87" t="s">
        <v>967</v>
      </c>
      <c r="I337" s="87">
        <v>79</v>
      </c>
    </row>
    <row r="338" spans="1:9" ht="15" customHeight="1" x14ac:dyDescent="0.25">
      <c r="A338" s="87" t="s">
        <v>70</v>
      </c>
      <c r="B338" s="87" t="s">
        <v>281</v>
      </c>
      <c r="C338" s="87">
        <v>1975</v>
      </c>
      <c r="D338" s="87" t="s">
        <v>18</v>
      </c>
      <c r="E338" s="116">
        <v>-1</v>
      </c>
      <c r="F338" s="87" t="s">
        <v>848</v>
      </c>
      <c r="G338" s="87" t="s">
        <v>967</v>
      </c>
      <c r="H338" s="87" t="s">
        <v>848</v>
      </c>
      <c r="I338" s="87">
        <v>81</v>
      </c>
    </row>
    <row r="339" spans="1:9" ht="15" customHeight="1" x14ac:dyDescent="0.25">
      <c r="A339" s="87" t="s">
        <v>70</v>
      </c>
      <c r="B339" s="87" t="s">
        <v>281</v>
      </c>
      <c r="C339" s="87">
        <v>1976</v>
      </c>
      <c r="D339" s="87" t="s">
        <v>18</v>
      </c>
      <c r="E339" s="116">
        <v>-1</v>
      </c>
      <c r="F339" s="87" t="s">
        <v>848</v>
      </c>
      <c r="G339" s="87" t="s">
        <v>967</v>
      </c>
      <c r="H339" s="87" t="s">
        <v>848</v>
      </c>
      <c r="I339" s="87">
        <v>81</v>
      </c>
    </row>
    <row r="340" spans="1:9" ht="15" customHeight="1" x14ac:dyDescent="0.25">
      <c r="A340" s="87" t="s">
        <v>70</v>
      </c>
      <c r="B340" s="87" t="s">
        <v>281</v>
      </c>
      <c r="C340" s="87">
        <v>1977</v>
      </c>
      <c r="D340" s="87" t="s">
        <v>18</v>
      </c>
      <c r="E340" s="116">
        <v>-1</v>
      </c>
      <c r="F340" s="87" t="s">
        <v>848</v>
      </c>
      <c r="G340" s="87" t="s">
        <v>967</v>
      </c>
      <c r="H340" s="87" t="s">
        <v>848</v>
      </c>
      <c r="I340" s="87">
        <v>81</v>
      </c>
    </row>
    <row r="341" spans="1:9" ht="15" customHeight="1" x14ac:dyDescent="0.25">
      <c r="A341" s="87" t="s">
        <v>70</v>
      </c>
      <c r="B341" s="87" t="s">
        <v>281</v>
      </c>
      <c r="C341" s="87">
        <v>1978</v>
      </c>
      <c r="D341" s="87" t="s">
        <v>18</v>
      </c>
      <c r="E341" s="116">
        <v>-1</v>
      </c>
      <c r="F341" s="87" t="s">
        <v>848</v>
      </c>
      <c r="G341" s="87" t="s">
        <v>967</v>
      </c>
      <c r="H341" s="87" t="s">
        <v>848</v>
      </c>
      <c r="I341" s="87">
        <v>81</v>
      </c>
    </row>
    <row r="342" spans="1:9" ht="15" customHeight="1" x14ac:dyDescent="0.25">
      <c r="A342" s="87" t="s">
        <v>70</v>
      </c>
      <c r="B342" s="87" t="s">
        <v>281</v>
      </c>
      <c r="C342" s="87">
        <v>1979</v>
      </c>
      <c r="D342" s="87" t="s">
        <v>18</v>
      </c>
      <c r="E342" s="116">
        <v>-1</v>
      </c>
      <c r="F342" s="87" t="s">
        <v>848</v>
      </c>
      <c r="G342" s="87" t="s">
        <v>967</v>
      </c>
      <c r="H342" s="87" t="s">
        <v>848</v>
      </c>
      <c r="I342" s="87">
        <v>81</v>
      </c>
    </row>
    <row r="343" spans="1:9" ht="15" customHeight="1" x14ac:dyDescent="0.25">
      <c r="A343" s="87" t="s">
        <v>70</v>
      </c>
      <c r="B343" s="87" t="s">
        <v>281</v>
      </c>
      <c r="C343" s="87">
        <v>1980</v>
      </c>
      <c r="D343" s="87" t="s">
        <v>18</v>
      </c>
      <c r="E343" s="116">
        <v>-1</v>
      </c>
      <c r="F343" s="87" t="s">
        <v>848</v>
      </c>
      <c r="G343" s="87" t="s">
        <v>967</v>
      </c>
      <c r="H343" s="87" t="s">
        <v>848</v>
      </c>
      <c r="I343" s="87">
        <v>81</v>
      </c>
    </row>
    <row r="344" spans="1:9" ht="15" customHeight="1" x14ac:dyDescent="0.25">
      <c r="A344" s="87" t="s">
        <v>70</v>
      </c>
      <c r="B344" s="87" t="s">
        <v>281</v>
      </c>
      <c r="C344" s="87">
        <v>1981</v>
      </c>
      <c r="D344" s="87" t="s">
        <v>18</v>
      </c>
      <c r="E344" s="116">
        <v>-1</v>
      </c>
      <c r="F344" s="87" t="s">
        <v>848</v>
      </c>
      <c r="G344" s="87" t="s">
        <v>967</v>
      </c>
      <c r="H344" s="87" t="s">
        <v>848</v>
      </c>
      <c r="I344" s="87">
        <v>81</v>
      </c>
    </row>
    <row r="345" spans="1:9" ht="15" customHeight="1" x14ac:dyDescent="0.25">
      <c r="A345" s="87" t="s">
        <v>70</v>
      </c>
      <c r="B345" s="87" t="s">
        <v>281</v>
      </c>
      <c r="C345" s="87">
        <v>1982</v>
      </c>
      <c r="D345" s="87" t="s">
        <v>18</v>
      </c>
      <c r="E345" s="116">
        <v>-1</v>
      </c>
      <c r="F345" s="87" t="s">
        <v>848</v>
      </c>
      <c r="G345" s="87" t="s">
        <v>967</v>
      </c>
      <c r="H345" s="87" t="s">
        <v>848</v>
      </c>
      <c r="I345" s="87">
        <v>81</v>
      </c>
    </row>
    <row r="346" spans="1:9" ht="15" customHeight="1" x14ac:dyDescent="0.25">
      <c r="A346" s="87" t="s">
        <v>70</v>
      </c>
      <c r="B346" s="87" t="s">
        <v>281</v>
      </c>
      <c r="C346" s="87">
        <v>1983</v>
      </c>
      <c r="D346" s="87" t="s">
        <v>18</v>
      </c>
      <c r="E346" s="116">
        <v>-1</v>
      </c>
      <c r="F346" s="87" t="s">
        <v>848</v>
      </c>
      <c r="G346" s="87" t="s">
        <v>967</v>
      </c>
      <c r="H346" s="87" t="s">
        <v>848</v>
      </c>
      <c r="I346" s="87">
        <v>81</v>
      </c>
    </row>
    <row r="347" spans="1:9" ht="15" customHeight="1" x14ac:dyDescent="0.25">
      <c r="A347" s="87" t="s">
        <v>70</v>
      </c>
      <c r="B347" s="87" t="s">
        <v>281</v>
      </c>
      <c r="C347" s="87">
        <v>1984</v>
      </c>
      <c r="D347" s="87" t="s">
        <v>18</v>
      </c>
      <c r="E347" s="116">
        <v>-1</v>
      </c>
      <c r="F347" s="87" t="s">
        <v>848</v>
      </c>
      <c r="G347" s="87" t="s">
        <v>967</v>
      </c>
      <c r="H347" s="87" t="s">
        <v>848</v>
      </c>
      <c r="I347" s="87">
        <v>81</v>
      </c>
    </row>
    <row r="348" spans="1:9" ht="15" customHeight="1" x14ac:dyDescent="0.25">
      <c r="A348" s="87" t="s">
        <v>70</v>
      </c>
      <c r="B348" s="87" t="s">
        <v>281</v>
      </c>
      <c r="C348" s="87">
        <v>1985</v>
      </c>
      <c r="D348" s="87" t="s">
        <v>18</v>
      </c>
      <c r="E348" s="116">
        <v>-1</v>
      </c>
      <c r="F348" s="87" t="s">
        <v>848</v>
      </c>
      <c r="G348" s="87" t="s">
        <v>967</v>
      </c>
      <c r="H348" s="87" t="s">
        <v>848</v>
      </c>
      <c r="I348" s="87">
        <v>81</v>
      </c>
    </row>
    <row r="349" spans="1:9" ht="15" customHeight="1" x14ac:dyDescent="0.25">
      <c r="A349" s="87" t="s">
        <v>70</v>
      </c>
      <c r="B349" s="87" t="s">
        <v>281</v>
      </c>
      <c r="C349" s="87">
        <v>1986</v>
      </c>
      <c r="D349" s="87" t="s">
        <v>18</v>
      </c>
      <c r="E349" s="116">
        <v>-1</v>
      </c>
      <c r="F349" s="87" t="s">
        <v>848</v>
      </c>
      <c r="G349" s="87" t="s">
        <v>967</v>
      </c>
      <c r="H349" s="87" t="s">
        <v>848</v>
      </c>
      <c r="I349" s="87">
        <v>81</v>
      </c>
    </row>
    <row r="350" spans="1:9" ht="15" customHeight="1" x14ac:dyDescent="0.25">
      <c r="A350" s="87" t="s">
        <v>70</v>
      </c>
      <c r="B350" s="87" t="s">
        <v>281</v>
      </c>
      <c r="C350" s="87">
        <v>1987</v>
      </c>
      <c r="D350" s="87" t="s">
        <v>18</v>
      </c>
      <c r="E350" s="116">
        <v>-1</v>
      </c>
      <c r="F350" s="87" t="s">
        <v>848</v>
      </c>
      <c r="G350" s="87" t="s">
        <v>967</v>
      </c>
      <c r="H350" s="87" t="s">
        <v>848</v>
      </c>
      <c r="I350" s="87">
        <v>81</v>
      </c>
    </row>
    <row r="351" spans="1:9" ht="15" customHeight="1" x14ac:dyDescent="0.25">
      <c r="A351" s="87" t="s">
        <v>70</v>
      </c>
      <c r="B351" s="87" t="s">
        <v>281</v>
      </c>
      <c r="C351" s="87">
        <v>1988</v>
      </c>
      <c r="D351" s="87" t="s">
        <v>18</v>
      </c>
      <c r="E351" s="116">
        <v>-1</v>
      </c>
      <c r="F351" s="87" t="s">
        <v>848</v>
      </c>
      <c r="G351" s="87" t="s">
        <v>967</v>
      </c>
      <c r="H351" s="87" t="s">
        <v>848</v>
      </c>
      <c r="I351" s="87">
        <v>81</v>
      </c>
    </row>
    <row r="352" spans="1:9" ht="15" customHeight="1" x14ac:dyDescent="0.25">
      <c r="A352" s="87" t="s">
        <v>70</v>
      </c>
      <c r="B352" s="87" t="s">
        <v>281</v>
      </c>
      <c r="C352" s="87">
        <v>1989</v>
      </c>
      <c r="D352" s="87" t="s">
        <v>18</v>
      </c>
      <c r="E352" s="116">
        <v>-1</v>
      </c>
      <c r="F352" s="87" t="s">
        <v>848</v>
      </c>
      <c r="G352" s="87" t="s">
        <v>967</v>
      </c>
      <c r="H352" s="87" t="s">
        <v>848</v>
      </c>
      <c r="I352" s="87">
        <v>81</v>
      </c>
    </row>
    <row r="353" spans="1:9" ht="15" customHeight="1" x14ac:dyDescent="0.25">
      <c r="A353" s="87" t="s">
        <v>70</v>
      </c>
      <c r="B353" s="87" t="s">
        <v>281</v>
      </c>
      <c r="C353" s="87">
        <v>1990</v>
      </c>
      <c r="D353" s="87" t="s">
        <v>18</v>
      </c>
      <c r="E353" s="116">
        <v>-1</v>
      </c>
      <c r="F353" s="87" t="s">
        <v>848</v>
      </c>
      <c r="G353" s="87" t="s">
        <v>967</v>
      </c>
      <c r="H353" s="87" t="s">
        <v>848</v>
      </c>
      <c r="I353" s="87">
        <v>81</v>
      </c>
    </row>
    <row r="354" spans="1:9" ht="15" customHeight="1" x14ac:dyDescent="0.25">
      <c r="A354" s="87" t="s">
        <v>70</v>
      </c>
      <c r="B354" s="87" t="s">
        <v>281</v>
      </c>
      <c r="C354" s="87">
        <v>1991</v>
      </c>
      <c r="D354" s="87" t="s">
        <v>18</v>
      </c>
      <c r="E354" s="116">
        <v>-1</v>
      </c>
      <c r="F354" s="87" t="s">
        <v>848</v>
      </c>
      <c r="G354" s="87" t="s">
        <v>967</v>
      </c>
      <c r="H354" s="87" t="s">
        <v>848</v>
      </c>
      <c r="I354" s="87">
        <v>81</v>
      </c>
    </row>
    <row r="355" spans="1:9" ht="15" customHeight="1" x14ac:dyDescent="0.25">
      <c r="A355" s="87" t="s">
        <v>70</v>
      </c>
      <c r="B355" s="87" t="s">
        <v>281</v>
      </c>
      <c r="C355" s="87">
        <v>1992</v>
      </c>
      <c r="D355" s="87" t="s">
        <v>18</v>
      </c>
      <c r="E355" s="116">
        <v>-1</v>
      </c>
      <c r="F355" s="87" t="s">
        <v>848</v>
      </c>
      <c r="G355" s="87" t="s">
        <v>967</v>
      </c>
      <c r="H355" s="87" t="s">
        <v>848</v>
      </c>
      <c r="I355" s="87">
        <v>81</v>
      </c>
    </row>
    <row r="356" spans="1:9" ht="15" customHeight="1" x14ac:dyDescent="0.25">
      <c r="A356" s="87" t="s">
        <v>70</v>
      </c>
      <c r="B356" s="87" t="s">
        <v>281</v>
      </c>
      <c r="C356" s="87">
        <v>1993</v>
      </c>
      <c r="D356" s="87" t="s">
        <v>18</v>
      </c>
      <c r="E356" s="116">
        <v>-1</v>
      </c>
      <c r="F356" s="87" t="s">
        <v>848</v>
      </c>
      <c r="G356" s="87" t="s">
        <v>967</v>
      </c>
      <c r="H356" s="87" t="s">
        <v>848</v>
      </c>
      <c r="I356" s="87">
        <v>81</v>
      </c>
    </row>
    <row r="357" spans="1:9" ht="15" customHeight="1" x14ac:dyDescent="0.25">
      <c r="A357" s="87" t="s">
        <v>70</v>
      </c>
      <c r="B357" s="87" t="s">
        <v>281</v>
      </c>
      <c r="C357" s="87">
        <v>1994</v>
      </c>
      <c r="D357" s="87" t="s">
        <v>18</v>
      </c>
      <c r="E357" s="116">
        <v>-1</v>
      </c>
      <c r="F357" s="87" t="s">
        <v>848</v>
      </c>
      <c r="G357" s="87" t="s">
        <v>967</v>
      </c>
      <c r="H357" s="87" t="s">
        <v>848</v>
      </c>
      <c r="I357" s="87">
        <v>81</v>
      </c>
    </row>
    <row r="358" spans="1:9" ht="15" customHeight="1" x14ac:dyDescent="0.25">
      <c r="A358" s="87" t="s">
        <v>70</v>
      </c>
      <c r="B358" s="87" t="s">
        <v>281</v>
      </c>
      <c r="C358" s="87">
        <v>1995</v>
      </c>
      <c r="D358" s="87" t="s">
        <v>18</v>
      </c>
      <c r="E358" s="116">
        <v>-1</v>
      </c>
      <c r="F358" s="87" t="s">
        <v>848</v>
      </c>
      <c r="G358" s="87" t="s">
        <v>967</v>
      </c>
      <c r="H358" s="87" t="s">
        <v>848</v>
      </c>
      <c r="I358" s="87">
        <v>81</v>
      </c>
    </row>
    <row r="359" spans="1:9" ht="15" customHeight="1" x14ac:dyDescent="0.25">
      <c r="A359" s="87" t="s">
        <v>70</v>
      </c>
      <c r="B359" s="87" t="s">
        <v>281</v>
      </c>
      <c r="C359" s="87">
        <v>1996</v>
      </c>
      <c r="D359" s="87" t="s">
        <v>18</v>
      </c>
      <c r="E359" s="116">
        <v>-1</v>
      </c>
      <c r="F359" s="87" t="s">
        <v>848</v>
      </c>
      <c r="G359" s="87" t="s">
        <v>967</v>
      </c>
      <c r="H359" s="87" t="s">
        <v>848</v>
      </c>
      <c r="I359" s="87">
        <v>81</v>
      </c>
    </row>
    <row r="360" spans="1:9" ht="15" customHeight="1" x14ac:dyDescent="0.25">
      <c r="A360" s="87" t="s">
        <v>70</v>
      </c>
      <c r="B360" s="87" t="s">
        <v>281</v>
      </c>
      <c r="C360" s="87">
        <v>1997</v>
      </c>
      <c r="D360" s="87" t="s">
        <v>18</v>
      </c>
      <c r="E360" s="116">
        <v>-1</v>
      </c>
      <c r="F360" s="87" t="s">
        <v>848</v>
      </c>
      <c r="G360" s="87" t="s">
        <v>967</v>
      </c>
      <c r="H360" s="87" t="s">
        <v>848</v>
      </c>
      <c r="I360" s="87">
        <v>81</v>
      </c>
    </row>
    <row r="361" spans="1:9" ht="15" customHeight="1" x14ac:dyDescent="0.25">
      <c r="A361" s="87" t="s">
        <v>70</v>
      </c>
      <c r="B361" s="87" t="s">
        <v>281</v>
      </c>
      <c r="C361" s="87">
        <v>1998</v>
      </c>
      <c r="D361" s="87" t="s">
        <v>18</v>
      </c>
      <c r="E361" s="116">
        <v>-1</v>
      </c>
      <c r="F361" s="87" t="s">
        <v>848</v>
      </c>
      <c r="G361" s="87" t="s">
        <v>967</v>
      </c>
      <c r="H361" s="87" t="s">
        <v>848</v>
      </c>
      <c r="I361" s="87">
        <v>81</v>
      </c>
    </row>
    <row r="362" spans="1:9" ht="15" customHeight="1" x14ac:dyDescent="0.25">
      <c r="A362" s="87" t="s">
        <v>70</v>
      </c>
      <c r="B362" s="87" t="s">
        <v>281</v>
      </c>
      <c r="C362" s="87">
        <v>1999</v>
      </c>
      <c r="D362" s="87" t="s">
        <v>18</v>
      </c>
      <c r="E362" s="116">
        <v>-1</v>
      </c>
      <c r="F362" s="87" t="s">
        <v>848</v>
      </c>
      <c r="G362" s="87" t="s">
        <v>967</v>
      </c>
      <c r="H362" s="87" t="s">
        <v>848</v>
      </c>
      <c r="I362" s="87">
        <v>81</v>
      </c>
    </row>
    <row r="363" spans="1:9" ht="15" customHeight="1" x14ac:dyDescent="0.25">
      <c r="A363" s="87" t="s">
        <v>70</v>
      </c>
      <c r="B363" s="87" t="s">
        <v>281</v>
      </c>
      <c r="C363" s="87">
        <v>2000</v>
      </c>
      <c r="D363" s="87" t="s">
        <v>18</v>
      </c>
      <c r="E363" s="116">
        <v>-1</v>
      </c>
      <c r="F363" s="87" t="s">
        <v>848</v>
      </c>
      <c r="G363" s="87" t="s">
        <v>967</v>
      </c>
      <c r="H363" s="87" t="s">
        <v>848</v>
      </c>
      <c r="I363" s="87">
        <v>81</v>
      </c>
    </row>
    <row r="364" spans="1:9" ht="15" customHeight="1" x14ac:dyDescent="0.25">
      <c r="A364" s="87" t="s">
        <v>70</v>
      </c>
      <c r="B364" s="87" t="s">
        <v>281</v>
      </c>
      <c r="C364" s="87">
        <v>2001</v>
      </c>
      <c r="D364" s="87" t="s">
        <v>18</v>
      </c>
      <c r="E364" s="116">
        <v>-1</v>
      </c>
      <c r="F364" s="87" t="s">
        <v>848</v>
      </c>
      <c r="G364" s="87" t="s">
        <v>967</v>
      </c>
      <c r="H364" s="87" t="s">
        <v>848</v>
      </c>
      <c r="I364" s="87">
        <v>81</v>
      </c>
    </row>
    <row r="365" spans="1:9" ht="15" customHeight="1" x14ac:dyDescent="0.25">
      <c r="A365" s="87" t="s">
        <v>70</v>
      </c>
      <c r="B365" s="87" t="s">
        <v>281</v>
      </c>
      <c r="C365" s="87">
        <v>2002</v>
      </c>
      <c r="D365" s="87" t="s">
        <v>18</v>
      </c>
      <c r="E365" s="116">
        <v>0</v>
      </c>
      <c r="F365" s="87" t="s">
        <v>848</v>
      </c>
      <c r="G365" s="87" t="s">
        <v>332</v>
      </c>
      <c r="H365" s="87" t="s">
        <v>848</v>
      </c>
      <c r="I365" s="87">
        <v>81</v>
      </c>
    </row>
    <row r="366" spans="1:9" ht="15" customHeight="1" x14ac:dyDescent="0.25">
      <c r="A366" s="87" t="s">
        <v>70</v>
      </c>
      <c r="B366" s="87" t="s">
        <v>281</v>
      </c>
      <c r="C366" s="87">
        <v>2003</v>
      </c>
      <c r="D366" s="87" t="s">
        <v>18</v>
      </c>
      <c r="E366" s="116">
        <v>0</v>
      </c>
      <c r="F366" s="87" t="s">
        <v>848</v>
      </c>
      <c r="G366" s="87" t="s">
        <v>332</v>
      </c>
      <c r="H366" s="87" t="s">
        <v>848</v>
      </c>
      <c r="I366" s="87">
        <v>81</v>
      </c>
    </row>
    <row r="367" spans="1:9" ht="15" customHeight="1" x14ac:dyDescent="0.25">
      <c r="A367" s="87" t="s">
        <v>70</v>
      </c>
      <c r="B367" s="87" t="s">
        <v>281</v>
      </c>
      <c r="C367" s="87">
        <v>2004</v>
      </c>
      <c r="D367" s="87" t="s">
        <v>18</v>
      </c>
      <c r="E367" s="116">
        <v>1</v>
      </c>
      <c r="F367" s="87" t="s">
        <v>848</v>
      </c>
      <c r="G367" s="87" t="s">
        <v>332</v>
      </c>
      <c r="H367" s="87" t="s">
        <v>848</v>
      </c>
      <c r="I367" s="87">
        <v>81</v>
      </c>
    </row>
    <row r="368" spans="1:9" ht="15" customHeight="1" x14ac:dyDescent="0.25">
      <c r="A368" s="87" t="s">
        <v>70</v>
      </c>
      <c r="B368" s="87" t="s">
        <v>281</v>
      </c>
      <c r="C368" s="87">
        <v>2005</v>
      </c>
      <c r="D368" s="87" t="s">
        <v>18</v>
      </c>
      <c r="E368" s="116">
        <v>0</v>
      </c>
      <c r="F368" s="87" t="s">
        <v>848</v>
      </c>
      <c r="G368" s="87" t="s">
        <v>332</v>
      </c>
      <c r="H368" s="87" t="s">
        <v>848</v>
      </c>
      <c r="I368" s="87">
        <v>81</v>
      </c>
    </row>
    <row r="369" spans="1:9" ht="15" customHeight="1" x14ac:dyDescent="0.25">
      <c r="A369" s="87" t="s">
        <v>70</v>
      </c>
      <c r="B369" s="87" t="s">
        <v>281</v>
      </c>
      <c r="C369" s="87">
        <v>2006</v>
      </c>
      <c r="D369" s="87" t="s">
        <v>18</v>
      </c>
      <c r="E369" s="116">
        <v>0</v>
      </c>
      <c r="F369" s="87" t="s">
        <v>848</v>
      </c>
      <c r="G369" s="87" t="s">
        <v>332</v>
      </c>
      <c r="H369" s="87" t="s">
        <v>848</v>
      </c>
      <c r="I369" s="87">
        <v>81</v>
      </c>
    </row>
    <row r="370" spans="1:9" ht="15" customHeight="1" x14ac:dyDescent="0.25">
      <c r="A370" s="87" t="s">
        <v>70</v>
      </c>
      <c r="B370" s="87" t="s">
        <v>281</v>
      </c>
      <c r="C370" s="87">
        <v>2007</v>
      </c>
      <c r="D370" s="87" t="s">
        <v>18</v>
      </c>
      <c r="E370" s="116">
        <v>-1</v>
      </c>
      <c r="F370" s="87" t="s">
        <v>848</v>
      </c>
      <c r="G370" s="87" t="s">
        <v>967</v>
      </c>
      <c r="H370" s="87" t="s">
        <v>848</v>
      </c>
      <c r="I370" s="87">
        <v>81</v>
      </c>
    </row>
    <row r="371" spans="1:9" ht="15" customHeight="1" x14ac:dyDescent="0.25">
      <c r="A371" s="87" t="s">
        <v>70</v>
      </c>
      <c r="B371" s="87" t="s">
        <v>281</v>
      </c>
      <c r="C371" s="87">
        <v>2008</v>
      </c>
      <c r="D371" s="87" t="s">
        <v>18</v>
      </c>
      <c r="E371" s="116">
        <v>0</v>
      </c>
      <c r="F371" s="87" t="s">
        <v>848</v>
      </c>
      <c r="G371" s="87" t="s">
        <v>332</v>
      </c>
      <c r="H371" s="87" t="s">
        <v>848</v>
      </c>
      <c r="I371" s="87">
        <v>81</v>
      </c>
    </row>
    <row r="372" spans="1:9" ht="15" customHeight="1" x14ac:dyDescent="0.25">
      <c r="A372" s="87" t="s">
        <v>70</v>
      </c>
      <c r="B372" s="87" t="s">
        <v>281</v>
      </c>
      <c r="C372" s="87">
        <v>2009</v>
      </c>
      <c r="D372" s="87" t="s">
        <v>18</v>
      </c>
      <c r="E372" s="116">
        <v>-1</v>
      </c>
      <c r="F372" s="87" t="s">
        <v>848</v>
      </c>
      <c r="G372" s="87" t="s">
        <v>967</v>
      </c>
      <c r="H372" s="87" t="s">
        <v>848</v>
      </c>
      <c r="I372" s="87">
        <v>81</v>
      </c>
    </row>
    <row r="373" spans="1:9" ht="15" customHeight="1" x14ac:dyDescent="0.25">
      <c r="A373" s="87" t="s">
        <v>70</v>
      </c>
      <c r="B373" s="87" t="s">
        <v>281</v>
      </c>
      <c r="C373" s="87">
        <v>2010</v>
      </c>
      <c r="D373" s="87" t="s">
        <v>18</v>
      </c>
      <c r="E373" s="116">
        <v>-1</v>
      </c>
      <c r="F373" s="87" t="s">
        <v>848</v>
      </c>
      <c r="G373" s="87" t="s">
        <v>967</v>
      </c>
      <c r="H373" s="87" t="s">
        <v>848</v>
      </c>
      <c r="I373" s="87">
        <v>81</v>
      </c>
    </row>
    <row r="374" spans="1:9" ht="15" customHeight="1" x14ac:dyDescent="0.25">
      <c r="A374" s="87" t="s">
        <v>70</v>
      </c>
      <c r="B374" s="87" t="s">
        <v>281</v>
      </c>
      <c r="C374" s="87">
        <v>2011</v>
      </c>
      <c r="D374" s="87" t="s">
        <v>18</v>
      </c>
      <c r="E374" s="116">
        <v>-1</v>
      </c>
      <c r="F374" s="87" t="s">
        <v>848</v>
      </c>
      <c r="G374" s="87" t="s">
        <v>967</v>
      </c>
      <c r="H374" s="87" t="s">
        <v>848</v>
      </c>
      <c r="I374" s="87">
        <v>81</v>
      </c>
    </row>
    <row r="375" spans="1:9" ht="15" customHeight="1" x14ac:dyDescent="0.25">
      <c r="A375" s="87" t="s">
        <v>70</v>
      </c>
      <c r="B375" s="87" t="s">
        <v>281</v>
      </c>
      <c r="C375" s="87">
        <v>2012</v>
      </c>
      <c r="D375" s="87" t="s">
        <v>18</v>
      </c>
      <c r="E375" s="116">
        <v>-1</v>
      </c>
      <c r="F375" s="87" t="s">
        <v>848</v>
      </c>
      <c r="G375" s="87" t="s">
        <v>967</v>
      </c>
      <c r="H375" s="87" t="s">
        <v>848</v>
      </c>
      <c r="I375" s="87">
        <v>81</v>
      </c>
    </row>
    <row r="376" spans="1:9" ht="15" customHeight="1" x14ac:dyDescent="0.25">
      <c r="A376" s="87" t="s">
        <v>70</v>
      </c>
      <c r="B376" s="87" t="s">
        <v>281</v>
      </c>
      <c r="C376" s="87">
        <v>2013</v>
      </c>
      <c r="D376" s="87" t="s">
        <v>18</v>
      </c>
      <c r="E376" s="116">
        <v>-1</v>
      </c>
      <c r="F376" s="87" t="s">
        <v>848</v>
      </c>
      <c r="G376" s="87" t="s">
        <v>967</v>
      </c>
      <c r="H376" s="87" t="s">
        <v>848</v>
      </c>
      <c r="I376" s="87">
        <v>81</v>
      </c>
    </row>
    <row r="377" spans="1:9" ht="15" customHeight="1" x14ac:dyDescent="0.25">
      <c r="A377" s="87" t="s">
        <v>70</v>
      </c>
      <c r="B377" s="87" t="s">
        <v>281</v>
      </c>
      <c r="C377" s="87">
        <v>2014</v>
      </c>
      <c r="D377" s="87" t="s">
        <v>18</v>
      </c>
      <c r="E377" s="116">
        <v>-1</v>
      </c>
      <c r="F377" s="87" t="s">
        <v>848</v>
      </c>
      <c r="G377" s="87" t="s">
        <v>967</v>
      </c>
      <c r="H377" s="87" t="s">
        <v>848</v>
      </c>
      <c r="I377" s="87">
        <v>81</v>
      </c>
    </row>
    <row r="378" spans="1:9" ht="15" customHeight="1" x14ac:dyDescent="0.25">
      <c r="A378" s="87" t="s">
        <v>70</v>
      </c>
      <c r="B378" s="87" t="s">
        <v>281</v>
      </c>
      <c r="C378" s="87">
        <v>2015</v>
      </c>
      <c r="D378" s="87" t="s">
        <v>18</v>
      </c>
      <c r="E378" s="116">
        <v>-1</v>
      </c>
      <c r="F378" s="87" t="s">
        <v>967</v>
      </c>
      <c r="G378" s="87" t="s">
        <v>967</v>
      </c>
      <c r="H378" s="87" t="s">
        <v>967</v>
      </c>
      <c r="I378" s="87">
        <v>81</v>
      </c>
    </row>
    <row r="379" spans="1:9" ht="15" customHeight="1" x14ac:dyDescent="0.25">
      <c r="A379" s="87" t="s">
        <v>70</v>
      </c>
      <c r="B379" s="87" t="s">
        <v>281</v>
      </c>
      <c r="C379" s="87">
        <v>2016</v>
      </c>
      <c r="D379" s="87" t="s">
        <v>18</v>
      </c>
      <c r="E379" s="116">
        <v>0</v>
      </c>
      <c r="F379" s="87" t="s">
        <v>967</v>
      </c>
      <c r="G379" s="87" t="s">
        <v>274</v>
      </c>
      <c r="H379" s="87" t="s">
        <v>849</v>
      </c>
      <c r="I379" s="87">
        <v>81</v>
      </c>
    </row>
    <row r="380" spans="1:9" ht="15" customHeight="1" x14ac:dyDescent="0.25">
      <c r="A380" s="87" t="s">
        <v>70</v>
      </c>
      <c r="B380" s="87" t="s">
        <v>281</v>
      </c>
      <c r="C380" s="87">
        <v>2017</v>
      </c>
      <c r="D380" s="87" t="s">
        <v>18</v>
      </c>
      <c r="E380" s="116">
        <v>0</v>
      </c>
      <c r="F380" s="87" t="s">
        <v>967</v>
      </c>
      <c r="G380" s="87" t="s">
        <v>967</v>
      </c>
      <c r="H380" s="87" t="s">
        <v>967</v>
      </c>
      <c r="I380" s="87">
        <v>81</v>
      </c>
    </row>
    <row r="381" spans="1:9" ht="15" customHeight="1" x14ac:dyDescent="0.25">
      <c r="A381" s="87" t="s">
        <v>70</v>
      </c>
      <c r="B381" s="87" t="s">
        <v>281</v>
      </c>
      <c r="C381" s="87">
        <v>2018</v>
      </c>
      <c r="D381" s="87" t="s">
        <v>18</v>
      </c>
      <c r="E381" s="116">
        <v>0</v>
      </c>
      <c r="F381" s="87" t="s">
        <v>967</v>
      </c>
      <c r="G381" s="87" t="s">
        <v>272</v>
      </c>
      <c r="H381" s="87" t="s">
        <v>920</v>
      </c>
      <c r="I381" s="87">
        <v>81</v>
      </c>
    </row>
    <row r="382" spans="1:9" ht="15" customHeight="1" x14ac:dyDescent="0.25">
      <c r="A382" s="87" t="s">
        <v>70</v>
      </c>
      <c r="B382" s="87" t="s">
        <v>281</v>
      </c>
      <c r="C382" s="87">
        <v>2019</v>
      </c>
      <c r="D382" s="87" t="s">
        <v>18</v>
      </c>
      <c r="E382" s="116">
        <v>0</v>
      </c>
      <c r="F382" s="87" t="s">
        <v>967</v>
      </c>
      <c r="G382" s="87" t="s">
        <v>272</v>
      </c>
      <c r="H382" s="87" t="s">
        <v>973</v>
      </c>
      <c r="I382" s="87">
        <v>81</v>
      </c>
    </row>
    <row r="383" spans="1:9" ht="15" customHeight="1" x14ac:dyDescent="0.25">
      <c r="A383" s="87" t="s">
        <v>70</v>
      </c>
      <c r="B383" s="87" t="s">
        <v>281</v>
      </c>
      <c r="C383" s="87">
        <v>2020</v>
      </c>
      <c r="D383" s="87" t="s">
        <v>18</v>
      </c>
      <c r="E383" s="116">
        <v>0</v>
      </c>
      <c r="F383" s="87" t="s">
        <v>967</v>
      </c>
      <c r="G383" s="87" t="s">
        <v>967</v>
      </c>
      <c r="H383" s="87" t="s">
        <v>967</v>
      </c>
      <c r="I383" s="87">
        <v>81</v>
      </c>
    </row>
    <row r="384" spans="1:9" ht="15" customHeight="1" x14ac:dyDescent="0.25">
      <c r="A384" s="87" t="s">
        <v>70</v>
      </c>
      <c r="B384" s="87" t="s">
        <v>281</v>
      </c>
      <c r="C384" s="87">
        <v>2021</v>
      </c>
      <c r="D384" s="87" t="s">
        <v>18</v>
      </c>
      <c r="E384" s="116">
        <v>-1</v>
      </c>
      <c r="F384" s="87" t="s">
        <v>967</v>
      </c>
      <c r="G384" s="87" t="s">
        <v>967</v>
      </c>
      <c r="H384" s="87" t="s">
        <v>967</v>
      </c>
      <c r="I384" s="87">
        <v>81</v>
      </c>
    </row>
    <row r="385" spans="1:9" ht="15" customHeight="1" x14ac:dyDescent="0.25">
      <c r="A385" s="87" t="s">
        <v>70</v>
      </c>
      <c r="B385" s="87" t="s">
        <v>281</v>
      </c>
      <c r="C385" s="87">
        <v>2022</v>
      </c>
      <c r="D385" s="87" t="s">
        <v>18</v>
      </c>
      <c r="E385" s="116">
        <v>0</v>
      </c>
      <c r="F385" s="87" t="s">
        <v>967</v>
      </c>
      <c r="G385" s="87" t="s">
        <v>272</v>
      </c>
      <c r="H385" s="87" t="s">
        <v>967</v>
      </c>
      <c r="I385" s="87">
        <v>81</v>
      </c>
    </row>
    <row r="386" spans="1:9" ht="15" customHeight="1" x14ac:dyDescent="0.25">
      <c r="A386" s="87" t="s">
        <v>76</v>
      </c>
      <c r="B386" s="87" t="s">
        <v>166</v>
      </c>
      <c r="C386" s="87">
        <v>1975</v>
      </c>
      <c r="D386" s="87" t="s">
        <v>9</v>
      </c>
      <c r="E386" s="116">
        <v>75</v>
      </c>
      <c r="F386" s="87" t="s">
        <v>508</v>
      </c>
      <c r="G386" s="87" t="s">
        <v>967</v>
      </c>
      <c r="H386" s="87" t="s">
        <v>508</v>
      </c>
      <c r="I386" s="87">
        <v>58</v>
      </c>
    </row>
    <row r="387" spans="1:9" ht="15" customHeight="1" x14ac:dyDescent="0.25">
      <c r="A387" s="87" t="s">
        <v>76</v>
      </c>
      <c r="B387" s="87" t="s">
        <v>166</v>
      </c>
      <c r="C387" s="87">
        <v>1976</v>
      </c>
      <c r="D387" s="87" t="s">
        <v>9</v>
      </c>
      <c r="E387" s="116">
        <v>25</v>
      </c>
      <c r="F387" s="87" t="s">
        <v>508</v>
      </c>
      <c r="G387" s="87" t="s">
        <v>967</v>
      </c>
      <c r="H387" s="87" t="s">
        <v>508</v>
      </c>
      <c r="I387" s="87">
        <v>58</v>
      </c>
    </row>
    <row r="388" spans="1:9" ht="15" customHeight="1" x14ac:dyDescent="0.25">
      <c r="A388" s="87" t="s">
        <v>76</v>
      </c>
      <c r="B388" s="87" t="s">
        <v>166</v>
      </c>
      <c r="C388" s="87">
        <v>1977</v>
      </c>
      <c r="D388" s="87" t="s">
        <v>9</v>
      </c>
      <c r="E388" s="116">
        <v>200</v>
      </c>
      <c r="F388" s="87" t="s">
        <v>508</v>
      </c>
      <c r="G388" s="87" t="s">
        <v>967</v>
      </c>
      <c r="H388" s="87" t="s">
        <v>508</v>
      </c>
      <c r="I388" s="87">
        <v>58</v>
      </c>
    </row>
    <row r="389" spans="1:9" ht="15" customHeight="1" x14ac:dyDescent="0.25">
      <c r="A389" s="87" t="s">
        <v>76</v>
      </c>
      <c r="B389" s="87" t="s">
        <v>166</v>
      </c>
      <c r="C389" s="87">
        <v>1978</v>
      </c>
      <c r="D389" s="87" t="s">
        <v>9</v>
      </c>
      <c r="E389" s="116">
        <v>150</v>
      </c>
      <c r="F389" s="87" t="s">
        <v>508</v>
      </c>
      <c r="G389" s="87" t="s">
        <v>967</v>
      </c>
      <c r="H389" s="87" t="s">
        <v>508</v>
      </c>
      <c r="I389" s="87">
        <v>58</v>
      </c>
    </row>
    <row r="390" spans="1:9" ht="15" customHeight="1" x14ac:dyDescent="0.25">
      <c r="A390" s="87" t="s">
        <v>76</v>
      </c>
      <c r="B390" s="87" t="s">
        <v>166</v>
      </c>
      <c r="C390" s="87">
        <v>1979</v>
      </c>
      <c r="D390" s="87" t="s">
        <v>9</v>
      </c>
      <c r="E390" s="116">
        <v>75</v>
      </c>
      <c r="F390" s="87" t="s">
        <v>508</v>
      </c>
      <c r="G390" s="87" t="s">
        <v>967</v>
      </c>
      <c r="H390" s="87" t="s">
        <v>508</v>
      </c>
      <c r="I390" s="87">
        <v>58</v>
      </c>
    </row>
    <row r="391" spans="1:9" ht="15" customHeight="1" x14ac:dyDescent="0.25">
      <c r="A391" s="87" t="s">
        <v>76</v>
      </c>
      <c r="B391" s="87" t="s">
        <v>166</v>
      </c>
      <c r="C391" s="87">
        <v>1980</v>
      </c>
      <c r="D391" s="87" t="s">
        <v>9</v>
      </c>
      <c r="E391" s="116">
        <v>100</v>
      </c>
      <c r="F391" s="87" t="s">
        <v>508</v>
      </c>
      <c r="G391" s="87" t="s">
        <v>967</v>
      </c>
      <c r="H391" s="87" t="s">
        <v>508</v>
      </c>
      <c r="I391" s="87">
        <v>58</v>
      </c>
    </row>
    <row r="392" spans="1:9" ht="15" customHeight="1" x14ac:dyDescent="0.25">
      <c r="A392" s="87" t="s">
        <v>76</v>
      </c>
      <c r="B392" s="87" t="s">
        <v>166</v>
      </c>
      <c r="C392" s="87">
        <v>1981</v>
      </c>
      <c r="D392" s="87" t="s">
        <v>9</v>
      </c>
      <c r="E392" s="116">
        <v>20</v>
      </c>
      <c r="F392" s="87" t="s">
        <v>508</v>
      </c>
      <c r="G392" s="87" t="s">
        <v>967</v>
      </c>
      <c r="H392" s="87" t="s">
        <v>508</v>
      </c>
      <c r="I392" s="87">
        <v>58</v>
      </c>
    </row>
    <row r="393" spans="1:9" ht="15" customHeight="1" x14ac:dyDescent="0.25">
      <c r="A393" s="87" t="s">
        <v>76</v>
      </c>
      <c r="B393" s="87" t="s">
        <v>166</v>
      </c>
      <c r="C393" s="87">
        <v>1982</v>
      </c>
      <c r="D393" s="87" t="s">
        <v>9</v>
      </c>
      <c r="E393" s="116">
        <v>50</v>
      </c>
      <c r="F393" s="87" t="s">
        <v>508</v>
      </c>
      <c r="G393" s="87" t="s">
        <v>967</v>
      </c>
      <c r="H393" s="87" t="s">
        <v>508</v>
      </c>
      <c r="I393" s="87">
        <v>58</v>
      </c>
    </row>
    <row r="394" spans="1:9" ht="15" customHeight="1" x14ac:dyDescent="0.25">
      <c r="A394" s="87" t="s">
        <v>76</v>
      </c>
      <c r="B394" s="87" t="s">
        <v>166</v>
      </c>
      <c r="C394" s="87">
        <v>1983</v>
      </c>
      <c r="D394" s="87" t="s">
        <v>9</v>
      </c>
      <c r="E394" s="116">
        <v>50</v>
      </c>
      <c r="F394" s="87" t="s">
        <v>508</v>
      </c>
      <c r="G394" s="87" t="s">
        <v>967</v>
      </c>
      <c r="H394" s="87" t="s">
        <v>508</v>
      </c>
      <c r="I394" s="87">
        <v>58</v>
      </c>
    </row>
    <row r="395" spans="1:9" ht="15" customHeight="1" x14ac:dyDescent="0.25">
      <c r="A395" s="87" t="s">
        <v>76</v>
      </c>
      <c r="B395" s="87" t="s">
        <v>166</v>
      </c>
      <c r="C395" s="87">
        <v>1984</v>
      </c>
      <c r="D395" s="87" t="s">
        <v>9</v>
      </c>
      <c r="E395" s="116">
        <v>30</v>
      </c>
      <c r="F395" s="87" t="s">
        <v>508</v>
      </c>
      <c r="G395" s="87" t="s">
        <v>967</v>
      </c>
      <c r="H395" s="87" t="s">
        <v>508</v>
      </c>
      <c r="I395" s="87">
        <v>58</v>
      </c>
    </row>
    <row r="396" spans="1:9" ht="15" customHeight="1" x14ac:dyDescent="0.25">
      <c r="A396" s="87" t="s">
        <v>76</v>
      </c>
      <c r="B396" s="87" t="s">
        <v>166</v>
      </c>
      <c r="C396" s="87">
        <v>1985</v>
      </c>
      <c r="D396" s="87" t="s">
        <v>9</v>
      </c>
      <c r="E396" s="116">
        <v>200</v>
      </c>
      <c r="F396" s="87" t="s">
        <v>508</v>
      </c>
      <c r="G396" s="87" t="s">
        <v>967</v>
      </c>
      <c r="H396" s="87" t="s">
        <v>508</v>
      </c>
      <c r="I396" s="87">
        <v>58</v>
      </c>
    </row>
    <row r="397" spans="1:9" ht="15" customHeight="1" x14ac:dyDescent="0.25">
      <c r="A397" s="87" t="s">
        <v>76</v>
      </c>
      <c r="B397" s="87" t="s">
        <v>166</v>
      </c>
      <c r="C397" s="87">
        <v>1986</v>
      </c>
      <c r="D397" s="87" t="s">
        <v>9</v>
      </c>
      <c r="E397" s="116">
        <v>110</v>
      </c>
      <c r="F397" s="87" t="s">
        <v>508</v>
      </c>
      <c r="G397" s="87" t="s">
        <v>967</v>
      </c>
      <c r="H397" s="87" t="s">
        <v>508</v>
      </c>
      <c r="I397" s="87">
        <v>58</v>
      </c>
    </row>
    <row r="398" spans="1:9" ht="15" customHeight="1" x14ac:dyDescent="0.25">
      <c r="A398" s="87" t="s">
        <v>76</v>
      </c>
      <c r="B398" s="87" t="s">
        <v>166</v>
      </c>
      <c r="C398" s="87">
        <v>1987</v>
      </c>
      <c r="D398" s="87" t="s">
        <v>9</v>
      </c>
      <c r="E398" s="116">
        <v>4</v>
      </c>
      <c r="F398" s="87" t="s">
        <v>508</v>
      </c>
      <c r="G398" s="87" t="s">
        <v>967</v>
      </c>
      <c r="H398" s="87" t="s">
        <v>508</v>
      </c>
      <c r="I398" s="87">
        <v>58</v>
      </c>
    </row>
    <row r="399" spans="1:9" ht="15" customHeight="1" x14ac:dyDescent="0.25">
      <c r="A399" s="87" t="s">
        <v>76</v>
      </c>
      <c r="B399" s="87" t="s">
        <v>166</v>
      </c>
      <c r="C399" s="87">
        <v>1988</v>
      </c>
      <c r="D399" s="87" t="s">
        <v>9</v>
      </c>
      <c r="E399" s="116">
        <v>67</v>
      </c>
      <c r="F399" s="87" t="s">
        <v>508</v>
      </c>
      <c r="G399" s="87" t="s">
        <v>967</v>
      </c>
      <c r="H399" s="87" t="s">
        <v>508</v>
      </c>
      <c r="I399" s="87">
        <v>58</v>
      </c>
    </row>
    <row r="400" spans="1:9" ht="15" customHeight="1" x14ac:dyDescent="0.25">
      <c r="A400" s="87" t="s">
        <v>76</v>
      </c>
      <c r="B400" s="87" t="s">
        <v>166</v>
      </c>
      <c r="C400" s="87">
        <v>1989</v>
      </c>
      <c r="D400" s="87" t="s">
        <v>9</v>
      </c>
      <c r="E400" s="116">
        <v>50</v>
      </c>
      <c r="F400" s="87" t="s">
        <v>508</v>
      </c>
      <c r="G400" s="87" t="s">
        <v>967</v>
      </c>
      <c r="H400" s="87" t="s">
        <v>508</v>
      </c>
      <c r="I400" s="87">
        <v>58</v>
      </c>
    </row>
    <row r="401" spans="1:9" ht="15" customHeight="1" x14ac:dyDescent="0.25">
      <c r="A401" s="87" t="s">
        <v>76</v>
      </c>
      <c r="B401" s="87" t="s">
        <v>166</v>
      </c>
      <c r="C401" s="87">
        <v>1990</v>
      </c>
      <c r="D401" s="87" t="s">
        <v>9</v>
      </c>
      <c r="E401" s="116">
        <v>25</v>
      </c>
      <c r="F401" s="87" t="s">
        <v>508</v>
      </c>
      <c r="G401" s="87" t="s">
        <v>967</v>
      </c>
      <c r="H401" s="87" t="s">
        <v>508</v>
      </c>
      <c r="I401" s="87">
        <v>58</v>
      </c>
    </row>
    <row r="402" spans="1:9" ht="15" customHeight="1" x14ac:dyDescent="0.25">
      <c r="A402" s="87" t="s">
        <v>76</v>
      </c>
      <c r="B402" s="87" t="s">
        <v>166</v>
      </c>
      <c r="C402" s="87">
        <v>1991</v>
      </c>
      <c r="D402" s="87" t="s">
        <v>9</v>
      </c>
      <c r="E402" s="116">
        <v>-1</v>
      </c>
      <c r="F402" s="87" t="s">
        <v>899</v>
      </c>
      <c r="G402" s="87" t="s">
        <v>272</v>
      </c>
      <c r="H402" s="87" t="s">
        <v>899</v>
      </c>
      <c r="I402" s="87">
        <v>58</v>
      </c>
    </row>
    <row r="403" spans="1:9" ht="15" customHeight="1" x14ac:dyDescent="0.25">
      <c r="A403" s="87" t="s">
        <v>76</v>
      </c>
      <c r="B403" s="87" t="s">
        <v>166</v>
      </c>
      <c r="C403" s="87">
        <v>1992</v>
      </c>
      <c r="D403" s="87" t="s">
        <v>9</v>
      </c>
      <c r="E403" s="116">
        <v>-1</v>
      </c>
      <c r="F403" s="87" t="s">
        <v>899</v>
      </c>
      <c r="G403" s="87" t="s">
        <v>272</v>
      </c>
      <c r="H403" s="87" t="s">
        <v>899</v>
      </c>
      <c r="I403" s="87">
        <v>58</v>
      </c>
    </row>
    <row r="404" spans="1:9" ht="15" customHeight="1" x14ac:dyDescent="0.25">
      <c r="A404" s="87" t="s">
        <v>76</v>
      </c>
      <c r="B404" s="87" t="s">
        <v>166</v>
      </c>
      <c r="C404" s="87">
        <v>1993</v>
      </c>
      <c r="D404" s="87" t="s">
        <v>9</v>
      </c>
      <c r="E404" s="116">
        <v>-1</v>
      </c>
      <c r="F404" s="87" t="s">
        <v>899</v>
      </c>
      <c r="G404" s="87" t="s">
        <v>272</v>
      </c>
      <c r="H404" s="87" t="s">
        <v>899</v>
      </c>
      <c r="I404" s="87">
        <v>58</v>
      </c>
    </row>
    <row r="405" spans="1:9" ht="15" customHeight="1" x14ac:dyDescent="0.25">
      <c r="A405" s="87" t="s">
        <v>76</v>
      </c>
      <c r="B405" s="87" t="s">
        <v>166</v>
      </c>
      <c r="C405" s="87">
        <v>1994</v>
      </c>
      <c r="D405" s="87" t="s">
        <v>9</v>
      </c>
      <c r="E405" s="116">
        <v>-1</v>
      </c>
      <c r="F405" s="87" t="s">
        <v>899</v>
      </c>
      <c r="G405" s="87" t="s">
        <v>272</v>
      </c>
      <c r="H405" s="87" t="s">
        <v>899</v>
      </c>
      <c r="I405" s="87">
        <v>58</v>
      </c>
    </row>
    <row r="406" spans="1:9" ht="15" customHeight="1" x14ac:dyDescent="0.25">
      <c r="A406" s="87" t="s">
        <v>76</v>
      </c>
      <c r="B406" s="87" t="s">
        <v>166</v>
      </c>
      <c r="C406" s="87">
        <v>1995</v>
      </c>
      <c r="D406" s="87" t="s">
        <v>9</v>
      </c>
      <c r="E406" s="116">
        <v>-1</v>
      </c>
      <c r="F406" s="87" t="s">
        <v>899</v>
      </c>
      <c r="G406" s="87" t="s">
        <v>272</v>
      </c>
      <c r="H406" s="87" t="s">
        <v>899</v>
      </c>
      <c r="I406" s="87">
        <v>58</v>
      </c>
    </row>
    <row r="407" spans="1:9" ht="15" customHeight="1" x14ac:dyDescent="0.25">
      <c r="A407" s="87" t="s">
        <v>76</v>
      </c>
      <c r="B407" s="87" t="s">
        <v>166</v>
      </c>
      <c r="C407" s="87">
        <v>1996</v>
      </c>
      <c r="D407" s="87" t="s">
        <v>9</v>
      </c>
      <c r="E407" s="116">
        <v>100</v>
      </c>
      <c r="F407" s="87" t="s">
        <v>586</v>
      </c>
      <c r="G407" s="87" t="s">
        <v>332</v>
      </c>
      <c r="H407" s="87" t="s">
        <v>967</v>
      </c>
      <c r="I407" s="87">
        <v>58</v>
      </c>
    </row>
    <row r="408" spans="1:9" ht="15" customHeight="1" x14ac:dyDescent="0.25">
      <c r="A408" s="87" t="s">
        <v>76</v>
      </c>
      <c r="B408" s="87" t="s">
        <v>166</v>
      </c>
      <c r="C408" s="87">
        <v>1997</v>
      </c>
      <c r="D408" s="87" t="s">
        <v>9</v>
      </c>
      <c r="E408" s="116">
        <v>100</v>
      </c>
      <c r="F408" s="87" t="s">
        <v>586</v>
      </c>
      <c r="G408" s="87" t="s">
        <v>332</v>
      </c>
      <c r="H408" s="87" t="s">
        <v>967</v>
      </c>
      <c r="I408" s="87">
        <v>58</v>
      </c>
    </row>
    <row r="409" spans="1:9" ht="15" customHeight="1" x14ac:dyDescent="0.25">
      <c r="A409" s="87" t="s">
        <v>76</v>
      </c>
      <c r="B409" s="87" t="s">
        <v>166</v>
      </c>
      <c r="C409" s="87">
        <v>1998</v>
      </c>
      <c r="D409" s="87" t="s">
        <v>9</v>
      </c>
      <c r="E409" s="116">
        <v>150</v>
      </c>
      <c r="F409" s="87" t="s">
        <v>967</v>
      </c>
      <c r="G409" s="87" t="s">
        <v>272</v>
      </c>
      <c r="H409" s="87" t="s">
        <v>967</v>
      </c>
      <c r="I409" s="87">
        <v>58</v>
      </c>
    </row>
    <row r="410" spans="1:9" ht="15" customHeight="1" x14ac:dyDescent="0.25">
      <c r="A410" s="87" t="s">
        <v>76</v>
      </c>
      <c r="B410" s="87" t="s">
        <v>166</v>
      </c>
      <c r="C410" s="87">
        <v>1999</v>
      </c>
      <c r="D410" s="87" t="s">
        <v>9</v>
      </c>
      <c r="E410" s="116">
        <v>198</v>
      </c>
      <c r="F410" s="87" t="s">
        <v>967</v>
      </c>
      <c r="G410" s="87" t="s">
        <v>272</v>
      </c>
      <c r="H410" s="87" t="s">
        <v>967</v>
      </c>
      <c r="I410" s="87">
        <v>58</v>
      </c>
    </row>
    <row r="411" spans="1:9" ht="15" customHeight="1" x14ac:dyDescent="0.25">
      <c r="A411" s="87" t="s">
        <v>76</v>
      </c>
      <c r="B411" s="87" t="s">
        <v>166</v>
      </c>
      <c r="C411" s="87">
        <v>2000</v>
      </c>
      <c r="D411" s="87" t="s">
        <v>9</v>
      </c>
      <c r="E411" s="116">
        <v>266</v>
      </c>
      <c r="F411" s="87" t="s">
        <v>967</v>
      </c>
      <c r="G411" s="87" t="s">
        <v>272</v>
      </c>
      <c r="H411" s="87" t="s">
        <v>967</v>
      </c>
      <c r="I411" s="87">
        <v>58</v>
      </c>
    </row>
    <row r="412" spans="1:9" ht="15" customHeight="1" x14ac:dyDescent="0.25">
      <c r="A412" s="87" t="s">
        <v>76</v>
      </c>
      <c r="B412" s="87" t="s">
        <v>166</v>
      </c>
      <c r="C412" s="87">
        <v>2001</v>
      </c>
      <c r="D412" s="87" t="s">
        <v>9</v>
      </c>
      <c r="E412" s="116">
        <v>400</v>
      </c>
      <c r="F412" s="87" t="s">
        <v>967</v>
      </c>
      <c r="G412" s="87" t="s">
        <v>272</v>
      </c>
      <c r="H412" s="87" t="s">
        <v>967</v>
      </c>
      <c r="I412" s="87">
        <v>58</v>
      </c>
    </row>
    <row r="413" spans="1:9" ht="15" customHeight="1" x14ac:dyDescent="0.25">
      <c r="A413" s="87" t="s">
        <v>76</v>
      </c>
      <c r="B413" s="87" t="s">
        <v>166</v>
      </c>
      <c r="C413" s="87">
        <v>2002</v>
      </c>
      <c r="D413" s="87" t="s">
        <v>9</v>
      </c>
      <c r="E413" s="116">
        <v>865</v>
      </c>
      <c r="F413" s="87" t="s">
        <v>967</v>
      </c>
      <c r="G413" s="87" t="s">
        <v>272</v>
      </c>
      <c r="H413" s="87" t="s">
        <v>967</v>
      </c>
      <c r="I413" s="87">
        <v>58</v>
      </c>
    </row>
    <row r="414" spans="1:9" ht="15" customHeight="1" x14ac:dyDescent="0.25">
      <c r="A414" s="87" t="s">
        <v>76</v>
      </c>
      <c r="B414" s="87" t="s">
        <v>166</v>
      </c>
      <c r="C414" s="87">
        <v>2003</v>
      </c>
      <c r="D414" s="87" t="s">
        <v>9</v>
      </c>
      <c r="E414" s="116">
        <v>729</v>
      </c>
      <c r="F414" s="87" t="s">
        <v>967</v>
      </c>
      <c r="G414" s="87" t="s">
        <v>272</v>
      </c>
      <c r="H414" s="87" t="s">
        <v>967</v>
      </c>
      <c r="I414" s="87">
        <v>58</v>
      </c>
    </row>
    <row r="415" spans="1:9" ht="15" customHeight="1" x14ac:dyDescent="0.25">
      <c r="A415" s="87" t="s">
        <v>76</v>
      </c>
      <c r="B415" s="87" t="s">
        <v>166</v>
      </c>
      <c r="C415" s="87">
        <v>2004</v>
      </c>
      <c r="D415" s="87" t="s">
        <v>9</v>
      </c>
      <c r="E415" s="116">
        <v>-1</v>
      </c>
      <c r="F415" s="87" t="s">
        <v>899</v>
      </c>
      <c r="G415" s="87" t="s">
        <v>272</v>
      </c>
      <c r="H415" s="87" t="s">
        <v>1072</v>
      </c>
      <c r="I415" s="87">
        <v>58</v>
      </c>
    </row>
    <row r="416" spans="1:9" ht="15" customHeight="1" x14ac:dyDescent="0.25">
      <c r="A416" s="87" t="s">
        <v>76</v>
      </c>
      <c r="B416" s="87" t="s">
        <v>166</v>
      </c>
      <c r="C416" s="87">
        <v>2005</v>
      </c>
      <c r="D416" s="87" t="s">
        <v>9</v>
      </c>
      <c r="E416" s="116">
        <v>325</v>
      </c>
      <c r="F416" s="87" t="s">
        <v>967</v>
      </c>
      <c r="G416" s="87" t="s">
        <v>272</v>
      </c>
      <c r="H416" s="87" t="s">
        <v>967</v>
      </c>
      <c r="I416" s="87">
        <v>58</v>
      </c>
    </row>
    <row r="417" spans="1:9" ht="15" customHeight="1" x14ac:dyDescent="0.25">
      <c r="A417" s="87" t="s">
        <v>76</v>
      </c>
      <c r="B417" s="87" t="s">
        <v>166</v>
      </c>
      <c r="C417" s="87">
        <v>2006</v>
      </c>
      <c r="D417" s="87" t="s">
        <v>9</v>
      </c>
      <c r="E417" s="116">
        <v>269</v>
      </c>
      <c r="F417" s="87" t="s">
        <v>967</v>
      </c>
      <c r="G417" s="87" t="s">
        <v>272</v>
      </c>
      <c r="H417" s="87" t="s">
        <v>967</v>
      </c>
      <c r="I417" s="87">
        <v>58</v>
      </c>
    </row>
    <row r="418" spans="1:9" ht="15" customHeight="1" x14ac:dyDescent="0.25">
      <c r="A418" s="87" t="s">
        <v>76</v>
      </c>
      <c r="B418" s="87" t="s">
        <v>166</v>
      </c>
      <c r="C418" s="87">
        <v>2007</v>
      </c>
      <c r="D418" s="87" t="s">
        <v>9</v>
      </c>
      <c r="E418" s="116">
        <v>654</v>
      </c>
      <c r="F418" s="87" t="s">
        <v>967</v>
      </c>
      <c r="G418" s="87" t="s">
        <v>272</v>
      </c>
      <c r="H418" s="87" t="s">
        <v>967</v>
      </c>
      <c r="I418" s="87">
        <v>58</v>
      </c>
    </row>
    <row r="419" spans="1:9" ht="15" customHeight="1" x14ac:dyDescent="0.25">
      <c r="A419" s="87" t="s">
        <v>76</v>
      </c>
      <c r="B419" s="87" t="s">
        <v>166</v>
      </c>
      <c r="C419" s="87">
        <v>2008</v>
      </c>
      <c r="D419" s="87" t="s">
        <v>9</v>
      </c>
      <c r="E419" s="116">
        <v>628</v>
      </c>
      <c r="F419" s="87" t="s">
        <v>967</v>
      </c>
      <c r="G419" s="87" t="s">
        <v>272</v>
      </c>
      <c r="H419" s="87" t="s">
        <v>967</v>
      </c>
      <c r="I419" s="87">
        <v>58</v>
      </c>
    </row>
    <row r="420" spans="1:9" ht="15" customHeight="1" x14ac:dyDescent="0.25">
      <c r="A420" s="87" t="s">
        <v>76</v>
      </c>
      <c r="B420" s="87" t="s">
        <v>166</v>
      </c>
      <c r="C420" s="87">
        <v>2009</v>
      </c>
      <c r="D420" s="87" t="s">
        <v>9</v>
      </c>
      <c r="E420" s="116">
        <v>594</v>
      </c>
      <c r="F420" s="87" t="s">
        <v>967</v>
      </c>
      <c r="G420" s="87" t="s">
        <v>272</v>
      </c>
      <c r="H420" s="87" t="s">
        <v>967</v>
      </c>
      <c r="I420" s="87">
        <v>58</v>
      </c>
    </row>
    <row r="421" spans="1:9" ht="15" customHeight="1" x14ac:dyDescent="0.25">
      <c r="A421" s="87" t="s">
        <v>76</v>
      </c>
      <c r="B421" s="87" t="s">
        <v>166</v>
      </c>
      <c r="C421" s="87">
        <v>2010</v>
      </c>
      <c r="D421" s="87" t="s">
        <v>9</v>
      </c>
      <c r="E421" s="116">
        <v>617</v>
      </c>
      <c r="F421" s="87" t="s">
        <v>967</v>
      </c>
      <c r="G421" s="87" t="s">
        <v>272</v>
      </c>
      <c r="H421" s="87" t="s">
        <v>967</v>
      </c>
      <c r="I421" s="87">
        <v>58</v>
      </c>
    </row>
    <row r="422" spans="1:9" ht="15" customHeight="1" x14ac:dyDescent="0.25">
      <c r="A422" s="87" t="s">
        <v>76</v>
      </c>
      <c r="B422" s="87" t="s">
        <v>166</v>
      </c>
      <c r="C422" s="87">
        <v>2011</v>
      </c>
      <c r="D422" s="87" t="s">
        <v>9</v>
      </c>
      <c r="E422" s="116">
        <v>1509</v>
      </c>
      <c r="F422" s="87" t="s">
        <v>967</v>
      </c>
      <c r="G422" s="87" t="s">
        <v>272</v>
      </c>
      <c r="H422" s="87" t="s">
        <v>967</v>
      </c>
      <c r="I422" s="87">
        <v>58</v>
      </c>
    </row>
    <row r="423" spans="1:9" ht="15" customHeight="1" x14ac:dyDescent="0.25">
      <c r="A423" s="87" t="s">
        <v>76</v>
      </c>
      <c r="B423" s="87" t="s">
        <v>166</v>
      </c>
      <c r="C423" s="87">
        <v>2012</v>
      </c>
      <c r="D423" s="87" t="s">
        <v>9</v>
      </c>
      <c r="E423" s="116">
        <v>328</v>
      </c>
      <c r="F423" s="87" t="s">
        <v>967</v>
      </c>
      <c r="G423" s="87" t="s">
        <v>272</v>
      </c>
      <c r="H423" s="87" t="s">
        <v>967</v>
      </c>
      <c r="I423" s="87">
        <v>58</v>
      </c>
    </row>
    <row r="424" spans="1:9" ht="15" customHeight="1" x14ac:dyDescent="0.25">
      <c r="A424" s="87" t="s">
        <v>76</v>
      </c>
      <c r="B424" s="87" t="s">
        <v>166</v>
      </c>
      <c r="C424" s="87">
        <v>2013</v>
      </c>
      <c r="D424" s="87" t="s">
        <v>9</v>
      </c>
      <c r="E424" s="116">
        <v>1043</v>
      </c>
      <c r="F424" s="87" t="s">
        <v>967</v>
      </c>
      <c r="G424" s="87" t="s">
        <v>272</v>
      </c>
      <c r="H424" s="87" t="s">
        <v>967</v>
      </c>
      <c r="I424" s="87">
        <v>58</v>
      </c>
    </row>
    <row r="425" spans="1:9" ht="15" customHeight="1" x14ac:dyDescent="0.25">
      <c r="A425" s="87" t="s">
        <v>76</v>
      </c>
      <c r="B425" s="87" t="s">
        <v>166</v>
      </c>
      <c r="C425" s="87">
        <v>2014</v>
      </c>
      <c r="D425" s="87" t="s">
        <v>9</v>
      </c>
      <c r="E425" s="116">
        <v>346</v>
      </c>
      <c r="F425" s="87" t="s">
        <v>967</v>
      </c>
      <c r="G425" s="87" t="s">
        <v>272</v>
      </c>
      <c r="H425" s="87" t="s">
        <v>967</v>
      </c>
      <c r="I425" s="87">
        <v>58</v>
      </c>
    </row>
    <row r="426" spans="1:9" ht="15" customHeight="1" x14ac:dyDescent="0.25">
      <c r="A426" s="87" t="s">
        <v>76</v>
      </c>
      <c r="B426" s="87" t="s">
        <v>166</v>
      </c>
      <c r="C426" s="87">
        <v>2015</v>
      </c>
      <c r="D426" s="87" t="s">
        <v>9</v>
      </c>
      <c r="E426" s="116">
        <v>1238</v>
      </c>
      <c r="F426" s="87" t="s">
        <v>967</v>
      </c>
      <c r="G426" s="87" t="s">
        <v>274</v>
      </c>
      <c r="H426" s="87" t="s">
        <v>967</v>
      </c>
      <c r="I426" s="87">
        <v>58</v>
      </c>
    </row>
    <row r="427" spans="1:9" ht="15" customHeight="1" x14ac:dyDescent="0.25">
      <c r="A427" s="87" t="s">
        <v>76</v>
      </c>
      <c r="B427" s="87" t="s">
        <v>166</v>
      </c>
      <c r="C427" s="87">
        <v>2016</v>
      </c>
      <c r="D427" s="87" t="s">
        <v>9</v>
      </c>
      <c r="E427" s="116">
        <v>105</v>
      </c>
      <c r="F427" s="87" t="s">
        <v>967</v>
      </c>
      <c r="G427" s="87" t="s">
        <v>274</v>
      </c>
      <c r="H427" s="87" t="s">
        <v>967</v>
      </c>
      <c r="I427" s="87">
        <v>58</v>
      </c>
    </row>
    <row r="428" spans="1:9" ht="15" customHeight="1" x14ac:dyDescent="0.25">
      <c r="A428" s="87" t="s">
        <v>76</v>
      </c>
      <c r="B428" s="87" t="s">
        <v>166</v>
      </c>
      <c r="C428" s="87">
        <v>2017</v>
      </c>
      <c r="D428" s="87" t="s">
        <v>9</v>
      </c>
      <c r="E428" s="116">
        <v>71</v>
      </c>
      <c r="F428" s="87" t="s">
        <v>967</v>
      </c>
      <c r="G428" s="87" t="s">
        <v>967</v>
      </c>
      <c r="H428" s="87" t="s">
        <v>707</v>
      </c>
      <c r="I428" s="87">
        <v>58</v>
      </c>
    </row>
    <row r="429" spans="1:9" ht="15" customHeight="1" x14ac:dyDescent="0.25">
      <c r="A429" s="87" t="s">
        <v>76</v>
      </c>
      <c r="B429" s="87" t="s">
        <v>166</v>
      </c>
      <c r="C429" s="87">
        <v>2018</v>
      </c>
      <c r="D429" s="87" t="s">
        <v>9</v>
      </c>
      <c r="E429" s="116">
        <v>0</v>
      </c>
      <c r="F429" s="87" t="s">
        <v>967</v>
      </c>
      <c r="G429" s="87" t="s">
        <v>274</v>
      </c>
      <c r="H429" s="87" t="s">
        <v>921</v>
      </c>
      <c r="I429" s="87">
        <v>58</v>
      </c>
    </row>
    <row r="430" spans="1:9" ht="15" customHeight="1" x14ac:dyDescent="0.25">
      <c r="A430" s="87" t="s">
        <v>76</v>
      </c>
      <c r="B430" s="87" t="s">
        <v>166</v>
      </c>
      <c r="C430" s="87">
        <v>2019</v>
      </c>
      <c r="D430" s="87" t="s">
        <v>9</v>
      </c>
      <c r="E430" s="116">
        <v>302</v>
      </c>
      <c r="F430" s="87" t="s">
        <v>967</v>
      </c>
      <c r="G430" s="87" t="s">
        <v>274</v>
      </c>
      <c r="H430" s="87" t="s">
        <v>967</v>
      </c>
      <c r="I430" s="87">
        <v>58</v>
      </c>
    </row>
    <row r="431" spans="1:9" ht="15" customHeight="1" x14ac:dyDescent="0.25">
      <c r="A431" s="87" t="s">
        <v>76</v>
      </c>
      <c r="B431" s="87" t="s">
        <v>166</v>
      </c>
      <c r="C431" s="87">
        <v>2020</v>
      </c>
      <c r="D431" s="87" t="s">
        <v>9</v>
      </c>
      <c r="E431" s="116">
        <v>26</v>
      </c>
      <c r="F431" s="87" t="s">
        <v>967</v>
      </c>
      <c r="G431" s="87" t="s">
        <v>274</v>
      </c>
      <c r="H431" s="87" t="s">
        <v>967</v>
      </c>
      <c r="I431" s="87">
        <v>58</v>
      </c>
    </row>
    <row r="432" spans="1:9" ht="15" customHeight="1" x14ac:dyDescent="0.25">
      <c r="A432" s="87" t="s">
        <v>76</v>
      </c>
      <c r="B432" s="87" t="s">
        <v>166</v>
      </c>
      <c r="C432" s="87">
        <v>2021</v>
      </c>
      <c r="D432" s="87" t="s">
        <v>9</v>
      </c>
      <c r="E432" s="116">
        <v>32</v>
      </c>
      <c r="F432" s="87" t="s">
        <v>967</v>
      </c>
      <c r="G432" s="87" t="s">
        <v>272</v>
      </c>
      <c r="H432" s="87" t="s">
        <v>967</v>
      </c>
      <c r="I432" s="87">
        <v>58</v>
      </c>
    </row>
    <row r="433" spans="1:9" ht="15" customHeight="1" x14ac:dyDescent="0.25">
      <c r="A433" s="87" t="s">
        <v>76</v>
      </c>
      <c r="B433" s="87" t="s">
        <v>166</v>
      </c>
      <c r="C433" s="87">
        <v>2022</v>
      </c>
      <c r="D433" s="87" t="s">
        <v>9</v>
      </c>
      <c r="E433" s="116">
        <v>38</v>
      </c>
      <c r="F433" s="87" t="s">
        <v>967</v>
      </c>
      <c r="G433" s="87" t="s">
        <v>274</v>
      </c>
      <c r="H433" s="87" t="s">
        <v>967</v>
      </c>
      <c r="I433" s="87">
        <v>58</v>
      </c>
    </row>
    <row r="434" spans="1:9" ht="15" customHeight="1" x14ac:dyDescent="0.25">
      <c r="A434" s="87" t="s">
        <v>13</v>
      </c>
      <c r="B434" s="87" t="s">
        <v>282</v>
      </c>
      <c r="C434" s="87">
        <v>1975</v>
      </c>
      <c r="D434" s="87" t="s">
        <v>15</v>
      </c>
      <c r="E434" s="116">
        <v>200</v>
      </c>
      <c r="F434" s="87" t="s">
        <v>508</v>
      </c>
      <c r="G434" s="87" t="s">
        <v>967</v>
      </c>
      <c r="H434" s="87" t="s">
        <v>508</v>
      </c>
      <c r="I434" s="87">
        <v>57</v>
      </c>
    </row>
    <row r="435" spans="1:9" ht="15" customHeight="1" x14ac:dyDescent="0.25">
      <c r="A435" s="87" t="s">
        <v>13</v>
      </c>
      <c r="B435" s="87" t="s">
        <v>282</v>
      </c>
      <c r="C435" s="87">
        <v>1976</v>
      </c>
      <c r="D435" s="87" t="s">
        <v>15</v>
      </c>
      <c r="E435" s="116">
        <v>50</v>
      </c>
      <c r="F435" s="87" t="s">
        <v>508</v>
      </c>
      <c r="G435" s="87" t="s">
        <v>967</v>
      </c>
      <c r="H435" s="87" t="s">
        <v>508</v>
      </c>
      <c r="I435" s="87">
        <v>57</v>
      </c>
    </row>
    <row r="436" spans="1:9" ht="15" customHeight="1" x14ac:dyDescent="0.25">
      <c r="A436" s="87" t="s">
        <v>13</v>
      </c>
      <c r="B436" s="87" t="s">
        <v>282</v>
      </c>
      <c r="C436" s="87">
        <v>1977</v>
      </c>
      <c r="D436" s="87" t="s">
        <v>15</v>
      </c>
      <c r="E436" s="116">
        <v>25</v>
      </c>
      <c r="F436" s="87" t="s">
        <v>508</v>
      </c>
      <c r="G436" s="87" t="s">
        <v>967</v>
      </c>
      <c r="H436" s="87" t="s">
        <v>508</v>
      </c>
      <c r="I436" s="87">
        <v>57</v>
      </c>
    </row>
    <row r="437" spans="1:9" ht="15" customHeight="1" x14ac:dyDescent="0.25">
      <c r="A437" s="87" t="s">
        <v>13</v>
      </c>
      <c r="B437" s="87" t="s">
        <v>282</v>
      </c>
      <c r="C437" s="87">
        <v>1978</v>
      </c>
      <c r="D437" s="87" t="s">
        <v>15</v>
      </c>
      <c r="E437" s="116">
        <v>50</v>
      </c>
      <c r="F437" s="87" t="s">
        <v>508</v>
      </c>
      <c r="G437" s="87" t="s">
        <v>967</v>
      </c>
      <c r="H437" s="87" t="s">
        <v>508</v>
      </c>
      <c r="I437" s="87">
        <v>57</v>
      </c>
    </row>
    <row r="438" spans="1:9" ht="15" customHeight="1" x14ac:dyDescent="0.25">
      <c r="A438" s="87" t="s">
        <v>13</v>
      </c>
      <c r="B438" s="87" t="s">
        <v>282</v>
      </c>
      <c r="C438" s="87">
        <v>1979</v>
      </c>
      <c r="D438" s="87" t="s">
        <v>15</v>
      </c>
      <c r="E438" s="116">
        <v>25</v>
      </c>
      <c r="F438" s="87" t="s">
        <v>508</v>
      </c>
      <c r="G438" s="87" t="s">
        <v>967</v>
      </c>
      <c r="H438" s="87" t="s">
        <v>508</v>
      </c>
      <c r="I438" s="87">
        <v>57</v>
      </c>
    </row>
    <row r="439" spans="1:9" ht="15" customHeight="1" x14ac:dyDescent="0.25">
      <c r="A439" s="87" t="s">
        <v>13</v>
      </c>
      <c r="B439" s="87" t="s">
        <v>282</v>
      </c>
      <c r="C439" s="87">
        <v>1980</v>
      </c>
      <c r="D439" s="87" t="s">
        <v>15</v>
      </c>
      <c r="E439" s="116">
        <v>200</v>
      </c>
      <c r="F439" s="87" t="s">
        <v>508</v>
      </c>
      <c r="G439" s="87" t="s">
        <v>967</v>
      </c>
      <c r="H439" s="87" t="s">
        <v>508</v>
      </c>
      <c r="I439" s="87">
        <v>57</v>
      </c>
    </row>
    <row r="440" spans="1:9" ht="15" customHeight="1" x14ac:dyDescent="0.25">
      <c r="A440" s="87" t="s">
        <v>13</v>
      </c>
      <c r="B440" s="87" t="s">
        <v>282</v>
      </c>
      <c r="C440" s="87">
        <v>1981</v>
      </c>
      <c r="D440" s="87" t="s">
        <v>15</v>
      </c>
      <c r="E440" s="116">
        <v>30</v>
      </c>
      <c r="F440" s="87" t="s">
        <v>508</v>
      </c>
      <c r="G440" s="87" t="s">
        <v>967</v>
      </c>
      <c r="H440" s="87" t="s">
        <v>508</v>
      </c>
      <c r="I440" s="87">
        <v>57</v>
      </c>
    </row>
    <row r="441" spans="1:9" ht="15" customHeight="1" x14ac:dyDescent="0.25">
      <c r="A441" s="87" t="s">
        <v>13</v>
      </c>
      <c r="B441" s="87" t="s">
        <v>282</v>
      </c>
      <c r="C441" s="87">
        <v>1982</v>
      </c>
      <c r="D441" s="87" t="s">
        <v>15</v>
      </c>
      <c r="E441" s="116">
        <v>16</v>
      </c>
      <c r="F441" s="87" t="s">
        <v>508</v>
      </c>
      <c r="G441" s="87" t="s">
        <v>967</v>
      </c>
      <c r="H441" s="87" t="s">
        <v>508</v>
      </c>
      <c r="I441" s="87">
        <v>57</v>
      </c>
    </row>
    <row r="442" spans="1:9" ht="15" customHeight="1" x14ac:dyDescent="0.25">
      <c r="A442" s="87" t="s">
        <v>13</v>
      </c>
      <c r="B442" s="87" t="s">
        <v>282</v>
      </c>
      <c r="C442" s="87">
        <v>1983</v>
      </c>
      <c r="D442" s="87" t="s">
        <v>15</v>
      </c>
      <c r="E442" s="116">
        <v>30</v>
      </c>
      <c r="F442" s="87" t="s">
        <v>508</v>
      </c>
      <c r="G442" s="87" t="s">
        <v>967</v>
      </c>
      <c r="H442" s="87" t="s">
        <v>508</v>
      </c>
      <c r="I442" s="87">
        <v>57</v>
      </c>
    </row>
    <row r="443" spans="1:9" ht="15" customHeight="1" x14ac:dyDescent="0.25">
      <c r="A443" s="87" t="s">
        <v>13</v>
      </c>
      <c r="B443" s="87" t="s">
        <v>282</v>
      </c>
      <c r="C443" s="87">
        <v>1984</v>
      </c>
      <c r="D443" s="87" t="s">
        <v>15</v>
      </c>
      <c r="E443" s="116">
        <v>50</v>
      </c>
      <c r="F443" s="87" t="s">
        <v>508</v>
      </c>
      <c r="G443" s="87" t="s">
        <v>967</v>
      </c>
      <c r="H443" s="87" t="s">
        <v>508</v>
      </c>
      <c r="I443" s="87">
        <v>57</v>
      </c>
    </row>
    <row r="444" spans="1:9" ht="15" customHeight="1" x14ac:dyDescent="0.25">
      <c r="A444" s="87" t="s">
        <v>13</v>
      </c>
      <c r="B444" s="87" t="s">
        <v>282</v>
      </c>
      <c r="C444" s="87">
        <v>1985</v>
      </c>
      <c r="D444" s="87" t="s">
        <v>15</v>
      </c>
      <c r="E444" s="116">
        <v>240</v>
      </c>
      <c r="F444" s="87" t="s">
        <v>508</v>
      </c>
      <c r="G444" s="87" t="s">
        <v>967</v>
      </c>
      <c r="H444" s="87" t="s">
        <v>508</v>
      </c>
      <c r="I444" s="87">
        <v>57</v>
      </c>
    </row>
    <row r="445" spans="1:9" ht="15" customHeight="1" x14ac:dyDescent="0.25">
      <c r="A445" s="87" t="s">
        <v>13</v>
      </c>
      <c r="B445" s="87" t="s">
        <v>282</v>
      </c>
      <c r="C445" s="87">
        <v>1986</v>
      </c>
      <c r="D445" s="87" t="s">
        <v>15</v>
      </c>
      <c r="E445" s="116">
        <v>-1</v>
      </c>
      <c r="F445" s="87" t="s">
        <v>508</v>
      </c>
      <c r="G445" s="87" t="s">
        <v>967</v>
      </c>
      <c r="H445" s="87" t="s">
        <v>508</v>
      </c>
      <c r="I445" s="87">
        <v>57</v>
      </c>
    </row>
    <row r="446" spans="1:9" ht="15" customHeight="1" x14ac:dyDescent="0.25">
      <c r="A446" s="87" t="s">
        <v>13</v>
      </c>
      <c r="B446" s="87" t="s">
        <v>282</v>
      </c>
      <c r="C446" s="87">
        <v>1987</v>
      </c>
      <c r="D446" s="87" t="s">
        <v>15</v>
      </c>
      <c r="E446" s="116">
        <v>75</v>
      </c>
      <c r="F446" s="87" t="s">
        <v>508</v>
      </c>
      <c r="G446" s="87" t="s">
        <v>967</v>
      </c>
      <c r="H446" s="87" t="s">
        <v>508</v>
      </c>
      <c r="I446" s="87">
        <v>57</v>
      </c>
    </row>
    <row r="447" spans="1:9" ht="15" customHeight="1" x14ac:dyDescent="0.25">
      <c r="A447" s="87" t="s">
        <v>13</v>
      </c>
      <c r="B447" s="87" t="s">
        <v>282</v>
      </c>
      <c r="C447" s="87">
        <v>1988</v>
      </c>
      <c r="D447" s="87" t="s">
        <v>15</v>
      </c>
      <c r="E447" s="116">
        <v>50</v>
      </c>
      <c r="F447" s="87" t="s">
        <v>508</v>
      </c>
      <c r="G447" s="87" t="s">
        <v>967</v>
      </c>
      <c r="H447" s="87" t="s">
        <v>508</v>
      </c>
      <c r="I447" s="87">
        <v>57</v>
      </c>
    </row>
    <row r="448" spans="1:9" ht="15" customHeight="1" x14ac:dyDescent="0.25">
      <c r="A448" s="87" t="s">
        <v>13</v>
      </c>
      <c r="B448" s="87" t="s">
        <v>282</v>
      </c>
      <c r="C448" s="87">
        <v>1989</v>
      </c>
      <c r="D448" s="87" t="s">
        <v>15</v>
      </c>
      <c r="E448" s="116">
        <v>51</v>
      </c>
      <c r="F448" s="87" t="s">
        <v>508</v>
      </c>
      <c r="G448" s="87" t="s">
        <v>967</v>
      </c>
      <c r="H448" s="87" t="s">
        <v>508</v>
      </c>
      <c r="I448" s="87">
        <v>57</v>
      </c>
    </row>
    <row r="449" spans="1:9" ht="15" customHeight="1" x14ac:dyDescent="0.25">
      <c r="A449" s="87" t="s">
        <v>13</v>
      </c>
      <c r="B449" s="87" t="s">
        <v>282</v>
      </c>
      <c r="C449" s="87">
        <v>1990</v>
      </c>
      <c r="D449" s="87" t="s">
        <v>15</v>
      </c>
      <c r="E449" s="116">
        <v>50</v>
      </c>
      <c r="F449" s="87" t="s">
        <v>508</v>
      </c>
      <c r="G449" s="87" t="s">
        <v>967</v>
      </c>
      <c r="H449" s="87" t="s">
        <v>508</v>
      </c>
      <c r="I449" s="87">
        <v>57</v>
      </c>
    </row>
    <row r="450" spans="1:9" ht="15" customHeight="1" x14ac:dyDescent="0.25">
      <c r="A450" s="87" t="s">
        <v>13</v>
      </c>
      <c r="B450" s="87" t="s">
        <v>282</v>
      </c>
      <c r="C450" s="87">
        <v>1991</v>
      </c>
      <c r="D450" s="87" t="s">
        <v>15</v>
      </c>
      <c r="E450" s="116">
        <v>-1</v>
      </c>
      <c r="F450" s="87" t="s">
        <v>508</v>
      </c>
      <c r="G450" s="87" t="s">
        <v>967</v>
      </c>
      <c r="H450" s="87" t="s">
        <v>508</v>
      </c>
      <c r="I450" s="87">
        <v>57</v>
      </c>
    </row>
    <row r="451" spans="1:9" ht="15" customHeight="1" x14ac:dyDescent="0.25">
      <c r="A451" s="87" t="s">
        <v>13</v>
      </c>
      <c r="B451" s="87" t="s">
        <v>282</v>
      </c>
      <c r="C451" s="87">
        <v>1992</v>
      </c>
      <c r="D451" s="87" t="s">
        <v>15</v>
      </c>
      <c r="E451" s="116">
        <v>100</v>
      </c>
      <c r="F451" s="87" t="s">
        <v>508</v>
      </c>
      <c r="G451" s="87" t="s">
        <v>967</v>
      </c>
      <c r="H451" s="87" t="s">
        <v>508</v>
      </c>
      <c r="I451" s="87">
        <v>57</v>
      </c>
    </row>
    <row r="452" spans="1:9" ht="15" customHeight="1" x14ac:dyDescent="0.25">
      <c r="A452" s="87" t="s">
        <v>13</v>
      </c>
      <c r="B452" s="87" t="s">
        <v>282</v>
      </c>
      <c r="C452" s="87">
        <v>1993</v>
      </c>
      <c r="D452" s="87" t="s">
        <v>15</v>
      </c>
      <c r="E452" s="116">
        <v>200</v>
      </c>
      <c r="F452" s="87" t="s">
        <v>508</v>
      </c>
      <c r="G452" s="87" t="s">
        <v>967</v>
      </c>
      <c r="H452" s="87" t="s">
        <v>508</v>
      </c>
      <c r="I452" s="87">
        <v>57</v>
      </c>
    </row>
    <row r="453" spans="1:9" ht="15" customHeight="1" x14ac:dyDescent="0.25">
      <c r="A453" s="87" t="s">
        <v>13</v>
      </c>
      <c r="B453" s="87" t="s">
        <v>282</v>
      </c>
      <c r="C453" s="87">
        <v>1994</v>
      </c>
      <c r="D453" s="87" t="s">
        <v>15</v>
      </c>
      <c r="E453" s="116">
        <v>35</v>
      </c>
      <c r="F453" s="87" t="s">
        <v>508</v>
      </c>
      <c r="G453" s="87" t="s">
        <v>967</v>
      </c>
      <c r="H453" s="87" t="s">
        <v>508</v>
      </c>
      <c r="I453" s="87">
        <v>57</v>
      </c>
    </row>
    <row r="454" spans="1:9" ht="15" customHeight="1" x14ac:dyDescent="0.25">
      <c r="A454" s="87" t="s">
        <v>13</v>
      </c>
      <c r="B454" s="87" t="s">
        <v>282</v>
      </c>
      <c r="C454" s="87">
        <v>1995</v>
      </c>
      <c r="D454" s="87" t="s">
        <v>15</v>
      </c>
      <c r="E454" s="116">
        <v>-1</v>
      </c>
      <c r="F454" s="87" t="s">
        <v>967</v>
      </c>
      <c r="G454" s="87" t="s">
        <v>967</v>
      </c>
      <c r="H454" s="87" t="s">
        <v>967</v>
      </c>
      <c r="I454" s="87">
        <v>57</v>
      </c>
    </row>
    <row r="455" spans="1:9" ht="15" customHeight="1" x14ac:dyDescent="0.25">
      <c r="A455" s="87" t="s">
        <v>13</v>
      </c>
      <c r="B455" s="87" t="s">
        <v>282</v>
      </c>
      <c r="C455" s="87">
        <v>1996</v>
      </c>
      <c r="D455" s="87" t="s">
        <v>15</v>
      </c>
      <c r="E455" s="116">
        <v>10</v>
      </c>
      <c r="F455" s="87" t="s">
        <v>967</v>
      </c>
      <c r="G455" s="87" t="s">
        <v>967</v>
      </c>
      <c r="H455" s="87" t="s">
        <v>967</v>
      </c>
      <c r="I455" s="87">
        <v>57</v>
      </c>
    </row>
    <row r="456" spans="1:9" ht="15" customHeight="1" x14ac:dyDescent="0.25">
      <c r="A456" s="87" t="s">
        <v>13</v>
      </c>
      <c r="B456" s="87" t="s">
        <v>282</v>
      </c>
      <c r="C456" s="87">
        <v>1997</v>
      </c>
      <c r="D456" s="87" t="s">
        <v>15</v>
      </c>
      <c r="E456" s="116">
        <v>31</v>
      </c>
      <c r="F456" s="87" t="s">
        <v>283</v>
      </c>
      <c r="G456" s="87" t="s">
        <v>272</v>
      </c>
      <c r="H456" s="87" t="s">
        <v>967</v>
      </c>
      <c r="I456" s="87">
        <v>57</v>
      </c>
    </row>
    <row r="457" spans="1:9" ht="15" customHeight="1" x14ac:dyDescent="0.25">
      <c r="A457" s="87" t="s">
        <v>13</v>
      </c>
      <c r="B457" s="87" t="s">
        <v>282</v>
      </c>
      <c r="C457" s="87">
        <v>1998</v>
      </c>
      <c r="D457" s="87" t="s">
        <v>15</v>
      </c>
      <c r="E457" s="116">
        <v>8</v>
      </c>
      <c r="F457" s="87" t="s">
        <v>284</v>
      </c>
      <c r="G457" s="87" t="s">
        <v>272</v>
      </c>
      <c r="H457" s="87" t="s">
        <v>720</v>
      </c>
      <c r="I457" s="87">
        <v>57</v>
      </c>
    </row>
    <row r="458" spans="1:9" ht="15" customHeight="1" x14ac:dyDescent="0.25">
      <c r="A458" s="87" t="s">
        <v>13</v>
      </c>
      <c r="B458" s="87" t="s">
        <v>282</v>
      </c>
      <c r="C458" s="87">
        <v>1999</v>
      </c>
      <c r="D458" s="87" t="s">
        <v>15</v>
      </c>
      <c r="E458" s="116">
        <v>-1</v>
      </c>
      <c r="F458" s="87" t="s">
        <v>967</v>
      </c>
      <c r="G458" s="87" t="s">
        <v>967</v>
      </c>
      <c r="H458" s="87" t="s">
        <v>967</v>
      </c>
      <c r="I458" s="87">
        <v>57</v>
      </c>
    </row>
    <row r="459" spans="1:9" ht="15" customHeight="1" x14ac:dyDescent="0.25">
      <c r="A459" s="87" t="s">
        <v>13</v>
      </c>
      <c r="B459" s="87" t="s">
        <v>282</v>
      </c>
      <c r="C459" s="87">
        <v>2000</v>
      </c>
      <c r="D459" s="87" t="s">
        <v>15</v>
      </c>
      <c r="E459" s="116">
        <v>40</v>
      </c>
      <c r="F459" s="87" t="s">
        <v>967</v>
      </c>
      <c r="G459" s="87" t="s">
        <v>272</v>
      </c>
      <c r="H459" s="87" t="s">
        <v>967</v>
      </c>
      <c r="I459" s="87">
        <v>57</v>
      </c>
    </row>
    <row r="460" spans="1:9" ht="15" customHeight="1" x14ac:dyDescent="0.25">
      <c r="A460" s="87" t="s">
        <v>13</v>
      </c>
      <c r="B460" s="87" t="s">
        <v>282</v>
      </c>
      <c r="C460" s="87">
        <v>2001</v>
      </c>
      <c r="D460" s="87" t="s">
        <v>15</v>
      </c>
      <c r="E460" s="116">
        <v>97</v>
      </c>
      <c r="F460" s="87" t="s">
        <v>967</v>
      </c>
      <c r="G460" s="87" t="s">
        <v>272</v>
      </c>
      <c r="H460" s="87" t="s">
        <v>967</v>
      </c>
      <c r="I460" s="87">
        <v>57</v>
      </c>
    </row>
    <row r="461" spans="1:9" ht="15" customHeight="1" x14ac:dyDescent="0.25">
      <c r="A461" s="87" t="s">
        <v>13</v>
      </c>
      <c r="B461" s="87" t="s">
        <v>282</v>
      </c>
      <c r="C461" s="87">
        <v>2002</v>
      </c>
      <c r="D461" s="87" t="s">
        <v>15</v>
      </c>
      <c r="E461" s="116">
        <v>169</v>
      </c>
      <c r="F461" s="87" t="s">
        <v>967</v>
      </c>
      <c r="G461" s="87" t="s">
        <v>272</v>
      </c>
      <c r="H461" s="87" t="s">
        <v>721</v>
      </c>
      <c r="I461" s="87">
        <v>57</v>
      </c>
    </row>
    <row r="462" spans="1:9" ht="15" customHeight="1" x14ac:dyDescent="0.25">
      <c r="A462" s="87" t="s">
        <v>13</v>
      </c>
      <c r="B462" s="87" t="s">
        <v>282</v>
      </c>
      <c r="C462" s="87">
        <v>2003</v>
      </c>
      <c r="D462" s="87" t="s">
        <v>15</v>
      </c>
      <c r="E462" s="116">
        <v>89</v>
      </c>
      <c r="F462" s="87" t="s">
        <v>967</v>
      </c>
      <c r="G462" s="87" t="s">
        <v>272</v>
      </c>
      <c r="H462" s="87" t="s">
        <v>967</v>
      </c>
      <c r="I462" s="87">
        <v>57</v>
      </c>
    </row>
    <row r="463" spans="1:9" ht="15" customHeight="1" x14ac:dyDescent="0.25">
      <c r="A463" s="87" t="s">
        <v>13</v>
      </c>
      <c r="B463" s="87" t="s">
        <v>282</v>
      </c>
      <c r="C463" s="87">
        <v>2004</v>
      </c>
      <c r="D463" s="87" t="s">
        <v>15</v>
      </c>
      <c r="E463" s="116">
        <v>54</v>
      </c>
      <c r="F463" s="87" t="s">
        <v>967</v>
      </c>
      <c r="G463" s="87" t="s">
        <v>272</v>
      </c>
      <c r="H463" s="87" t="s">
        <v>967</v>
      </c>
      <c r="I463" s="87">
        <v>57</v>
      </c>
    </row>
    <row r="464" spans="1:9" ht="15" customHeight="1" x14ac:dyDescent="0.25">
      <c r="A464" s="87" t="s">
        <v>13</v>
      </c>
      <c r="B464" s="87" t="s">
        <v>282</v>
      </c>
      <c r="C464" s="87">
        <v>2005</v>
      </c>
      <c r="D464" s="87" t="s">
        <v>15</v>
      </c>
      <c r="E464" s="116">
        <v>-1</v>
      </c>
      <c r="F464" s="87" t="s">
        <v>967</v>
      </c>
      <c r="G464" s="87" t="s">
        <v>967</v>
      </c>
      <c r="H464" s="87" t="s">
        <v>967</v>
      </c>
      <c r="I464" s="87">
        <v>57</v>
      </c>
    </row>
    <row r="465" spans="1:9" ht="15" customHeight="1" x14ac:dyDescent="0.25">
      <c r="A465" s="87" t="s">
        <v>13</v>
      </c>
      <c r="B465" s="87" t="s">
        <v>282</v>
      </c>
      <c r="C465" s="87">
        <v>2006</v>
      </c>
      <c r="D465" s="87" t="s">
        <v>15</v>
      </c>
      <c r="E465" s="116">
        <v>-1</v>
      </c>
      <c r="F465" s="87" t="s">
        <v>967</v>
      </c>
      <c r="G465" s="87" t="s">
        <v>967</v>
      </c>
      <c r="H465" s="87" t="s">
        <v>967</v>
      </c>
      <c r="I465" s="87">
        <v>57</v>
      </c>
    </row>
    <row r="466" spans="1:9" ht="15" customHeight="1" x14ac:dyDescent="0.25">
      <c r="A466" s="87" t="s">
        <v>13</v>
      </c>
      <c r="B466" s="87" t="s">
        <v>282</v>
      </c>
      <c r="C466" s="87">
        <v>2007</v>
      </c>
      <c r="D466" s="87" t="s">
        <v>15</v>
      </c>
      <c r="E466" s="116">
        <v>-1</v>
      </c>
      <c r="F466" s="87" t="s">
        <v>967</v>
      </c>
      <c r="G466" s="87" t="s">
        <v>967</v>
      </c>
      <c r="H466" s="87" t="s">
        <v>967</v>
      </c>
      <c r="I466" s="87">
        <v>57</v>
      </c>
    </row>
    <row r="467" spans="1:9" ht="15" customHeight="1" x14ac:dyDescent="0.25">
      <c r="A467" s="87" t="s">
        <v>13</v>
      </c>
      <c r="B467" s="87" t="s">
        <v>282</v>
      </c>
      <c r="C467" s="87">
        <v>2008</v>
      </c>
      <c r="D467" s="87" t="s">
        <v>15</v>
      </c>
      <c r="E467" s="116">
        <v>-1</v>
      </c>
      <c r="F467" s="87" t="s">
        <v>967</v>
      </c>
      <c r="G467" s="87" t="s">
        <v>967</v>
      </c>
      <c r="H467" s="87" t="s">
        <v>967</v>
      </c>
      <c r="I467" s="87">
        <v>57</v>
      </c>
    </row>
    <row r="468" spans="1:9" ht="15" customHeight="1" x14ac:dyDescent="0.25">
      <c r="A468" s="87" t="s">
        <v>13</v>
      </c>
      <c r="B468" s="87" t="s">
        <v>282</v>
      </c>
      <c r="C468" s="87">
        <v>2009</v>
      </c>
      <c r="D468" s="87" t="s">
        <v>15</v>
      </c>
      <c r="E468" s="116">
        <v>17</v>
      </c>
      <c r="F468" s="87" t="s">
        <v>967</v>
      </c>
      <c r="G468" s="87" t="s">
        <v>272</v>
      </c>
      <c r="H468" s="87" t="s">
        <v>722</v>
      </c>
      <c r="I468" s="87">
        <v>57</v>
      </c>
    </row>
    <row r="469" spans="1:9" ht="15" customHeight="1" x14ac:dyDescent="0.25">
      <c r="A469" s="87" t="s">
        <v>13</v>
      </c>
      <c r="B469" s="87" t="s">
        <v>282</v>
      </c>
      <c r="C469" s="87">
        <v>2010</v>
      </c>
      <c r="D469" s="87" t="s">
        <v>15</v>
      </c>
      <c r="E469" s="116">
        <v>2</v>
      </c>
      <c r="F469" s="87" t="s">
        <v>967</v>
      </c>
      <c r="G469" s="87" t="s">
        <v>272</v>
      </c>
      <c r="H469" s="87" t="s">
        <v>967</v>
      </c>
      <c r="I469" s="87">
        <v>57</v>
      </c>
    </row>
    <row r="470" spans="1:9" ht="15" customHeight="1" x14ac:dyDescent="0.25">
      <c r="A470" s="87" t="s">
        <v>13</v>
      </c>
      <c r="B470" s="87" t="s">
        <v>282</v>
      </c>
      <c r="C470" s="87">
        <v>2011</v>
      </c>
      <c r="D470" s="87" t="s">
        <v>15</v>
      </c>
      <c r="E470" s="116">
        <v>11</v>
      </c>
      <c r="F470" s="87" t="s">
        <v>967</v>
      </c>
      <c r="G470" s="87" t="s">
        <v>272</v>
      </c>
      <c r="H470" s="87" t="s">
        <v>967</v>
      </c>
      <c r="I470" s="87">
        <v>57</v>
      </c>
    </row>
    <row r="471" spans="1:9" ht="15" customHeight="1" x14ac:dyDescent="0.25">
      <c r="A471" s="87" t="s">
        <v>13</v>
      </c>
      <c r="B471" s="87" t="s">
        <v>282</v>
      </c>
      <c r="C471" s="87">
        <v>2012</v>
      </c>
      <c r="D471" s="87" t="s">
        <v>15</v>
      </c>
      <c r="E471" s="116">
        <v>65</v>
      </c>
      <c r="F471" s="87" t="s">
        <v>967</v>
      </c>
      <c r="G471" s="87" t="s">
        <v>272</v>
      </c>
      <c r="H471" s="87" t="s">
        <v>967</v>
      </c>
      <c r="I471" s="87">
        <v>57</v>
      </c>
    </row>
    <row r="472" spans="1:9" ht="15" customHeight="1" x14ac:dyDescent="0.25">
      <c r="A472" s="87" t="s">
        <v>13</v>
      </c>
      <c r="B472" s="87" t="s">
        <v>282</v>
      </c>
      <c r="C472" s="87">
        <v>2013</v>
      </c>
      <c r="D472" s="87" t="s">
        <v>15</v>
      </c>
      <c r="E472" s="116">
        <v>34</v>
      </c>
      <c r="F472" s="87" t="s">
        <v>967</v>
      </c>
      <c r="G472" s="87" t="s">
        <v>272</v>
      </c>
      <c r="H472" s="87" t="s">
        <v>967</v>
      </c>
      <c r="I472" s="87">
        <v>57</v>
      </c>
    </row>
    <row r="473" spans="1:9" ht="15" customHeight="1" x14ac:dyDescent="0.25">
      <c r="A473" s="87" t="s">
        <v>13</v>
      </c>
      <c r="B473" s="87" t="s">
        <v>282</v>
      </c>
      <c r="C473" s="87">
        <v>2014</v>
      </c>
      <c r="D473" s="87" t="s">
        <v>15</v>
      </c>
      <c r="E473" s="116">
        <v>2</v>
      </c>
      <c r="F473" s="87" t="s">
        <v>967</v>
      </c>
      <c r="G473" s="87" t="s">
        <v>272</v>
      </c>
      <c r="H473" s="87" t="s">
        <v>967</v>
      </c>
      <c r="I473" s="87">
        <v>57</v>
      </c>
    </row>
    <row r="474" spans="1:9" ht="15" customHeight="1" x14ac:dyDescent="0.25">
      <c r="A474" s="87" t="s">
        <v>13</v>
      </c>
      <c r="B474" s="87" t="s">
        <v>282</v>
      </c>
      <c r="C474" s="87">
        <v>2015</v>
      </c>
      <c r="D474" s="87" t="s">
        <v>15</v>
      </c>
      <c r="E474" s="116">
        <v>6</v>
      </c>
      <c r="F474" s="87" t="s">
        <v>967</v>
      </c>
      <c r="G474" s="87" t="s">
        <v>272</v>
      </c>
      <c r="H474" s="87" t="s">
        <v>723</v>
      </c>
      <c r="I474" s="87">
        <v>57</v>
      </c>
    </row>
    <row r="475" spans="1:9" ht="15" customHeight="1" x14ac:dyDescent="0.25">
      <c r="A475" s="87" t="s">
        <v>13</v>
      </c>
      <c r="B475" s="87" t="s">
        <v>282</v>
      </c>
      <c r="C475" s="87">
        <v>2016</v>
      </c>
      <c r="D475" s="87" t="s">
        <v>15</v>
      </c>
      <c r="E475" s="116">
        <v>17</v>
      </c>
      <c r="F475" s="87" t="s">
        <v>967</v>
      </c>
      <c r="G475" s="87" t="s">
        <v>272</v>
      </c>
      <c r="H475" s="87" t="s">
        <v>724</v>
      </c>
      <c r="I475" s="87">
        <v>57</v>
      </c>
    </row>
    <row r="476" spans="1:9" ht="15" customHeight="1" x14ac:dyDescent="0.25">
      <c r="A476" s="87" t="s">
        <v>13</v>
      </c>
      <c r="B476" s="87" t="s">
        <v>282</v>
      </c>
      <c r="C476" s="87">
        <v>2017</v>
      </c>
      <c r="D476" s="87" t="s">
        <v>15</v>
      </c>
      <c r="E476" s="116">
        <v>8</v>
      </c>
      <c r="F476" s="87" t="s">
        <v>967</v>
      </c>
      <c r="G476" s="87" t="s">
        <v>272</v>
      </c>
      <c r="H476" s="87" t="s">
        <v>967</v>
      </c>
      <c r="I476" s="87">
        <v>57</v>
      </c>
    </row>
    <row r="477" spans="1:9" ht="15" customHeight="1" x14ac:dyDescent="0.25">
      <c r="A477" s="87" t="s">
        <v>13</v>
      </c>
      <c r="B477" s="87" t="s">
        <v>282</v>
      </c>
      <c r="C477" s="87">
        <v>2018</v>
      </c>
      <c r="D477" s="87" t="s">
        <v>15</v>
      </c>
      <c r="E477" s="116">
        <v>11</v>
      </c>
      <c r="F477" s="87" t="s">
        <v>967</v>
      </c>
      <c r="G477" s="87" t="s">
        <v>272</v>
      </c>
      <c r="H477" s="87" t="s">
        <v>922</v>
      </c>
      <c r="I477" s="87">
        <v>57</v>
      </c>
    </row>
    <row r="478" spans="1:9" ht="15" customHeight="1" x14ac:dyDescent="0.25">
      <c r="A478" s="87" t="s">
        <v>13</v>
      </c>
      <c r="B478" s="87" t="s">
        <v>282</v>
      </c>
      <c r="C478" s="87">
        <v>2019</v>
      </c>
      <c r="D478" s="87" t="s">
        <v>15</v>
      </c>
      <c r="E478" s="116">
        <v>80</v>
      </c>
      <c r="F478" s="87" t="s">
        <v>967</v>
      </c>
      <c r="G478" s="87" t="s">
        <v>272</v>
      </c>
      <c r="H478" s="87" t="s">
        <v>974</v>
      </c>
      <c r="I478" s="87">
        <v>57</v>
      </c>
    </row>
    <row r="479" spans="1:9" ht="15" customHeight="1" x14ac:dyDescent="0.25">
      <c r="A479" s="87" t="s">
        <v>13</v>
      </c>
      <c r="B479" s="87" t="s">
        <v>282</v>
      </c>
      <c r="C479" s="87">
        <v>2020</v>
      </c>
      <c r="D479" s="87" t="s">
        <v>15</v>
      </c>
      <c r="E479" s="116">
        <v>71</v>
      </c>
      <c r="F479" s="87" t="s">
        <v>967</v>
      </c>
      <c r="G479" s="87" t="s">
        <v>272</v>
      </c>
      <c r="H479" s="87" t="s">
        <v>967</v>
      </c>
      <c r="I479" s="87">
        <v>57</v>
      </c>
    </row>
    <row r="480" spans="1:9" ht="15" customHeight="1" x14ac:dyDescent="0.25">
      <c r="A480" s="87" t="s">
        <v>13</v>
      </c>
      <c r="B480" s="87" t="s">
        <v>282</v>
      </c>
      <c r="C480" s="87">
        <v>2021</v>
      </c>
      <c r="D480" s="87" t="s">
        <v>15</v>
      </c>
      <c r="E480" s="116">
        <v>30</v>
      </c>
      <c r="F480" s="87" t="s">
        <v>967</v>
      </c>
      <c r="G480" s="87" t="s">
        <v>272</v>
      </c>
      <c r="H480" s="87" t="s">
        <v>967</v>
      </c>
      <c r="I480" s="87">
        <v>57</v>
      </c>
    </row>
    <row r="481" spans="1:9" ht="15" customHeight="1" x14ac:dyDescent="0.25">
      <c r="A481" s="87" t="s">
        <v>13</v>
      </c>
      <c r="B481" s="87" t="s">
        <v>282</v>
      </c>
      <c r="C481" s="87">
        <v>2022</v>
      </c>
      <c r="D481" s="87" t="s">
        <v>15</v>
      </c>
      <c r="E481" s="116">
        <v>86</v>
      </c>
      <c r="F481" s="87" t="s">
        <v>967</v>
      </c>
      <c r="G481" s="87" t="s">
        <v>272</v>
      </c>
      <c r="H481" s="87" t="s">
        <v>967</v>
      </c>
      <c r="I481" s="87">
        <v>57</v>
      </c>
    </row>
    <row r="482" spans="1:9" ht="15" customHeight="1" x14ac:dyDescent="0.25">
      <c r="A482" s="87" t="s">
        <v>16</v>
      </c>
      <c r="B482" s="87" t="s">
        <v>285</v>
      </c>
      <c r="C482" s="87">
        <v>1975</v>
      </c>
      <c r="D482" s="87" t="s">
        <v>18</v>
      </c>
      <c r="E482" s="116">
        <v>200</v>
      </c>
      <c r="F482" s="87" t="s">
        <v>508</v>
      </c>
      <c r="G482" s="87" t="s">
        <v>967</v>
      </c>
      <c r="H482" s="87" t="s">
        <v>508</v>
      </c>
      <c r="I482" s="87">
        <v>34</v>
      </c>
    </row>
    <row r="483" spans="1:9" ht="15" customHeight="1" x14ac:dyDescent="0.25">
      <c r="A483" s="87" t="s">
        <v>16</v>
      </c>
      <c r="B483" s="87" t="s">
        <v>285</v>
      </c>
      <c r="C483" s="87">
        <v>1976</v>
      </c>
      <c r="D483" s="87" t="s">
        <v>18</v>
      </c>
      <c r="E483" s="116">
        <v>70</v>
      </c>
      <c r="F483" s="87" t="s">
        <v>508</v>
      </c>
      <c r="G483" s="87" t="s">
        <v>967</v>
      </c>
      <c r="H483" s="87" t="s">
        <v>508</v>
      </c>
      <c r="I483" s="87">
        <v>34</v>
      </c>
    </row>
    <row r="484" spans="1:9" ht="15" customHeight="1" x14ac:dyDescent="0.25">
      <c r="A484" s="87" t="s">
        <v>16</v>
      </c>
      <c r="B484" s="87" t="s">
        <v>285</v>
      </c>
      <c r="C484" s="87">
        <v>1977</v>
      </c>
      <c r="D484" s="87" t="s">
        <v>18</v>
      </c>
      <c r="E484" s="116">
        <v>500</v>
      </c>
      <c r="F484" s="87" t="s">
        <v>508</v>
      </c>
      <c r="G484" s="87" t="s">
        <v>967</v>
      </c>
      <c r="H484" s="87" t="s">
        <v>508</v>
      </c>
      <c r="I484" s="87">
        <v>34</v>
      </c>
    </row>
    <row r="485" spans="1:9" ht="15" customHeight="1" x14ac:dyDescent="0.25">
      <c r="A485" s="87" t="s">
        <v>16</v>
      </c>
      <c r="B485" s="87" t="s">
        <v>285</v>
      </c>
      <c r="C485" s="87">
        <v>1978</v>
      </c>
      <c r="D485" s="87" t="s">
        <v>18</v>
      </c>
      <c r="E485" s="116">
        <v>250</v>
      </c>
      <c r="F485" s="87" t="s">
        <v>508</v>
      </c>
      <c r="G485" s="87" t="s">
        <v>967</v>
      </c>
      <c r="H485" s="87" t="s">
        <v>508</v>
      </c>
      <c r="I485" s="87">
        <v>34</v>
      </c>
    </row>
    <row r="486" spans="1:9" ht="15" customHeight="1" x14ac:dyDescent="0.25">
      <c r="A486" s="87" t="s">
        <v>16</v>
      </c>
      <c r="B486" s="87" t="s">
        <v>285</v>
      </c>
      <c r="C486" s="87">
        <v>1979</v>
      </c>
      <c r="D486" s="87" t="s">
        <v>18</v>
      </c>
      <c r="E486" s="116">
        <v>100</v>
      </c>
      <c r="F486" s="87" t="s">
        <v>508</v>
      </c>
      <c r="G486" s="87" t="s">
        <v>967</v>
      </c>
      <c r="H486" s="87" t="s">
        <v>508</v>
      </c>
      <c r="I486" s="87">
        <v>34</v>
      </c>
    </row>
    <row r="487" spans="1:9" ht="15" customHeight="1" x14ac:dyDescent="0.25">
      <c r="A487" s="87" t="s">
        <v>16</v>
      </c>
      <c r="B487" s="87" t="s">
        <v>285</v>
      </c>
      <c r="C487" s="87">
        <v>1980</v>
      </c>
      <c r="D487" s="87" t="s">
        <v>18</v>
      </c>
      <c r="E487" s="116">
        <v>75</v>
      </c>
      <c r="F487" s="87" t="s">
        <v>508</v>
      </c>
      <c r="G487" s="87" t="s">
        <v>967</v>
      </c>
      <c r="H487" s="87" t="s">
        <v>508</v>
      </c>
      <c r="I487" s="87">
        <v>34</v>
      </c>
    </row>
    <row r="488" spans="1:9" ht="15" customHeight="1" x14ac:dyDescent="0.25">
      <c r="A488" s="87" t="s">
        <v>16</v>
      </c>
      <c r="B488" s="87" t="s">
        <v>285</v>
      </c>
      <c r="C488" s="87">
        <v>1981</v>
      </c>
      <c r="D488" s="87" t="s">
        <v>18</v>
      </c>
      <c r="E488" s="116">
        <v>100</v>
      </c>
      <c r="F488" s="87" t="s">
        <v>508</v>
      </c>
      <c r="G488" s="87" t="s">
        <v>967</v>
      </c>
      <c r="H488" s="87" t="s">
        <v>508</v>
      </c>
      <c r="I488" s="87">
        <v>34</v>
      </c>
    </row>
    <row r="489" spans="1:9" ht="15" customHeight="1" x14ac:dyDescent="0.25">
      <c r="A489" s="87" t="s">
        <v>16</v>
      </c>
      <c r="B489" s="87" t="s">
        <v>285</v>
      </c>
      <c r="C489" s="87">
        <v>1982</v>
      </c>
      <c r="D489" s="87" t="s">
        <v>18</v>
      </c>
      <c r="E489" s="116">
        <v>150</v>
      </c>
      <c r="F489" s="87" t="s">
        <v>508</v>
      </c>
      <c r="G489" s="87" t="s">
        <v>967</v>
      </c>
      <c r="H489" s="87" t="s">
        <v>508</v>
      </c>
      <c r="I489" s="87">
        <v>34</v>
      </c>
    </row>
    <row r="490" spans="1:9" ht="15" customHeight="1" x14ac:dyDescent="0.25">
      <c r="A490" s="87" t="s">
        <v>16</v>
      </c>
      <c r="B490" s="87" t="s">
        <v>285</v>
      </c>
      <c r="C490" s="87">
        <v>1983</v>
      </c>
      <c r="D490" s="87" t="s">
        <v>18</v>
      </c>
      <c r="E490" s="116">
        <v>70</v>
      </c>
      <c r="F490" s="87" t="s">
        <v>508</v>
      </c>
      <c r="G490" s="87" t="s">
        <v>967</v>
      </c>
      <c r="H490" s="87" t="s">
        <v>508</v>
      </c>
      <c r="I490" s="87">
        <v>34</v>
      </c>
    </row>
    <row r="491" spans="1:9" ht="15" customHeight="1" x14ac:dyDescent="0.25">
      <c r="A491" s="87" t="s">
        <v>16</v>
      </c>
      <c r="B491" s="87" t="s">
        <v>285</v>
      </c>
      <c r="C491" s="87">
        <v>1984</v>
      </c>
      <c r="D491" s="87" t="s">
        <v>18</v>
      </c>
      <c r="E491" s="116">
        <v>138</v>
      </c>
      <c r="F491" s="87" t="s">
        <v>508</v>
      </c>
      <c r="G491" s="87" t="s">
        <v>967</v>
      </c>
      <c r="H491" s="87" t="s">
        <v>508</v>
      </c>
      <c r="I491" s="87">
        <v>34</v>
      </c>
    </row>
    <row r="492" spans="1:9" ht="15" customHeight="1" x14ac:dyDescent="0.25">
      <c r="A492" s="87" t="s">
        <v>16</v>
      </c>
      <c r="B492" s="87" t="s">
        <v>285</v>
      </c>
      <c r="C492" s="87">
        <v>1985</v>
      </c>
      <c r="D492" s="87" t="s">
        <v>18</v>
      </c>
      <c r="E492" s="116">
        <v>225</v>
      </c>
      <c r="F492" s="87" t="s">
        <v>508</v>
      </c>
      <c r="G492" s="87" t="s">
        <v>967</v>
      </c>
      <c r="H492" s="87" t="s">
        <v>508</v>
      </c>
      <c r="I492" s="87">
        <v>34</v>
      </c>
    </row>
    <row r="493" spans="1:9" ht="15" customHeight="1" x14ac:dyDescent="0.25">
      <c r="A493" s="87" t="s">
        <v>16</v>
      </c>
      <c r="B493" s="87" t="s">
        <v>285</v>
      </c>
      <c r="C493" s="87">
        <v>1986</v>
      </c>
      <c r="D493" s="87" t="s">
        <v>18</v>
      </c>
      <c r="E493" s="116">
        <v>98</v>
      </c>
      <c r="F493" s="87" t="s">
        <v>508</v>
      </c>
      <c r="G493" s="87" t="s">
        <v>967</v>
      </c>
      <c r="H493" s="87" t="s">
        <v>508</v>
      </c>
      <c r="I493" s="87">
        <v>34</v>
      </c>
    </row>
    <row r="494" spans="1:9" ht="15" customHeight="1" x14ac:dyDescent="0.25">
      <c r="A494" s="87" t="s">
        <v>16</v>
      </c>
      <c r="B494" s="87" t="s">
        <v>285</v>
      </c>
      <c r="C494" s="87">
        <v>1987</v>
      </c>
      <c r="D494" s="87" t="s">
        <v>18</v>
      </c>
      <c r="E494" s="116">
        <v>50</v>
      </c>
      <c r="F494" s="87" t="s">
        <v>508</v>
      </c>
      <c r="G494" s="87" t="s">
        <v>967</v>
      </c>
      <c r="H494" s="87" t="s">
        <v>508</v>
      </c>
      <c r="I494" s="87">
        <v>34</v>
      </c>
    </row>
    <row r="495" spans="1:9" ht="15" customHeight="1" x14ac:dyDescent="0.25">
      <c r="A495" s="87" t="s">
        <v>16</v>
      </c>
      <c r="B495" s="87" t="s">
        <v>285</v>
      </c>
      <c r="C495" s="87">
        <v>1988</v>
      </c>
      <c r="D495" s="87" t="s">
        <v>18</v>
      </c>
      <c r="E495" s="116">
        <v>125</v>
      </c>
      <c r="F495" s="87" t="s">
        <v>508</v>
      </c>
      <c r="G495" s="87" t="s">
        <v>967</v>
      </c>
      <c r="H495" s="87" t="s">
        <v>508</v>
      </c>
      <c r="I495" s="87">
        <v>34</v>
      </c>
    </row>
    <row r="496" spans="1:9" ht="15" customHeight="1" x14ac:dyDescent="0.25">
      <c r="A496" s="87" t="s">
        <v>16</v>
      </c>
      <c r="B496" s="87" t="s">
        <v>285</v>
      </c>
      <c r="C496" s="87">
        <v>1989</v>
      </c>
      <c r="D496" s="87" t="s">
        <v>18</v>
      </c>
      <c r="E496" s="116">
        <v>330</v>
      </c>
      <c r="F496" s="87" t="s">
        <v>508</v>
      </c>
      <c r="G496" s="87" t="s">
        <v>967</v>
      </c>
      <c r="H496" s="87" t="s">
        <v>508</v>
      </c>
      <c r="I496" s="87">
        <v>34</v>
      </c>
    </row>
    <row r="497" spans="1:9" ht="15" customHeight="1" x14ac:dyDescent="0.25">
      <c r="A497" s="87" t="s">
        <v>16</v>
      </c>
      <c r="B497" s="87" t="s">
        <v>285</v>
      </c>
      <c r="C497" s="87">
        <v>1990</v>
      </c>
      <c r="D497" s="87" t="s">
        <v>18</v>
      </c>
      <c r="E497" s="116">
        <v>175</v>
      </c>
      <c r="F497" s="87" t="s">
        <v>508</v>
      </c>
      <c r="G497" s="87" t="s">
        <v>967</v>
      </c>
      <c r="H497" s="87" t="s">
        <v>508</v>
      </c>
      <c r="I497" s="87">
        <v>34</v>
      </c>
    </row>
    <row r="498" spans="1:9" ht="15" customHeight="1" x14ac:dyDescent="0.25">
      <c r="A498" s="87" t="s">
        <v>16</v>
      </c>
      <c r="B498" s="87" t="s">
        <v>285</v>
      </c>
      <c r="C498" s="87">
        <v>1991</v>
      </c>
      <c r="D498" s="87" t="s">
        <v>18</v>
      </c>
      <c r="E498" s="116">
        <v>-1</v>
      </c>
      <c r="F498" s="87" t="s">
        <v>900</v>
      </c>
      <c r="G498" s="87" t="s">
        <v>272</v>
      </c>
      <c r="H498" s="87" t="s">
        <v>900</v>
      </c>
      <c r="I498" s="87">
        <v>34</v>
      </c>
    </row>
    <row r="499" spans="1:9" ht="15" customHeight="1" x14ac:dyDescent="0.25">
      <c r="A499" s="87" t="s">
        <v>16</v>
      </c>
      <c r="B499" s="87" t="s">
        <v>285</v>
      </c>
      <c r="C499" s="87">
        <v>1992</v>
      </c>
      <c r="D499" s="87" t="s">
        <v>18</v>
      </c>
      <c r="E499" s="116">
        <v>50</v>
      </c>
      <c r="F499" s="87" t="s">
        <v>508</v>
      </c>
      <c r="G499" s="87" t="s">
        <v>967</v>
      </c>
      <c r="H499" s="87" t="s">
        <v>508</v>
      </c>
      <c r="I499" s="87">
        <v>34</v>
      </c>
    </row>
    <row r="500" spans="1:9" ht="15" customHeight="1" x14ac:dyDescent="0.25">
      <c r="A500" s="87" t="s">
        <v>16</v>
      </c>
      <c r="B500" s="87" t="s">
        <v>285</v>
      </c>
      <c r="C500" s="87">
        <v>1993</v>
      </c>
      <c r="D500" s="87" t="s">
        <v>18</v>
      </c>
      <c r="E500" s="116">
        <v>330</v>
      </c>
      <c r="F500" s="87" t="s">
        <v>508</v>
      </c>
      <c r="G500" s="87" t="s">
        <v>967</v>
      </c>
      <c r="H500" s="87" t="s">
        <v>508</v>
      </c>
      <c r="I500" s="87">
        <v>34</v>
      </c>
    </row>
    <row r="501" spans="1:9" ht="15" customHeight="1" x14ac:dyDescent="0.25">
      <c r="A501" s="87" t="s">
        <v>16</v>
      </c>
      <c r="B501" s="87" t="s">
        <v>285</v>
      </c>
      <c r="C501" s="87">
        <v>1994</v>
      </c>
      <c r="D501" s="87" t="s">
        <v>18</v>
      </c>
      <c r="E501" s="116">
        <v>36</v>
      </c>
      <c r="F501" s="87" t="s">
        <v>508</v>
      </c>
      <c r="G501" s="87" t="s">
        <v>967</v>
      </c>
      <c r="H501" s="87" t="s">
        <v>508</v>
      </c>
      <c r="I501" s="87">
        <v>34</v>
      </c>
    </row>
    <row r="502" spans="1:9" ht="15" customHeight="1" x14ac:dyDescent="0.25">
      <c r="A502" s="87" t="s">
        <v>16</v>
      </c>
      <c r="B502" s="87" t="s">
        <v>285</v>
      </c>
      <c r="C502" s="87">
        <v>1995</v>
      </c>
      <c r="D502" s="87" t="s">
        <v>18</v>
      </c>
      <c r="E502" s="116">
        <v>10</v>
      </c>
      <c r="F502" s="87" t="s">
        <v>586</v>
      </c>
      <c r="G502" s="87" t="s">
        <v>967</v>
      </c>
      <c r="H502" s="87" t="s">
        <v>586</v>
      </c>
      <c r="I502" s="87">
        <v>34</v>
      </c>
    </row>
    <row r="503" spans="1:9" ht="15" customHeight="1" x14ac:dyDescent="0.25">
      <c r="A503" s="87" t="s">
        <v>16</v>
      </c>
      <c r="B503" s="87" t="s">
        <v>285</v>
      </c>
      <c r="C503" s="87">
        <v>1996</v>
      </c>
      <c r="D503" s="87" t="s">
        <v>18</v>
      </c>
      <c r="E503" s="116">
        <v>300</v>
      </c>
      <c r="F503" s="87" t="s">
        <v>586</v>
      </c>
      <c r="G503" s="87" t="s">
        <v>967</v>
      </c>
      <c r="H503" s="87" t="s">
        <v>586</v>
      </c>
      <c r="I503" s="87">
        <v>34</v>
      </c>
    </row>
    <row r="504" spans="1:9" ht="15" customHeight="1" x14ac:dyDescent="0.25">
      <c r="A504" s="87" t="s">
        <v>16</v>
      </c>
      <c r="B504" s="87" t="s">
        <v>285</v>
      </c>
      <c r="C504" s="87">
        <v>1997</v>
      </c>
      <c r="D504" s="87" t="s">
        <v>18</v>
      </c>
      <c r="E504" s="116">
        <v>32</v>
      </c>
      <c r="F504" s="87" t="s">
        <v>586</v>
      </c>
      <c r="G504" s="87" t="s">
        <v>967</v>
      </c>
      <c r="H504" s="87" t="s">
        <v>586</v>
      </c>
      <c r="I504" s="87">
        <v>34</v>
      </c>
    </row>
    <row r="505" spans="1:9" ht="15" customHeight="1" x14ac:dyDescent="0.25">
      <c r="A505" s="87" t="s">
        <v>16</v>
      </c>
      <c r="B505" s="87" t="s">
        <v>285</v>
      </c>
      <c r="C505" s="87">
        <v>1998</v>
      </c>
      <c r="D505" s="87" t="s">
        <v>18</v>
      </c>
      <c r="E505" s="116">
        <v>-1</v>
      </c>
      <c r="F505" s="87" t="s">
        <v>901</v>
      </c>
      <c r="G505" s="87" t="s">
        <v>272</v>
      </c>
      <c r="H505" s="87" t="s">
        <v>901</v>
      </c>
      <c r="I505" s="87">
        <v>34</v>
      </c>
    </row>
    <row r="506" spans="1:9" ht="15" customHeight="1" x14ac:dyDescent="0.25">
      <c r="A506" s="87" t="s">
        <v>16</v>
      </c>
      <c r="B506" s="87" t="s">
        <v>285</v>
      </c>
      <c r="C506" s="87">
        <v>1999</v>
      </c>
      <c r="D506" s="87" t="s">
        <v>18</v>
      </c>
      <c r="E506" s="116">
        <v>-1</v>
      </c>
      <c r="F506" s="87" t="s">
        <v>901</v>
      </c>
      <c r="G506" s="87" t="s">
        <v>272</v>
      </c>
      <c r="H506" s="87" t="s">
        <v>901</v>
      </c>
      <c r="I506" s="87">
        <v>34</v>
      </c>
    </row>
    <row r="507" spans="1:9" ht="15" customHeight="1" x14ac:dyDescent="0.25">
      <c r="A507" s="87" t="s">
        <v>16</v>
      </c>
      <c r="B507" s="87" t="s">
        <v>285</v>
      </c>
      <c r="C507" s="87">
        <v>2000</v>
      </c>
      <c r="D507" s="87" t="s">
        <v>18</v>
      </c>
      <c r="E507" s="116">
        <v>46</v>
      </c>
      <c r="F507" s="87" t="s">
        <v>967</v>
      </c>
      <c r="G507" s="87" t="s">
        <v>272</v>
      </c>
      <c r="H507" s="87" t="s">
        <v>967</v>
      </c>
      <c r="I507" s="87">
        <v>34</v>
      </c>
    </row>
    <row r="508" spans="1:9" ht="15" customHeight="1" x14ac:dyDescent="0.25">
      <c r="A508" s="87" t="s">
        <v>16</v>
      </c>
      <c r="B508" s="87" t="s">
        <v>285</v>
      </c>
      <c r="C508" s="87">
        <v>2001</v>
      </c>
      <c r="D508" s="87" t="s">
        <v>18</v>
      </c>
      <c r="E508" s="116">
        <v>248</v>
      </c>
      <c r="F508" s="87" t="s">
        <v>967</v>
      </c>
      <c r="G508" s="87" t="s">
        <v>272</v>
      </c>
      <c r="H508" s="87" t="s">
        <v>967</v>
      </c>
      <c r="I508" s="87">
        <v>34</v>
      </c>
    </row>
    <row r="509" spans="1:9" ht="15" customHeight="1" x14ac:dyDescent="0.25">
      <c r="A509" s="87" t="s">
        <v>16</v>
      </c>
      <c r="B509" s="87" t="s">
        <v>285</v>
      </c>
      <c r="C509" s="87">
        <v>2002</v>
      </c>
      <c r="D509" s="87" t="s">
        <v>18</v>
      </c>
      <c r="E509" s="116">
        <v>445</v>
      </c>
      <c r="F509" s="87" t="s">
        <v>967</v>
      </c>
      <c r="G509" s="87" t="s">
        <v>274</v>
      </c>
      <c r="H509" s="87" t="s">
        <v>967</v>
      </c>
      <c r="I509" s="87">
        <v>34</v>
      </c>
    </row>
    <row r="510" spans="1:9" ht="15" customHeight="1" x14ac:dyDescent="0.25">
      <c r="A510" s="87" t="s">
        <v>16</v>
      </c>
      <c r="B510" s="87" t="s">
        <v>285</v>
      </c>
      <c r="C510" s="87">
        <v>2003</v>
      </c>
      <c r="D510" s="87" t="s">
        <v>18</v>
      </c>
      <c r="E510" s="116">
        <v>158</v>
      </c>
      <c r="F510" s="87" t="s">
        <v>967</v>
      </c>
      <c r="G510" s="87" t="s">
        <v>272</v>
      </c>
      <c r="H510" s="87" t="s">
        <v>967</v>
      </c>
      <c r="I510" s="87">
        <v>34</v>
      </c>
    </row>
    <row r="511" spans="1:9" ht="15" customHeight="1" x14ac:dyDescent="0.25">
      <c r="A511" s="87" t="s">
        <v>16</v>
      </c>
      <c r="B511" s="87" t="s">
        <v>285</v>
      </c>
      <c r="C511" s="87">
        <v>2004</v>
      </c>
      <c r="D511" s="87" t="s">
        <v>18</v>
      </c>
      <c r="E511" s="116">
        <v>103</v>
      </c>
      <c r="F511" s="87" t="s">
        <v>967</v>
      </c>
      <c r="G511" s="87" t="s">
        <v>272</v>
      </c>
      <c r="H511" s="87" t="s">
        <v>967</v>
      </c>
      <c r="I511" s="87">
        <v>34</v>
      </c>
    </row>
    <row r="512" spans="1:9" ht="15" customHeight="1" x14ac:dyDescent="0.25">
      <c r="A512" s="87" t="s">
        <v>16</v>
      </c>
      <c r="B512" s="87" t="s">
        <v>285</v>
      </c>
      <c r="C512" s="87">
        <v>2005</v>
      </c>
      <c r="D512" s="87" t="s">
        <v>18</v>
      </c>
      <c r="E512" s="116">
        <v>83</v>
      </c>
      <c r="F512" s="87" t="s">
        <v>967</v>
      </c>
      <c r="G512" s="87" t="s">
        <v>272</v>
      </c>
      <c r="H512" s="87" t="s">
        <v>967</v>
      </c>
      <c r="I512" s="87">
        <v>34</v>
      </c>
    </row>
    <row r="513" spans="1:9" ht="15" customHeight="1" x14ac:dyDescent="0.25">
      <c r="A513" s="87" t="s">
        <v>16</v>
      </c>
      <c r="B513" s="87" t="s">
        <v>285</v>
      </c>
      <c r="C513" s="87">
        <v>2006</v>
      </c>
      <c r="D513" s="87" t="s">
        <v>18</v>
      </c>
      <c r="E513" s="116">
        <v>245</v>
      </c>
      <c r="F513" s="87" t="s">
        <v>967</v>
      </c>
      <c r="G513" s="87" t="s">
        <v>272</v>
      </c>
      <c r="H513" s="87" t="s">
        <v>967</v>
      </c>
      <c r="I513" s="87">
        <v>34</v>
      </c>
    </row>
    <row r="514" spans="1:9" ht="15" customHeight="1" x14ac:dyDescent="0.25">
      <c r="A514" s="87" t="s">
        <v>16</v>
      </c>
      <c r="B514" s="87" t="s">
        <v>285</v>
      </c>
      <c r="C514" s="87">
        <v>2007</v>
      </c>
      <c r="D514" s="87" t="s">
        <v>18</v>
      </c>
      <c r="E514" s="116">
        <v>51</v>
      </c>
      <c r="F514" s="87" t="s">
        <v>967</v>
      </c>
      <c r="G514" s="87" t="s">
        <v>272</v>
      </c>
      <c r="H514" s="87" t="s">
        <v>967</v>
      </c>
      <c r="I514" s="87">
        <v>34</v>
      </c>
    </row>
    <row r="515" spans="1:9" ht="15" customHeight="1" x14ac:dyDescent="0.25">
      <c r="A515" s="87" t="s">
        <v>16</v>
      </c>
      <c r="B515" s="87" t="s">
        <v>285</v>
      </c>
      <c r="C515" s="87">
        <v>2008</v>
      </c>
      <c r="D515" s="87" t="s">
        <v>18</v>
      </c>
      <c r="E515" s="116">
        <v>217</v>
      </c>
      <c r="F515" s="87" t="s">
        <v>967</v>
      </c>
      <c r="G515" s="87" t="s">
        <v>272</v>
      </c>
      <c r="H515" s="87" t="s">
        <v>967</v>
      </c>
      <c r="I515" s="87">
        <v>34</v>
      </c>
    </row>
    <row r="516" spans="1:9" ht="15" customHeight="1" x14ac:dyDescent="0.25">
      <c r="A516" s="87" t="s">
        <v>16</v>
      </c>
      <c r="B516" s="87" t="s">
        <v>285</v>
      </c>
      <c r="C516" s="87">
        <v>2009</v>
      </c>
      <c r="D516" s="87" t="s">
        <v>18</v>
      </c>
      <c r="E516" s="116">
        <v>74</v>
      </c>
      <c r="F516" s="87" t="s">
        <v>967</v>
      </c>
      <c r="G516" s="87" t="s">
        <v>272</v>
      </c>
      <c r="H516" s="87" t="s">
        <v>967</v>
      </c>
      <c r="I516" s="87">
        <v>34</v>
      </c>
    </row>
    <row r="517" spans="1:9" ht="15" customHeight="1" x14ac:dyDescent="0.25">
      <c r="A517" s="87" t="s">
        <v>16</v>
      </c>
      <c r="B517" s="87" t="s">
        <v>285</v>
      </c>
      <c r="C517" s="87">
        <v>2010</v>
      </c>
      <c r="D517" s="87" t="s">
        <v>18</v>
      </c>
      <c r="E517" s="116">
        <v>123</v>
      </c>
      <c r="F517" s="87" t="s">
        <v>967</v>
      </c>
      <c r="G517" s="87" t="s">
        <v>272</v>
      </c>
      <c r="H517" s="87" t="s">
        <v>967</v>
      </c>
      <c r="I517" s="87">
        <v>34</v>
      </c>
    </row>
    <row r="518" spans="1:9" ht="15" customHeight="1" x14ac:dyDescent="0.25">
      <c r="A518" s="87" t="s">
        <v>16</v>
      </c>
      <c r="B518" s="87" t="s">
        <v>285</v>
      </c>
      <c r="C518" s="87">
        <v>2011</v>
      </c>
      <c r="D518" s="87" t="s">
        <v>18</v>
      </c>
      <c r="E518" s="116">
        <v>65</v>
      </c>
      <c r="F518" s="87" t="s">
        <v>967</v>
      </c>
      <c r="G518" s="87" t="s">
        <v>272</v>
      </c>
      <c r="H518" s="87" t="s">
        <v>967</v>
      </c>
      <c r="I518" s="87">
        <v>34</v>
      </c>
    </row>
    <row r="519" spans="1:9" ht="15" customHeight="1" x14ac:dyDescent="0.25">
      <c r="A519" s="87" t="s">
        <v>16</v>
      </c>
      <c r="B519" s="87" t="s">
        <v>285</v>
      </c>
      <c r="C519" s="87">
        <v>2012</v>
      </c>
      <c r="D519" s="87" t="s">
        <v>18</v>
      </c>
      <c r="E519" s="116">
        <v>37</v>
      </c>
      <c r="F519" s="87" t="s">
        <v>967</v>
      </c>
      <c r="G519" s="87" t="s">
        <v>272</v>
      </c>
      <c r="H519" s="87" t="s">
        <v>967</v>
      </c>
      <c r="I519" s="87">
        <v>34</v>
      </c>
    </row>
    <row r="520" spans="1:9" ht="15" customHeight="1" x14ac:dyDescent="0.25">
      <c r="A520" s="87" t="s">
        <v>16</v>
      </c>
      <c r="B520" s="87" t="s">
        <v>285</v>
      </c>
      <c r="C520" s="87">
        <v>2013</v>
      </c>
      <c r="D520" s="87" t="s">
        <v>18</v>
      </c>
      <c r="E520" s="116">
        <v>34</v>
      </c>
      <c r="F520" s="87" t="s">
        <v>967</v>
      </c>
      <c r="G520" s="87" t="s">
        <v>272</v>
      </c>
      <c r="H520" s="87" t="s">
        <v>967</v>
      </c>
      <c r="I520" s="87">
        <v>34</v>
      </c>
    </row>
    <row r="521" spans="1:9" ht="15" customHeight="1" x14ac:dyDescent="0.25">
      <c r="A521" s="87" t="s">
        <v>16</v>
      </c>
      <c r="B521" s="87" t="s">
        <v>285</v>
      </c>
      <c r="C521" s="87">
        <v>2014</v>
      </c>
      <c r="D521" s="87" t="s">
        <v>18</v>
      </c>
      <c r="E521" s="116">
        <v>77</v>
      </c>
      <c r="F521" s="87" t="s">
        <v>967</v>
      </c>
      <c r="G521" s="87" t="s">
        <v>272</v>
      </c>
      <c r="H521" s="87" t="s">
        <v>967</v>
      </c>
      <c r="I521" s="87">
        <v>34</v>
      </c>
    </row>
    <row r="522" spans="1:9" ht="15" customHeight="1" x14ac:dyDescent="0.25">
      <c r="A522" s="87" t="s">
        <v>16</v>
      </c>
      <c r="B522" s="87" t="s">
        <v>285</v>
      </c>
      <c r="C522" s="87">
        <v>2015</v>
      </c>
      <c r="D522" s="87" t="s">
        <v>18</v>
      </c>
      <c r="E522" s="116">
        <v>83</v>
      </c>
      <c r="F522" s="87" t="s">
        <v>967</v>
      </c>
      <c r="G522" s="87" t="s">
        <v>272</v>
      </c>
      <c r="H522" s="87" t="s">
        <v>750</v>
      </c>
      <c r="I522" s="87">
        <v>34</v>
      </c>
    </row>
    <row r="523" spans="1:9" ht="15" customHeight="1" x14ac:dyDescent="0.25">
      <c r="A523" s="87" t="s">
        <v>16</v>
      </c>
      <c r="B523" s="87" t="s">
        <v>285</v>
      </c>
      <c r="C523" s="87">
        <v>2016</v>
      </c>
      <c r="D523" s="87" t="s">
        <v>18</v>
      </c>
      <c r="E523" s="116">
        <v>12</v>
      </c>
      <c r="F523" s="87" t="s">
        <v>967</v>
      </c>
      <c r="G523" s="87" t="s">
        <v>272</v>
      </c>
      <c r="H523" s="87" t="s">
        <v>751</v>
      </c>
      <c r="I523" s="87">
        <v>34</v>
      </c>
    </row>
    <row r="524" spans="1:9" ht="15" customHeight="1" x14ac:dyDescent="0.25">
      <c r="A524" s="87" t="s">
        <v>16</v>
      </c>
      <c r="B524" s="87" t="s">
        <v>285</v>
      </c>
      <c r="C524" s="87">
        <v>2017</v>
      </c>
      <c r="D524" s="87" t="s">
        <v>18</v>
      </c>
      <c r="E524" s="116">
        <v>20</v>
      </c>
      <c r="F524" s="87" t="s">
        <v>967</v>
      </c>
      <c r="G524" s="87" t="s">
        <v>272</v>
      </c>
      <c r="H524" s="87" t="s">
        <v>967</v>
      </c>
      <c r="I524" s="87">
        <v>34</v>
      </c>
    </row>
    <row r="525" spans="1:9" ht="15" customHeight="1" x14ac:dyDescent="0.25">
      <c r="A525" s="87" t="s">
        <v>16</v>
      </c>
      <c r="B525" s="87" t="s">
        <v>285</v>
      </c>
      <c r="C525" s="87">
        <v>2018</v>
      </c>
      <c r="D525" s="87" t="s">
        <v>18</v>
      </c>
      <c r="E525" s="116">
        <v>35</v>
      </c>
      <c r="F525" s="87" t="s">
        <v>967</v>
      </c>
      <c r="G525" s="87" t="s">
        <v>272</v>
      </c>
      <c r="H525" s="87" t="s">
        <v>967</v>
      </c>
      <c r="I525" s="87">
        <v>34</v>
      </c>
    </row>
    <row r="526" spans="1:9" ht="15" customHeight="1" x14ac:dyDescent="0.25">
      <c r="A526" s="87" t="s">
        <v>16</v>
      </c>
      <c r="B526" s="87" t="s">
        <v>285</v>
      </c>
      <c r="C526" s="87">
        <v>2019</v>
      </c>
      <c r="D526" s="87" t="s">
        <v>18</v>
      </c>
      <c r="E526" s="116">
        <v>191</v>
      </c>
      <c r="F526" s="87" t="s">
        <v>967</v>
      </c>
      <c r="G526" s="87" t="s">
        <v>274</v>
      </c>
      <c r="H526" s="87" t="s">
        <v>967</v>
      </c>
      <c r="I526" s="87">
        <v>34</v>
      </c>
    </row>
    <row r="527" spans="1:9" ht="15" customHeight="1" x14ac:dyDescent="0.25">
      <c r="A527" s="87" t="s">
        <v>16</v>
      </c>
      <c r="B527" s="87" t="s">
        <v>285</v>
      </c>
      <c r="C527" s="87">
        <v>2020</v>
      </c>
      <c r="D527" s="87" t="s">
        <v>18</v>
      </c>
      <c r="E527" s="116">
        <v>25</v>
      </c>
      <c r="F527" s="87" t="s">
        <v>967</v>
      </c>
      <c r="G527" s="87" t="s">
        <v>274</v>
      </c>
      <c r="H527" s="87" t="s">
        <v>967</v>
      </c>
      <c r="I527" s="87">
        <v>34</v>
      </c>
    </row>
    <row r="528" spans="1:9" ht="15" customHeight="1" x14ac:dyDescent="0.25">
      <c r="A528" s="87" t="s">
        <v>16</v>
      </c>
      <c r="B528" s="87" t="s">
        <v>285</v>
      </c>
      <c r="C528" s="87">
        <v>2021</v>
      </c>
      <c r="D528" s="87" t="s">
        <v>18</v>
      </c>
      <c r="E528" s="116">
        <v>12</v>
      </c>
      <c r="F528" s="87" t="s">
        <v>967</v>
      </c>
      <c r="G528" s="87" t="s">
        <v>272</v>
      </c>
      <c r="H528" s="87" t="s">
        <v>967</v>
      </c>
      <c r="I528" s="87">
        <v>34</v>
      </c>
    </row>
    <row r="529" spans="1:9" ht="15" customHeight="1" x14ac:dyDescent="0.25">
      <c r="A529" s="87" t="s">
        <v>16</v>
      </c>
      <c r="B529" s="87" t="s">
        <v>285</v>
      </c>
      <c r="C529" s="87">
        <v>2022</v>
      </c>
      <c r="D529" s="87" t="s">
        <v>18</v>
      </c>
      <c r="E529" s="116">
        <v>46</v>
      </c>
      <c r="F529" s="87" t="s">
        <v>967</v>
      </c>
      <c r="G529" s="87" t="s">
        <v>272</v>
      </c>
      <c r="H529" s="87" t="s">
        <v>967</v>
      </c>
      <c r="I529" s="87">
        <v>34</v>
      </c>
    </row>
    <row r="530" spans="1:9" ht="15" customHeight="1" x14ac:dyDescent="0.25">
      <c r="A530" s="87" t="s">
        <v>23</v>
      </c>
      <c r="B530" s="87" t="s">
        <v>286</v>
      </c>
      <c r="C530" s="87">
        <v>1975</v>
      </c>
      <c r="D530" s="87" t="s">
        <v>15</v>
      </c>
      <c r="E530" s="116">
        <v>-1</v>
      </c>
      <c r="F530" s="87" t="s">
        <v>482</v>
      </c>
      <c r="G530" s="87" t="s">
        <v>967</v>
      </c>
      <c r="H530" s="87" t="s">
        <v>481</v>
      </c>
      <c r="I530" s="87">
        <v>24</v>
      </c>
    </row>
    <row r="531" spans="1:9" ht="15" customHeight="1" x14ac:dyDescent="0.25">
      <c r="A531" s="87" t="s">
        <v>23</v>
      </c>
      <c r="B531" s="87" t="s">
        <v>286</v>
      </c>
      <c r="C531" s="87">
        <v>1976</v>
      </c>
      <c r="D531" s="87" t="s">
        <v>15</v>
      </c>
      <c r="E531" s="116">
        <v>-1</v>
      </c>
      <c r="F531" s="87" t="s">
        <v>481</v>
      </c>
      <c r="G531" s="87" t="s">
        <v>967</v>
      </c>
      <c r="H531" s="87" t="s">
        <v>481</v>
      </c>
      <c r="I531" s="87">
        <v>24</v>
      </c>
    </row>
    <row r="532" spans="1:9" ht="15" customHeight="1" x14ac:dyDescent="0.25">
      <c r="A532" s="87" t="s">
        <v>23</v>
      </c>
      <c r="B532" s="87" t="s">
        <v>286</v>
      </c>
      <c r="C532" s="87">
        <v>1977</v>
      </c>
      <c r="D532" s="87" t="s">
        <v>15</v>
      </c>
      <c r="E532" s="116">
        <v>-1</v>
      </c>
      <c r="F532" s="87" t="s">
        <v>481</v>
      </c>
      <c r="G532" s="87" t="s">
        <v>967</v>
      </c>
      <c r="H532" s="87" t="s">
        <v>481</v>
      </c>
      <c r="I532" s="87">
        <v>24</v>
      </c>
    </row>
    <row r="533" spans="1:9" ht="15" customHeight="1" x14ac:dyDescent="0.25">
      <c r="A533" s="87" t="s">
        <v>23</v>
      </c>
      <c r="B533" s="87" t="s">
        <v>286</v>
      </c>
      <c r="C533" s="87">
        <v>1978</v>
      </c>
      <c r="D533" s="87" t="s">
        <v>15</v>
      </c>
      <c r="E533" s="116">
        <v>-1</v>
      </c>
      <c r="F533" s="87" t="s">
        <v>481</v>
      </c>
      <c r="G533" s="87" t="s">
        <v>967</v>
      </c>
      <c r="H533" s="87" t="s">
        <v>481</v>
      </c>
      <c r="I533" s="87">
        <v>24</v>
      </c>
    </row>
    <row r="534" spans="1:9" ht="15" customHeight="1" x14ac:dyDescent="0.25">
      <c r="A534" s="87" t="s">
        <v>23</v>
      </c>
      <c r="B534" s="87" t="s">
        <v>286</v>
      </c>
      <c r="C534" s="87">
        <v>1979</v>
      </c>
      <c r="D534" s="87" t="s">
        <v>15</v>
      </c>
      <c r="E534" s="116">
        <v>-1</v>
      </c>
      <c r="F534" s="87" t="s">
        <v>481</v>
      </c>
      <c r="G534" s="87" t="s">
        <v>967</v>
      </c>
      <c r="H534" s="87" t="s">
        <v>481</v>
      </c>
      <c r="I534" s="87">
        <v>24</v>
      </c>
    </row>
    <row r="535" spans="1:9" ht="15" customHeight="1" x14ac:dyDescent="0.25">
      <c r="A535" s="87" t="s">
        <v>23</v>
      </c>
      <c r="B535" s="87" t="s">
        <v>286</v>
      </c>
      <c r="C535" s="87">
        <v>1980</v>
      </c>
      <c r="D535" s="87" t="s">
        <v>15</v>
      </c>
      <c r="E535" s="116">
        <v>-1</v>
      </c>
      <c r="F535" s="87" t="s">
        <v>481</v>
      </c>
      <c r="G535" s="87" t="s">
        <v>967</v>
      </c>
      <c r="H535" s="87" t="s">
        <v>481</v>
      </c>
      <c r="I535" s="87">
        <v>24</v>
      </c>
    </row>
    <row r="536" spans="1:9" ht="15" customHeight="1" x14ac:dyDescent="0.25">
      <c r="A536" s="87" t="s">
        <v>23</v>
      </c>
      <c r="B536" s="87" t="s">
        <v>286</v>
      </c>
      <c r="C536" s="87">
        <v>1981</v>
      </c>
      <c r="D536" s="87" t="s">
        <v>15</v>
      </c>
      <c r="E536" s="116">
        <v>-1</v>
      </c>
      <c r="F536" s="87" t="s">
        <v>481</v>
      </c>
      <c r="G536" s="87" t="s">
        <v>967</v>
      </c>
      <c r="H536" s="87" t="s">
        <v>481</v>
      </c>
      <c r="I536" s="87">
        <v>24</v>
      </c>
    </row>
    <row r="537" spans="1:9" ht="15" customHeight="1" x14ac:dyDescent="0.25">
      <c r="A537" s="87" t="s">
        <v>23</v>
      </c>
      <c r="B537" s="87" t="s">
        <v>286</v>
      </c>
      <c r="C537" s="87">
        <v>1982</v>
      </c>
      <c r="D537" s="87" t="s">
        <v>15</v>
      </c>
      <c r="E537" s="116">
        <v>-1</v>
      </c>
      <c r="F537" s="87" t="s">
        <v>481</v>
      </c>
      <c r="G537" s="87" t="s">
        <v>967</v>
      </c>
      <c r="H537" s="87" t="s">
        <v>481</v>
      </c>
      <c r="I537" s="87">
        <v>24</v>
      </c>
    </row>
    <row r="538" spans="1:9" ht="15" customHeight="1" x14ac:dyDescent="0.25">
      <c r="A538" s="87" t="s">
        <v>23</v>
      </c>
      <c r="B538" s="87" t="s">
        <v>286</v>
      </c>
      <c r="C538" s="87">
        <v>1983</v>
      </c>
      <c r="D538" s="87" t="s">
        <v>15</v>
      </c>
      <c r="E538" s="116">
        <v>-1</v>
      </c>
      <c r="F538" s="87" t="s">
        <v>481</v>
      </c>
      <c r="G538" s="87" t="s">
        <v>967</v>
      </c>
      <c r="H538" s="87" t="s">
        <v>481</v>
      </c>
      <c r="I538" s="87">
        <v>24</v>
      </c>
    </row>
    <row r="539" spans="1:9" ht="15" customHeight="1" x14ac:dyDescent="0.25">
      <c r="A539" s="87" t="s">
        <v>23</v>
      </c>
      <c r="B539" s="87" t="s">
        <v>286</v>
      </c>
      <c r="C539" s="87">
        <v>1984</v>
      </c>
      <c r="D539" s="87" t="s">
        <v>15</v>
      </c>
      <c r="E539" s="116">
        <v>-1</v>
      </c>
      <c r="F539" s="87" t="s">
        <v>481</v>
      </c>
      <c r="G539" s="87" t="s">
        <v>967</v>
      </c>
      <c r="H539" s="87" t="s">
        <v>481</v>
      </c>
      <c r="I539" s="87">
        <v>24</v>
      </c>
    </row>
    <row r="540" spans="1:9" ht="15" customHeight="1" x14ac:dyDescent="0.25">
      <c r="A540" s="87" t="s">
        <v>23</v>
      </c>
      <c r="B540" s="87" t="s">
        <v>286</v>
      </c>
      <c r="C540" s="87">
        <v>1985</v>
      </c>
      <c r="D540" s="87" t="s">
        <v>15</v>
      </c>
      <c r="E540" s="116">
        <v>-1</v>
      </c>
      <c r="F540" s="87" t="s">
        <v>481</v>
      </c>
      <c r="G540" s="87" t="s">
        <v>967</v>
      </c>
      <c r="H540" s="87" t="s">
        <v>481</v>
      </c>
      <c r="I540" s="87">
        <v>24</v>
      </c>
    </row>
    <row r="541" spans="1:9" ht="15" customHeight="1" x14ac:dyDescent="0.25">
      <c r="A541" s="87" t="s">
        <v>23</v>
      </c>
      <c r="B541" s="87" t="s">
        <v>286</v>
      </c>
      <c r="C541" s="87">
        <v>1986</v>
      </c>
      <c r="D541" s="87" t="s">
        <v>15</v>
      </c>
      <c r="E541" s="116">
        <v>-1</v>
      </c>
      <c r="F541" s="87" t="s">
        <v>481</v>
      </c>
      <c r="G541" s="87" t="s">
        <v>967</v>
      </c>
      <c r="H541" s="87" t="s">
        <v>481</v>
      </c>
      <c r="I541" s="87">
        <v>24</v>
      </c>
    </row>
    <row r="542" spans="1:9" ht="15" customHeight="1" x14ac:dyDescent="0.25">
      <c r="A542" s="87" t="s">
        <v>23</v>
      </c>
      <c r="B542" s="87" t="s">
        <v>286</v>
      </c>
      <c r="C542" s="87">
        <v>1987</v>
      </c>
      <c r="D542" s="87" t="s">
        <v>15</v>
      </c>
      <c r="E542" s="116">
        <v>-1</v>
      </c>
      <c r="F542" s="87" t="s">
        <v>481</v>
      </c>
      <c r="G542" s="87" t="s">
        <v>967</v>
      </c>
      <c r="H542" s="87" t="s">
        <v>481</v>
      </c>
      <c r="I542" s="87">
        <v>24</v>
      </c>
    </row>
    <row r="543" spans="1:9" ht="15" customHeight="1" x14ac:dyDescent="0.25">
      <c r="A543" s="87" t="s">
        <v>23</v>
      </c>
      <c r="B543" s="87" t="s">
        <v>286</v>
      </c>
      <c r="C543" s="87">
        <v>1988</v>
      </c>
      <c r="D543" s="87" t="s">
        <v>15</v>
      </c>
      <c r="E543" s="116">
        <v>-1</v>
      </c>
      <c r="F543" s="87" t="s">
        <v>481</v>
      </c>
      <c r="G543" s="87" t="s">
        <v>967</v>
      </c>
      <c r="H543" s="87" t="s">
        <v>481</v>
      </c>
      <c r="I543" s="87">
        <v>24</v>
      </c>
    </row>
    <row r="544" spans="1:9" ht="15" customHeight="1" x14ac:dyDescent="0.25">
      <c r="A544" s="87" t="s">
        <v>23</v>
      </c>
      <c r="B544" s="87" t="s">
        <v>286</v>
      </c>
      <c r="C544" s="87">
        <v>1989</v>
      </c>
      <c r="D544" s="87" t="s">
        <v>15</v>
      </c>
      <c r="E544" s="116">
        <v>-1</v>
      </c>
      <c r="F544" s="87" t="s">
        <v>481</v>
      </c>
      <c r="G544" s="87" t="s">
        <v>967</v>
      </c>
      <c r="H544" s="87" t="s">
        <v>481</v>
      </c>
      <c r="I544" s="87">
        <v>24</v>
      </c>
    </row>
    <row r="545" spans="1:9" ht="15" customHeight="1" x14ac:dyDescent="0.25">
      <c r="A545" s="87" t="s">
        <v>23</v>
      </c>
      <c r="B545" s="87" t="s">
        <v>286</v>
      </c>
      <c r="C545" s="87">
        <v>1990</v>
      </c>
      <c r="D545" s="87" t="s">
        <v>15</v>
      </c>
      <c r="E545" s="116">
        <v>-1</v>
      </c>
      <c r="F545" s="87" t="s">
        <v>481</v>
      </c>
      <c r="G545" s="87" t="s">
        <v>967</v>
      </c>
      <c r="H545" s="87" t="s">
        <v>481</v>
      </c>
      <c r="I545" s="87">
        <v>24</v>
      </c>
    </row>
    <row r="546" spans="1:9" ht="15" customHeight="1" x14ac:dyDescent="0.25">
      <c r="A546" s="87" t="s">
        <v>23</v>
      </c>
      <c r="B546" s="87" t="s">
        <v>286</v>
      </c>
      <c r="C546" s="87">
        <v>1991</v>
      </c>
      <c r="D546" s="87" t="s">
        <v>15</v>
      </c>
      <c r="E546" s="116">
        <v>-1</v>
      </c>
      <c r="F546" s="87" t="s">
        <v>481</v>
      </c>
      <c r="G546" s="87" t="s">
        <v>967</v>
      </c>
      <c r="H546" s="87" t="s">
        <v>481</v>
      </c>
      <c r="I546" s="87">
        <v>24</v>
      </c>
    </row>
    <row r="547" spans="1:9" ht="15" customHeight="1" x14ac:dyDescent="0.25">
      <c r="A547" s="87" t="s">
        <v>23</v>
      </c>
      <c r="B547" s="87" t="s">
        <v>286</v>
      </c>
      <c r="C547" s="87">
        <v>1992</v>
      </c>
      <c r="D547" s="87" t="s">
        <v>15</v>
      </c>
      <c r="E547" s="116">
        <v>-1</v>
      </c>
      <c r="F547" s="87" t="s">
        <v>481</v>
      </c>
      <c r="G547" s="87" t="s">
        <v>967</v>
      </c>
      <c r="H547" s="87" t="s">
        <v>481</v>
      </c>
      <c r="I547" s="87">
        <v>24</v>
      </c>
    </row>
    <row r="548" spans="1:9" ht="15" customHeight="1" x14ac:dyDescent="0.25">
      <c r="A548" s="87" t="s">
        <v>23</v>
      </c>
      <c r="B548" s="87" t="s">
        <v>286</v>
      </c>
      <c r="C548" s="87">
        <v>1993</v>
      </c>
      <c r="D548" s="87" t="s">
        <v>15</v>
      </c>
      <c r="E548" s="116">
        <v>-1</v>
      </c>
      <c r="F548" s="87" t="s">
        <v>481</v>
      </c>
      <c r="G548" s="87" t="s">
        <v>967</v>
      </c>
      <c r="H548" s="87" t="s">
        <v>481</v>
      </c>
      <c r="I548" s="87">
        <v>24</v>
      </c>
    </row>
    <row r="549" spans="1:9" ht="15" customHeight="1" x14ac:dyDescent="0.25">
      <c r="A549" s="87" t="s">
        <v>23</v>
      </c>
      <c r="B549" s="87" t="s">
        <v>286</v>
      </c>
      <c r="C549" s="87">
        <v>1994</v>
      </c>
      <c r="D549" s="87" t="s">
        <v>15</v>
      </c>
      <c r="E549" s="116">
        <v>-1</v>
      </c>
      <c r="F549" s="87" t="s">
        <v>481</v>
      </c>
      <c r="G549" s="87" t="s">
        <v>967</v>
      </c>
      <c r="H549" s="87" t="s">
        <v>481</v>
      </c>
      <c r="I549" s="87">
        <v>24</v>
      </c>
    </row>
    <row r="550" spans="1:9" ht="15" customHeight="1" x14ac:dyDescent="0.25">
      <c r="A550" s="87" t="s">
        <v>23</v>
      </c>
      <c r="B550" s="87" t="s">
        <v>286</v>
      </c>
      <c r="C550" s="87">
        <v>1995</v>
      </c>
      <c r="D550" s="87" t="s">
        <v>15</v>
      </c>
      <c r="E550" s="116">
        <v>-1</v>
      </c>
      <c r="F550" s="87" t="s">
        <v>481</v>
      </c>
      <c r="G550" s="87" t="s">
        <v>967</v>
      </c>
      <c r="H550" s="87" t="s">
        <v>481</v>
      </c>
      <c r="I550" s="87">
        <v>24</v>
      </c>
    </row>
    <row r="551" spans="1:9" ht="15" customHeight="1" x14ac:dyDescent="0.25">
      <c r="A551" s="87" t="s">
        <v>23</v>
      </c>
      <c r="B551" s="87" t="s">
        <v>286</v>
      </c>
      <c r="C551" s="87">
        <v>1996</v>
      </c>
      <c r="D551" s="87" t="s">
        <v>15</v>
      </c>
      <c r="E551" s="116">
        <v>150</v>
      </c>
      <c r="F551" s="87" t="s">
        <v>967</v>
      </c>
      <c r="G551" s="87" t="s">
        <v>332</v>
      </c>
      <c r="H551" s="87" t="s">
        <v>967</v>
      </c>
      <c r="I551" s="87">
        <v>24</v>
      </c>
    </row>
    <row r="552" spans="1:9" ht="15" customHeight="1" x14ac:dyDescent="0.25">
      <c r="A552" s="87" t="s">
        <v>23</v>
      </c>
      <c r="B552" s="87" t="s">
        <v>286</v>
      </c>
      <c r="C552" s="87">
        <v>1997</v>
      </c>
      <c r="D552" s="87" t="s">
        <v>15</v>
      </c>
      <c r="E552" s="116">
        <v>-1</v>
      </c>
      <c r="F552" s="87" t="s">
        <v>481</v>
      </c>
      <c r="G552" s="87" t="s">
        <v>967</v>
      </c>
      <c r="H552" s="87" t="s">
        <v>481</v>
      </c>
      <c r="I552" s="87">
        <v>24</v>
      </c>
    </row>
    <row r="553" spans="1:9" ht="15" customHeight="1" x14ac:dyDescent="0.25">
      <c r="A553" s="87" t="s">
        <v>23</v>
      </c>
      <c r="B553" s="87" t="s">
        <v>286</v>
      </c>
      <c r="C553" s="87">
        <v>1998</v>
      </c>
      <c r="D553" s="87" t="s">
        <v>15</v>
      </c>
      <c r="E553" s="116">
        <v>10</v>
      </c>
      <c r="F553" s="87" t="s">
        <v>967</v>
      </c>
      <c r="G553" s="87" t="s">
        <v>967</v>
      </c>
      <c r="H553" s="87" t="s">
        <v>967</v>
      </c>
      <c r="I553" s="87">
        <v>24</v>
      </c>
    </row>
    <row r="554" spans="1:9" ht="15" customHeight="1" x14ac:dyDescent="0.25">
      <c r="A554" s="87" t="s">
        <v>23</v>
      </c>
      <c r="B554" s="87" t="s">
        <v>286</v>
      </c>
      <c r="C554" s="87">
        <v>1999</v>
      </c>
      <c r="D554" s="87" t="s">
        <v>15</v>
      </c>
      <c r="E554" s="116">
        <v>0</v>
      </c>
      <c r="F554" s="87" t="s">
        <v>967</v>
      </c>
      <c r="G554" s="87" t="s">
        <v>272</v>
      </c>
      <c r="H554" s="87" t="s">
        <v>967</v>
      </c>
      <c r="I554" s="87">
        <v>24</v>
      </c>
    </row>
    <row r="555" spans="1:9" ht="15" customHeight="1" x14ac:dyDescent="0.25">
      <c r="A555" s="87" t="s">
        <v>23</v>
      </c>
      <c r="B555" s="87" t="s">
        <v>286</v>
      </c>
      <c r="C555" s="87">
        <v>2000</v>
      </c>
      <c r="D555" s="87" t="s">
        <v>15</v>
      </c>
      <c r="E555" s="116">
        <v>11</v>
      </c>
      <c r="F555" s="87" t="s">
        <v>967</v>
      </c>
      <c r="G555" s="87" t="s">
        <v>272</v>
      </c>
      <c r="H555" s="87" t="s">
        <v>967</v>
      </c>
      <c r="I555" s="87">
        <v>24</v>
      </c>
    </row>
    <row r="556" spans="1:9" ht="15" customHeight="1" x14ac:dyDescent="0.25">
      <c r="A556" s="87" t="s">
        <v>23</v>
      </c>
      <c r="B556" s="87" t="s">
        <v>286</v>
      </c>
      <c r="C556" s="87">
        <v>2001</v>
      </c>
      <c r="D556" s="87" t="s">
        <v>15</v>
      </c>
      <c r="E556" s="116">
        <v>15</v>
      </c>
      <c r="F556" s="87" t="s">
        <v>967</v>
      </c>
      <c r="G556" s="87" t="s">
        <v>272</v>
      </c>
      <c r="H556" s="87" t="s">
        <v>967</v>
      </c>
      <c r="I556" s="87">
        <v>24</v>
      </c>
    </row>
    <row r="557" spans="1:9" ht="15" customHeight="1" x14ac:dyDescent="0.25">
      <c r="A557" s="87" t="s">
        <v>23</v>
      </c>
      <c r="B557" s="87" t="s">
        <v>286</v>
      </c>
      <c r="C557" s="87">
        <v>2002</v>
      </c>
      <c r="D557" s="87" t="s">
        <v>15</v>
      </c>
      <c r="E557" s="116">
        <v>2</v>
      </c>
      <c r="F557" s="87" t="s">
        <v>313</v>
      </c>
      <c r="G557" s="87" t="s">
        <v>272</v>
      </c>
      <c r="H557" s="87" t="s">
        <v>483</v>
      </c>
      <c r="I557" s="87">
        <v>24</v>
      </c>
    </row>
    <row r="558" spans="1:9" ht="15" customHeight="1" x14ac:dyDescent="0.25">
      <c r="A558" s="87" t="s">
        <v>23</v>
      </c>
      <c r="B558" s="87" t="s">
        <v>286</v>
      </c>
      <c r="C558" s="87">
        <v>2003</v>
      </c>
      <c r="D558" s="87" t="s">
        <v>15</v>
      </c>
      <c r="E558" s="116">
        <v>-1</v>
      </c>
      <c r="F558" s="87" t="s">
        <v>967</v>
      </c>
      <c r="G558" s="87" t="s">
        <v>272</v>
      </c>
      <c r="H558" s="87" t="s">
        <v>484</v>
      </c>
      <c r="I558" s="87">
        <v>24</v>
      </c>
    </row>
    <row r="559" spans="1:9" ht="15" customHeight="1" x14ac:dyDescent="0.25">
      <c r="A559" s="87" t="s">
        <v>23</v>
      </c>
      <c r="B559" s="87" t="s">
        <v>286</v>
      </c>
      <c r="C559" s="87">
        <v>2004</v>
      </c>
      <c r="D559" s="87" t="s">
        <v>15</v>
      </c>
      <c r="E559" s="116">
        <v>0</v>
      </c>
      <c r="F559" s="87" t="s">
        <v>967</v>
      </c>
      <c r="G559" s="87" t="s">
        <v>272</v>
      </c>
      <c r="H559" s="87" t="s">
        <v>485</v>
      </c>
      <c r="I559" s="87">
        <v>24</v>
      </c>
    </row>
    <row r="560" spans="1:9" ht="15" customHeight="1" x14ac:dyDescent="0.25">
      <c r="A560" s="87" t="s">
        <v>23</v>
      </c>
      <c r="B560" s="87" t="s">
        <v>286</v>
      </c>
      <c r="C560" s="87">
        <v>2005</v>
      </c>
      <c r="D560" s="87" t="s">
        <v>15</v>
      </c>
      <c r="E560" s="116">
        <v>0</v>
      </c>
      <c r="F560" s="87" t="s">
        <v>967</v>
      </c>
      <c r="G560" s="87" t="s">
        <v>272</v>
      </c>
      <c r="H560" s="87" t="s">
        <v>486</v>
      </c>
      <c r="I560" s="87">
        <v>24</v>
      </c>
    </row>
    <row r="561" spans="1:9" ht="15" customHeight="1" x14ac:dyDescent="0.25">
      <c r="A561" s="87" t="s">
        <v>23</v>
      </c>
      <c r="B561" s="87" t="s">
        <v>286</v>
      </c>
      <c r="C561" s="87">
        <v>2006</v>
      </c>
      <c r="D561" s="87" t="s">
        <v>15</v>
      </c>
      <c r="E561" s="116">
        <v>-1</v>
      </c>
      <c r="F561" s="87" t="s">
        <v>967</v>
      </c>
      <c r="G561" s="87" t="s">
        <v>967</v>
      </c>
      <c r="H561" s="87" t="s">
        <v>487</v>
      </c>
      <c r="I561" s="87">
        <v>24</v>
      </c>
    </row>
    <row r="562" spans="1:9" ht="15" customHeight="1" x14ac:dyDescent="0.25">
      <c r="A562" s="87" t="s">
        <v>23</v>
      </c>
      <c r="B562" s="87" t="s">
        <v>286</v>
      </c>
      <c r="C562" s="87">
        <v>2007</v>
      </c>
      <c r="D562" s="87" t="s">
        <v>15</v>
      </c>
      <c r="E562" s="116">
        <v>0</v>
      </c>
      <c r="F562" s="87" t="s">
        <v>967</v>
      </c>
      <c r="G562" s="87" t="s">
        <v>272</v>
      </c>
      <c r="H562" s="87" t="s">
        <v>487</v>
      </c>
      <c r="I562" s="87">
        <v>24</v>
      </c>
    </row>
    <row r="563" spans="1:9" ht="15" customHeight="1" x14ac:dyDescent="0.25">
      <c r="A563" s="87" t="s">
        <v>23</v>
      </c>
      <c r="B563" s="87" t="s">
        <v>286</v>
      </c>
      <c r="C563" s="87">
        <v>2008</v>
      </c>
      <c r="D563" s="87" t="s">
        <v>15</v>
      </c>
      <c r="E563" s="116">
        <v>0</v>
      </c>
      <c r="F563" s="87" t="s">
        <v>967</v>
      </c>
      <c r="G563" s="87" t="s">
        <v>272</v>
      </c>
      <c r="H563" s="87" t="s">
        <v>967</v>
      </c>
      <c r="I563" s="87">
        <v>24</v>
      </c>
    </row>
    <row r="564" spans="1:9" ht="15" customHeight="1" x14ac:dyDescent="0.25">
      <c r="A564" s="87" t="s">
        <v>23</v>
      </c>
      <c r="B564" s="87" t="s">
        <v>286</v>
      </c>
      <c r="C564" s="87">
        <v>2009</v>
      </c>
      <c r="D564" s="87" t="s">
        <v>15</v>
      </c>
      <c r="E564" s="116">
        <v>0</v>
      </c>
      <c r="F564" s="87" t="s">
        <v>967</v>
      </c>
      <c r="G564" s="87" t="s">
        <v>272</v>
      </c>
      <c r="H564" s="87" t="s">
        <v>488</v>
      </c>
      <c r="I564" s="87">
        <v>24</v>
      </c>
    </row>
    <row r="565" spans="1:9" ht="15" customHeight="1" x14ac:dyDescent="0.25">
      <c r="A565" s="87" t="s">
        <v>23</v>
      </c>
      <c r="B565" s="87" t="s">
        <v>286</v>
      </c>
      <c r="C565" s="87">
        <v>2010</v>
      </c>
      <c r="D565" s="87" t="s">
        <v>15</v>
      </c>
      <c r="E565" s="116">
        <v>0</v>
      </c>
      <c r="F565" s="87" t="s">
        <v>967</v>
      </c>
      <c r="G565" s="87" t="s">
        <v>272</v>
      </c>
      <c r="H565" s="87" t="s">
        <v>489</v>
      </c>
      <c r="I565" s="87">
        <v>24</v>
      </c>
    </row>
    <row r="566" spans="1:9" ht="15" customHeight="1" x14ac:dyDescent="0.25">
      <c r="A566" s="87" t="s">
        <v>23</v>
      </c>
      <c r="B566" s="87" t="s">
        <v>286</v>
      </c>
      <c r="C566" s="87">
        <v>2011</v>
      </c>
      <c r="D566" s="87" t="s">
        <v>15</v>
      </c>
      <c r="E566" s="116">
        <v>2</v>
      </c>
      <c r="F566" s="87" t="s">
        <v>967</v>
      </c>
      <c r="G566" s="87" t="s">
        <v>272</v>
      </c>
      <c r="H566" s="87" t="s">
        <v>967</v>
      </c>
      <c r="I566" s="87">
        <v>24</v>
      </c>
    </row>
    <row r="567" spans="1:9" ht="15" customHeight="1" x14ac:dyDescent="0.25">
      <c r="A567" s="87" t="s">
        <v>23</v>
      </c>
      <c r="B567" s="87" t="s">
        <v>286</v>
      </c>
      <c r="C567" s="87">
        <v>2012</v>
      </c>
      <c r="D567" s="87" t="s">
        <v>15</v>
      </c>
      <c r="E567" s="116">
        <v>-1</v>
      </c>
      <c r="F567" s="87" t="s">
        <v>967</v>
      </c>
      <c r="G567" s="87" t="s">
        <v>967</v>
      </c>
      <c r="H567" s="87" t="s">
        <v>490</v>
      </c>
      <c r="I567" s="87">
        <v>24</v>
      </c>
    </row>
    <row r="568" spans="1:9" ht="15" customHeight="1" x14ac:dyDescent="0.25">
      <c r="A568" s="87" t="s">
        <v>23</v>
      </c>
      <c r="B568" s="87" t="s">
        <v>286</v>
      </c>
      <c r="C568" s="87">
        <v>2013</v>
      </c>
      <c r="D568" s="87" t="s">
        <v>15</v>
      </c>
      <c r="E568" s="116">
        <v>-1</v>
      </c>
      <c r="F568" s="87" t="s">
        <v>967</v>
      </c>
      <c r="G568" s="87" t="s">
        <v>967</v>
      </c>
      <c r="H568" s="87" t="s">
        <v>967</v>
      </c>
      <c r="I568" s="87">
        <v>24</v>
      </c>
    </row>
    <row r="569" spans="1:9" ht="15" customHeight="1" x14ac:dyDescent="0.25">
      <c r="A569" s="87" t="s">
        <v>23</v>
      </c>
      <c r="B569" s="87" t="s">
        <v>286</v>
      </c>
      <c r="C569" s="87">
        <v>2014</v>
      </c>
      <c r="D569" s="87" t="s">
        <v>15</v>
      </c>
      <c r="E569" s="116">
        <v>-1</v>
      </c>
      <c r="F569" s="87" t="s">
        <v>967</v>
      </c>
      <c r="G569" s="87" t="s">
        <v>967</v>
      </c>
      <c r="H569" s="87" t="s">
        <v>491</v>
      </c>
      <c r="I569" s="87">
        <v>24</v>
      </c>
    </row>
    <row r="570" spans="1:9" ht="15" customHeight="1" x14ac:dyDescent="0.25">
      <c r="A570" s="87" t="s">
        <v>23</v>
      </c>
      <c r="B570" s="87" t="s">
        <v>286</v>
      </c>
      <c r="C570" s="87">
        <v>2015</v>
      </c>
      <c r="D570" s="87" t="s">
        <v>15</v>
      </c>
      <c r="E570" s="116">
        <v>-1</v>
      </c>
      <c r="F570" s="87" t="s">
        <v>967</v>
      </c>
      <c r="G570" s="87" t="s">
        <v>967</v>
      </c>
      <c r="H570" s="87" t="s">
        <v>492</v>
      </c>
      <c r="I570" s="87">
        <v>24</v>
      </c>
    </row>
    <row r="571" spans="1:9" ht="15" customHeight="1" x14ac:dyDescent="0.25">
      <c r="A571" s="87" t="s">
        <v>23</v>
      </c>
      <c r="B571" s="87" t="s">
        <v>286</v>
      </c>
      <c r="C571" s="87">
        <v>2016</v>
      </c>
      <c r="D571" s="87" t="s">
        <v>15</v>
      </c>
      <c r="E571" s="116">
        <v>0</v>
      </c>
      <c r="F571" s="87" t="s">
        <v>967</v>
      </c>
      <c r="G571" s="87" t="s">
        <v>272</v>
      </c>
      <c r="H571" s="87" t="s">
        <v>493</v>
      </c>
      <c r="I571" s="87">
        <v>24</v>
      </c>
    </row>
    <row r="572" spans="1:9" ht="15" customHeight="1" x14ac:dyDescent="0.25">
      <c r="A572" s="87" t="s">
        <v>23</v>
      </c>
      <c r="B572" s="87" t="s">
        <v>286</v>
      </c>
      <c r="C572" s="87">
        <v>2017</v>
      </c>
      <c r="D572" s="87" t="s">
        <v>15</v>
      </c>
      <c r="E572" s="116">
        <v>0</v>
      </c>
      <c r="F572" s="87" t="s">
        <v>967</v>
      </c>
      <c r="G572" s="87" t="s">
        <v>967</v>
      </c>
      <c r="H572" s="87" t="s">
        <v>967</v>
      </c>
      <c r="I572" s="87">
        <v>24</v>
      </c>
    </row>
    <row r="573" spans="1:9" ht="15" customHeight="1" x14ac:dyDescent="0.25">
      <c r="A573" s="87" t="s">
        <v>23</v>
      </c>
      <c r="B573" s="87" t="s">
        <v>286</v>
      </c>
      <c r="C573" s="87">
        <v>2018</v>
      </c>
      <c r="D573" s="87" t="s">
        <v>15</v>
      </c>
      <c r="E573" s="116">
        <v>-1</v>
      </c>
      <c r="F573" s="87" t="s">
        <v>967</v>
      </c>
      <c r="G573" s="87" t="s">
        <v>967</v>
      </c>
      <c r="H573" s="87" t="s">
        <v>923</v>
      </c>
      <c r="I573" s="87">
        <v>24</v>
      </c>
    </row>
    <row r="574" spans="1:9" ht="15" customHeight="1" x14ac:dyDescent="0.25">
      <c r="A574" s="87" t="s">
        <v>23</v>
      </c>
      <c r="B574" s="87" t="s">
        <v>286</v>
      </c>
      <c r="C574" s="87">
        <v>2019</v>
      </c>
      <c r="D574" s="87" t="s">
        <v>15</v>
      </c>
      <c r="E574" s="116">
        <v>0</v>
      </c>
      <c r="F574" s="87" t="s">
        <v>967</v>
      </c>
      <c r="G574" s="87" t="s">
        <v>272</v>
      </c>
      <c r="H574" s="87" t="s">
        <v>967</v>
      </c>
      <c r="I574" s="87">
        <v>24</v>
      </c>
    </row>
    <row r="575" spans="1:9" ht="15" customHeight="1" x14ac:dyDescent="0.25">
      <c r="A575" s="87" t="s">
        <v>23</v>
      </c>
      <c r="B575" s="87" t="s">
        <v>286</v>
      </c>
      <c r="C575" s="87">
        <v>2020</v>
      </c>
      <c r="D575" s="87" t="s">
        <v>15</v>
      </c>
      <c r="E575" s="116">
        <v>0</v>
      </c>
      <c r="F575" s="87" t="s">
        <v>967</v>
      </c>
      <c r="G575" s="87" t="s">
        <v>272</v>
      </c>
      <c r="H575" s="87" t="s">
        <v>967</v>
      </c>
      <c r="I575" s="87">
        <v>24</v>
      </c>
    </row>
    <row r="576" spans="1:9" ht="15" customHeight="1" x14ac:dyDescent="0.25">
      <c r="A576" s="87" t="s">
        <v>23</v>
      </c>
      <c r="B576" s="87" t="s">
        <v>286</v>
      </c>
      <c r="C576" s="87">
        <v>2021</v>
      </c>
      <c r="D576" s="87" t="s">
        <v>15</v>
      </c>
      <c r="E576" s="116">
        <v>0</v>
      </c>
      <c r="F576" s="87" t="s">
        <v>967</v>
      </c>
      <c r="G576" s="87" t="s">
        <v>272</v>
      </c>
      <c r="H576" s="87" t="s">
        <v>967</v>
      </c>
      <c r="I576" s="87">
        <v>24</v>
      </c>
    </row>
    <row r="577" spans="1:9" ht="15" customHeight="1" x14ac:dyDescent="0.25">
      <c r="A577" s="87" t="s">
        <v>23</v>
      </c>
      <c r="B577" s="87" t="s">
        <v>286</v>
      </c>
      <c r="C577" s="87">
        <v>2022</v>
      </c>
      <c r="D577" s="87" t="s">
        <v>15</v>
      </c>
      <c r="E577" s="116">
        <v>0</v>
      </c>
      <c r="F577" s="87" t="s">
        <v>967</v>
      </c>
      <c r="G577" s="87" t="s">
        <v>272</v>
      </c>
      <c r="H577" s="87" t="s">
        <v>967</v>
      </c>
      <c r="I577" s="87">
        <v>24</v>
      </c>
    </row>
    <row r="578" spans="1:9" ht="15" customHeight="1" x14ac:dyDescent="0.25">
      <c r="A578" s="87" t="s">
        <v>23</v>
      </c>
      <c r="B578" s="87" t="s">
        <v>215</v>
      </c>
      <c r="C578" s="87">
        <v>1975</v>
      </c>
      <c r="D578" s="87" t="s">
        <v>15</v>
      </c>
      <c r="E578" s="116">
        <v>-1</v>
      </c>
      <c r="F578" s="87" t="s">
        <v>500</v>
      </c>
      <c r="G578" s="87" t="s">
        <v>272</v>
      </c>
      <c r="H578" s="87" t="s">
        <v>900</v>
      </c>
      <c r="I578" s="87">
        <v>23</v>
      </c>
    </row>
    <row r="579" spans="1:9" ht="15" customHeight="1" x14ac:dyDescent="0.25">
      <c r="A579" s="87" t="s">
        <v>23</v>
      </c>
      <c r="B579" s="87" t="s">
        <v>215</v>
      </c>
      <c r="C579" s="87">
        <v>1976</v>
      </c>
      <c r="D579" s="87" t="s">
        <v>15</v>
      </c>
      <c r="E579" s="116">
        <v>-1</v>
      </c>
      <c r="F579" s="87" t="s">
        <v>500</v>
      </c>
      <c r="G579" s="87" t="s">
        <v>272</v>
      </c>
      <c r="H579" s="87" t="s">
        <v>900</v>
      </c>
      <c r="I579" s="87">
        <v>23</v>
      </c>
    </row>
    <row r="580" spans="1:9" ht="15" customHeight="1" x14ac:dyDescent="0.25">
      <c r="A580" s="87" t="s">
        <v>23</v>
      </c>
      <c r="B580" s="87" t="s">
        <v>215</v>
      </c>
      <c r="C580" s="87">
        <v>1977</v>
      </c>
      <c r="D580" s="87" t="s">
        <v>15</v>
      </c>
      <c r="E580" s="116">
        <v>-1</v>
      </c>
      <c r="F580" s="87" t="s">
        <v>500</v>
      </c>
      <c r="G580" s="87" t="s">
        <v>272</v>
      </c>
      <c r="H580" s="87" t="s">
        <v>900</v>
      </c>
      <c r="I580" s="87">
        <v>23</v>
      </c>
    </row>
    <row r="581" spans="1:9" ht="15" customHeight="1" x14ac:dyDescent="0.25">
      <c r="A581" s="87" t="s">
        <v>23</v>
      </c>
      <c r="B581" s="87" t="s">
        <v>215</v>
      </c>
      <c r="C581" s="87">
        <v>1978</v>
      </c>
      <c r="D581" s="87" t="s">
        <v>15</v>
      </c>
      <c r="E581" s="116">
        <v>-1</v>
      </c>
      <c r="F581" s="87" t="s">
        <v>500</v>
      </c>
      <c r="G581" s="87" t="s">
        <v>272</v>
      </c>
      <c r="H581" s="87" t="s">
        <v>900</v>
      </c>
      <c r="I581" s="87">
        <v>23</v>
      </c>
    </row>
    <row r="582" spans="1:9" ht="15" customHeight="1" x14ac:dyDescent="0.25">
      <c r="A582" s="87" t="s">
        <v>23</v>
      </c>
      <c r="B582" s="87" t="s">
        <v>215</v>
      </c>
      <c r="C582" s="87">
        <v>1979</v>
      </c>
      <c r="D582" s="87" t="s">
        <v>15</v>
      </c>
      <c r="E582" s="116">
        <v>-1</v>
      </c>
      <c r="F582" s="87" t="s">
        <v>500</v>
      </c>
      <c r="G582" s="87" t="s">
        <v>272</v>
      </c>
      <c r="H582" s="87" t="s">
        <v>900</v>
      </c>
      <c r="I582" s="87">
        <v>23</v>
      </c>
    </row>
    <row r="583" spans="1:9" ht="15" customHeight="1" x14ac:dyDescent="0.25">
      <c r="A583" s="87" t="s">
        <v>23</v>
      </c>
      <c r="B583" s="87" t="s">
        <v>215</v>
      </c>
      <c r="C583" s="87">
        <v>1980</v>
      </c>
      <c r="D583" s="87" t="s">
        <v>15</v>
      </c>
      <c r="E583" s="116">
        <v>-1</v>
      </c>
      <c r="F583" s="87" t="s">
        <v>500</v>
      </c>
      <c r="G583" s="87" t="s">
        <v>272</v>
      </c>
      <c r="H583" s="87" t="s">
        <v>900</v>
      </c>
      <c r="I583" s="87">
        <v>23</v>
      </c>
    </row>
    <row r="584" spans="1:9" ht="15" customHeight="1" x14ac:dyDescent="0.25">
      <c r="A584" s="87" t="s">
        <v>23</v>
      </c>
      <c r="B584" s="87" t="s">
        <v>215</v>
      </c>
      <c r="C584" s="87">
        <v>1981</v>
      </c>
      <c r="D584" s="87" t="s">
        <v>15</v>
      </c>
      <c r="E584" s="116">
        <v>-1</v>
      </c>
      <c r="F584" s="87" t="s">
        <v>500</v>
      </c>
      <c r="G584" s="87" t="s">
        <v>272</v>
      </c>
      <c r="H584" s="87" t="s">
        <v>900</v>
      </c>
      <c r="I584" s="87">
        <v>23</v>
      </c>
    </row>
    <row r="585" spans="1:9" ht="15" customHeight="1" x14ac:dyDescent="0.25">
      <c r="A585" s="87" t="s">
        <v>23</v>
      </c>
      <c r="B585" s="87" t="s">
        <v>215</v>
      </c>
      <c r="C585" s="87">
        <v>1982</v>
      </c>
      <c r="D585" s="87" t="s">
        <v>15</v>
      </c>
      <c r="E585" s="116">
        <v>-1</v>
      </c>
      <c r="F585" s="87" t="s">
        <v>500</v>
      </c>
      <c r="G585" s="87" t="s">
        <v>272</v>
      </c>
      <c r="H585" s="87" t="s">
        <v>900</v>
      </c>
      <c r="I585" s="87">
        <v>23</v>
      </c>
    </row>
    <row r="586" spans="1:9" ht="15" customHeight="1" x14ac:dyDescent="0.25">
      <c r="A586" s="87" t="s">
        <v>23</v>
      </c>
      <c r="B586" s="87" t="s">
        <v>215</v>
      </c>
      <c r="C586" s="87">
        <v>1983</v>
      </c>
      <c r="D586" s="87" t="s">
        <v>15</v>
      </c>
      <c r="E586" s="116">
        <v>-1</v>
      </c>
      <c r="F586" s="87" t="s">
        <v>500</v>
      </c>
      <c r="G586" s="87" t="s">
        <v>272</v>
      </c>
      <c r="H586" s="87" t="s">
        <v>900</v>
      </c>
      <c r="I586" s="87">
        <v>23</v>
      </c>
    </row>
    <row r="587" spans="1:9" ht="15" customHeight="1" x14ac:dyDescent="0.25">
      <c r="A587" s="87" t="s">
        <v>23</v>
      </c>
      <c r="B587" s="87" t="s">
        <v>215</v>
      </c>
      <c r="C587" s="87">
        <v>1984</v>
      </c>
      <c r="D587" s="87" t="s">
        <v>15</v>
      </c>
      <c r="E587" s="116">
        <v>-1</v>
      </c>
      <c r="F587" s="87" t="s">
        <v>500</v>
      </c>
      <c r="G587" s="87" t="s">
        <v>272</v>
      </c>
      <c r="H587" s="87" t="s">
        <v>900</v>
      </c>
      <c r="I587" s="87">
        <v>23</v>
      </c>
    </row>
    <row r="588" spans="1:9" ht="15" customHeight="1" x14ac:dyDescent="0.25">
      <c r="A588" s="87" t="s">
        <v>23</v>
      </c>
      <c r="B588" s="87" t="s">
        <v>215</v>
      </c>
      <c r="C588" s="87">
        <v>1985</v>
      </c>
      <c r="D588" s="87" t="s">
        <v>15</v>
      </c>
      <c r="E588" s="116">
        <v>-1</v>
      </c>
      <c r="F588" s="87" t="s">
        <v>500</v>
      </c>
      <c r="G588" s="87" t="s">
        <v>272</v>
      </c>
      <c r="H588" s="87" t="s">
        <v>900</v>
      </c>
      <c r="I588" s="87">
        <v>23</v>
      </c>
    </row>
    <row r="589" spans="1:9" ht="15" customHeight="1" x14ac:dyDescent="0.25">
      <c r="A589" s="87" t="s">
        <v>23</v>
      </c>
      <c r="B589" s="87" t="s">
        <v>215</v>
      </c>
      <c r="C589" s="87">
        <v>1986</v>
      </c>
      <c r="D589" s="87" t="s">
        <v>15</v>
      </c>
      <c r="E589" s="116">
        <v>-1</v>
      </c>
      <c r="F589" s="87" t="s">
        <v>500</v>
      </c>
      <c r="G589" s="87" t="s">
        <v>272</v>
      </c>
      <c r="H589" s="87" t="s">
        <v>900</v>
      </c>
      <c r="I589" s="87">
        <v>23</v>
      </c>
    </row>
    <row r="590" spans="1:9" ht="15" customHeight="1" x14ac:dyDescent="0.25">
      <c r="A590" s="87" t="s">
        <v>23</v>
      </c>
      <c r="B590" s="87" t="s">
        <v>215</v>
      </c>
      <c r="C590" s="87">
        <v>1987</v>
      </c>
      <c r="D590" s="87" t="s">
        <v>15</v>
      </c>
      <c r="E590" s="116">
        <v>-1</v>
      </c>
      <c r="F590" s="87" t="s">
        <v>500</v>
      </c>
      <c r="G590" s="87" t="s">
        <v>272</v>
      </c>
      <c r="H590" s="87" t="s">
        <v>900</v>
      </c>
      <c r="I590" s="87">
        <v>23</v>
      </c>
    </row>
    <row r="591" spans="1:9" ht="15" customHeight="1" x14ac:dyDescent="0.25">
      <c r="A591" s="87" t="s">
        <v>23</v>
      </c>
      <c r="B591" s="87" t="s">
        <v>215</v>
      </c>
      <c r="C591" s="87">
        <v>1988</v>
      </c>
      <c r="D591" s="87" t="s">
        <v>15</v>
      </c>
      <c r="E591" s="116">
        <v>-1</v>
      </c>
      <c r="F591" s="87" t="s">
        <v>500</v>
      </c>
      <c r="G591" s="87" t="s">
        <v>272</v>
      </c>
      <c r="H591" s="87" t="s">
        <v>900</v>
      </c>
      <c r="I591" s="87">
        <v>23</v>
      </c>
    </row>
    <row r="592" spans="1:9" ht="15" customHeight="1" x14ac:dyDescent="0.25">
      <c r="A592" s="87" t="s">
        <v>23</v>
      </c>
      <c r="B592" s="87" t="s">
        <v>215</v>
      </c>
      <c r="C592" s="87">
        <v>1989</v>
      </c>
      <c r="D592" s="87" t="s">
        <v>15</v>
      </c>
      <c r="E592" s="116">
        <v>-1</v>
      </c>
      <c r="F592" s="87" t="s">
        <v>500</v>
      </c>
      <c r="G592" s="87" t="s">
        <v>272</v>
      </c>
      <c r="H592" s="87" t="s">
        <v>900</v>
      </c>
      <c r="I592" s="87">
        <v>23</v>
      </c>
    </row>
    <row r="593" spans="1:9" ht="15" customHeight="1" x14ac:dyDescent="0.25">
      <c r="A593" s="87" t="s">
        <v>23</v>
      </c>
      <c r="B593" s="87" t="s">
        <v>215</v>
      </c>
      <c r="C593" s="87">
        <v>1990</v>
      </c>
      <c r="D593" s="87" t="s">
        <v>15</v>
      </c>
      <c r="E593" s="116">
        <v>-1</v>
      </c>
      <c r="F593" s="87" t="s">
        <v>500</v>
      </c>
      <c r="G593" s="87" t="s">
        <v>272</v>
      </c>
      <c r="H593" s="87" t="s">
        <v>900</v>
      </c>
      <c r="I593" s="87">
        <v>23</v>
      </c>
    </row>
    <row r="594" spans="1:9" ht="15" customHeight="1" x14ac:dyDescent="0.25">
      <c r="A594" s="87" t="s">
        <v>23</v>
      </c>
      <c r="B594" s="87" t="s">
        <v>215</v>
      </c>
      <c r="C594" s="87">
        <v>1991</v>
      </c>
      <c r="D594" s="87" t="s">
        <v>15</v>
      </c>
      <c r="E594" s="116">
        <v>-1</v>
      </c>
      <c r="F594" s="87" t="s">
        <v>500</v>
      </c>
      <c r="G594" s="87" t="s">
        <v>272</v>
      </c>
      <c r="H594" s="87" t="s">
        <v>900</v>
      </c>
      <c r="I594" s="87">
        <v>23</v>
      </c>
    </row>
    <row r="595" spans="1:9" ht="15" customHeight="1" x14ac:dyDescent="0.25">
      <c r="A595" s="87" t="s">
        <v>23</v>
      </c>
      <c r="B595" s="87" t="s">
        <v>215</v>
      </c>
      <c r="C595" s="87">
        <v>1992</v>
      </c>
      <c r="D595" s="87" t="s">
        <v>15</v>
      </c>
      <c r="E595" s="116">
        <v>-1</v>
      </c>
      <c r="F595" s="87" t="s">
        <v>500</v>
      </c>
      <c r="G595" s="87" t="s">
        <v>272</v>
      </c>
      <c r="H595" s="87" t="s">
        <v>900</v>
      </c>
      <c r="I595" s="87">
        <v>23</v>
      </c>
    </row>
    <row r="596" spans="1:9" ht="15" customHeight="1" x14ac:dyDescent="0.25">
      <c r="A596" s="87" t="s">
        <v>23</v>
      </c>
      <c r="B596" s="87" t="s">
        <v>215</v>
      </c>
      <c r="C596" s="87">
        <v>1993</v>
      </c>
      <c r="D596" s="87" t="s">
        <v>15</v>
      </c>
      <c r="E596" s="116">
        <v>-1</v>
      </c>
      <c r="F596" s="87" t="s">
        <v>500</v>
      </c>
      <c r="G596" s="87" t="s">
        <v>272</v>
      </c>
      <c r="H596" s="87" t="s">
        <v>900</v>
      </c>
      <c r="I596" s="87">
        <v>23</v>
      </c>
    </row>
    <row r="597" spans="1:9" ht="15" customHeight="1" x14ac:dyDescent="0.25">
      <c r="A597" s="87" t="s">
        <v>23</v>
      </c>
      <c r="B597" s="87" t="s">
        <v>215</v>
      </c>
      <c r="C597" s="87">
        <v>1994</v>
      </c>
      <c r="D597" s="87" t="s">
        <v>15</v>
      </c>
      <c r="E597" s="116">
        <v>-1</v>
      </c>
      <c r="F597" s="87" t="s">
        <v>500</v>
      </c>
      <c r="G597" s="87" t="s">
        <v>272</v>
      </c>
      <c r="H597" s="87" t="s">
        <v>900</v>
      </c>
      <c r="I597" s="87">
        <v>23</v>
      </c>
    </row>
    <row r="598" spans="1:9" ht="15" customHeight="1" x14ac:dyDescent="0.25">
      <c r="A598" s="87" t="s">
        <v>23</v>
      </c>
      <c r="B598" s="87" t="s">
        <v>215</v>
      </c>
      <c r="C598" s="87">
        <v>1995</v>
      </c>
      <c r="D598" s="87" t="s">
        <v>15</v>
      </c>
      <c r="E598" s="116">
        <v>-1</v>
      </c>
      <c r="F598" s="87" t="s">
        <v>500</v>
      </c>
      <c r="G598" s="87" t="s">
        <v>272</v>
      </c>
      <c r="H598" s="87" t="s">
        <v>900</v>
      </c>
      <c r="I598" s="87">
        <v>23</v>
      </c>
    </row>
    <row r="599" spans="1:9" ht="15" customHeight="1" x14ac:dyDescent="0.25">
      <c r="A599" s="87" t="s">
        <v>23</v>
      </c>
      <c r="B599" s="87" t="s">
        <v>215</v>
      </c>
      <c r="C599" s="87">
        <v>1996</v>
      </c>
      <c r="D599" s="87" t="s">
        <v>15</v>
      </c>
      <c r="E599" s="116">
        <v>-1</v>
      </c>
      <c r="F599" s="87" t="s">
        <v>500</v>
      </c>
      <c r="G599" s="87" t="s">
        <v>272</v>
      </c>
      <c r="H599" s="87" t="s">
        <v>900</v>
      </c>
      <c r="I599" s="87">
        <v>23</v>
      </c>
    </row>
    <row r="600" spans="1:9" ht="15" customHeight="1" x14ac:dyDescent="0.25">
      <c r="A600" s="87" t="s">
        <v>23</v>
      </c>
      <c r="B600" s="87" t="s">
        <v>215</v>
      </c>
      <c r="C600" s="87">
        <v>1997</v>
      </c>
      <c r="D600" s="87" t="s">
        <v>15</v>
      </c>
      <c r="E600" s="116">
        <v>-1</v>
      </c>
      <c r="F600" s="87" t="s">
        <v>500</v>
      </c>
      <c r="G600" s="87" t="s">
        <v>272</v>
      </c>
      <c r="H600" s="87" t="s">
        <v>900</v>
      </c>
      <c r="I600" s="87">
        <v>23</v>
      </c>
    </row>
    <row r="601" spans="1:9" ht="15" customHeight="1" x14ac:dyDescent="0.25">
      <c r="A601" s="87" t="s">
        <v>23</v>
      </c>
      <c r="B601" s="87" t="s">
        <v>215</v>
      </c>
      <c r="C601" s="87">
        <v>1998</v>
      </c>
      <c r="D601" s="87" t="s">
        <v>15</v>
      </c>
      <c r="E601" s="116">
        <v>-1</v>
      </c>
      <c r="F601" s="87" t="s">
        <v>967</v>
      </c>
      <c r="G601" s="87" t="s">
        <v>272</v>
      </c>
      <c r="H601" s="87" t="s">
        <v>900</v>
      </c>
      <c r="I601" s="87">
        <v>23</v>
      </c>
    </row>
    <row r="602" spans="1:9" ht="15" customHeight="1" x14ac:dyDescent="0.25">
      <c r="A602" s="87" t="s">
        <v>23</v>
      </c>
      <c r="B602" s="87" t="s">
        <v>215</v>
      </c>
      <c r="C602" s="87">
        <v>1999</v>
      </c>
      <c r="D602" s="87" t="s">
        <v>15</v>
      </c>
      <c r="E602" s="116">
        <v>-1</v>
      </c>
      <c r="F602" s="87" t="s">
        <v>967</v>
      </c>
      <c r="G602" s="87" t="s">
        <v>272</v>
      </c>
      <c r="H602" s="87" t="s">
        <v>924</v>
      </c>
      <c r="I602" s="87">
        <v>23</v>
      </c>
    </row>
    <row r="603" spans="1:9" ht="15" customHeight="1" x14ac:dyDescent="0.25">
      <c r="A603" s="87" t="s">
        <v>23</v>
      </c>
      <c r="B603" s="87" t="s">
        <v>215</v>
      </c>
      <c r="C603" s="87">
        <v>2000</v>
      </c>
      <c r="D603" s="87" t="s">
        <v>15</v>
      </c>
      <c r="E603" s="116">
        <v>318</v>
      </c>
      <c r="F603" s="87" t="s">
        <v>967</v>
      </c>
      <c r="G603" s="87" t="s">
        <v>272</v>
      </c>
      <c r="H603" s="87" t="s">
        <v>967</v>
      </c>
      <c r="I603" s="87">
        <v>23</v>
      </c>
    </row>
    <row r="604" spans="1:9" ht="15" customHeight="1" x14ac:dyDescent="0.25">
      <c r="A604" s="87" t="s">
        <v>23</v>
      </c>
      <c r="B604" s="87" t="s">
        <v>215</v>
      </c>
      <c r="C604" s="87">
        <v>2001</v>
      </c>
      <c r="D604" s="87" t="s">
        <v>15</v>
      </c>
      <c r="E604" s="116">
        <v>309</v>
      </c>
      <c r="F604" s="87" t="s">
        <v>967</v>
      </c>
      <c r="G604" s="87" t="s">
        <v>272</v>
      </c>
      <c r="H604" s="87" t="s">
        <v>967</v>
      </c>
      <c r="I604" s="87">
        <v>23</v>
      </c>
    </row>
    <row r="605" spans="1:9" ht="15" customHeight="1" x14ac:dyDescent="0.25">
      <c r="A605" s="87" t="s">
        <v>23</v>
      </c>
      <c r="B605" s="87" t="s">
        <v>215</v>
      </c>
      <c r="C605" s="87">
        <v>2002</v>
      </c>
      <c r="D605" s="87" t="s">
        <v>15</v>
      </c>
      <c r="E605" s="116">
        <v>380</v>
      </c>
      <c r="F605" s="87" t="s">
        <v>967</v>
      </c>
      <c r="G605" s="87" t="s">
        <v>272</v>
      </c>
      <c r="H605" s="87" t="s">
        <v>967</v>
      </c>
      <c r="I605" s="87">
        <v>23</v>
      </c>
    </row>
    <row r="606" spans="1:9" ht="15" customHeight="1" x14ac:dyDescent="0.25">
      <c r="A606" s="87" t="s">
        <v>23</v>
      </c>
      <c r="B606" s="87" t="s">
        <v>215</v>
      </c>
      <c r="C606" s="87">
        <v>2003</v>
      </c>
      <c r="D606" s="87" t="s">
        <v>15</v>
      </c>
      <c r="E606" s="116">
        <v>1320</v>
      </c>
      <c r="F606" s="87" t="s">
        <v>967</v>
      </c>
      <c r="G606" s="87" t="s">
        <v>272</v>
      </c>
      <c r="H606" s="87" t="s">
        <v>967</v>
      </c>
      <c r="I606" s="87">
        <v>23</v>
      </c>
    </row>
    <row r="607" spans="1:9" ht="15" customHeight="1" x14ac:dyDescent="0.25">
      <c r="A607" s="87" t="s">
        <v>23</v>
      </c>
      <c r="B607" s="87" t="s">
        <v>215</v>
      </c>
      <c r="C607" s="87">
        <v>2004</v>
      </c>
      <c r="D607" s="87" t="s">
        <v>15</v>
      </c>
      <c r="E607" s="116">
        <v>484</v>
      </c>
      <c r="F607" s="87" t="s">
        <v>967</v>
      </c>
      <c r="G607" s="87" t="s">
        <v>272</v>
      </c>
      <c r="H607" s="87" t="s">
        <v>501</v>
      </c>
      <c r="I607" s="87">
        <v>23</v>
      </c>
    </row>
    <row r="608" spans="1:9" ht="15" customHeight="1" x14ac:dyDescent="0.25">
      <c r="A608" s="87" t="s">
        <v>23</v>
      </c>
      <c r="B608" s="87" t="s">
        <v>215</v>
      </c>
      <c r="C608" s="87">
        <v>2005</v>
      </c>
      <c r="D608" s="87" t="s">
        <v>15</v>
      </c>
      <c r="E608" s="116">
        <v>117</v>
      </c>
      <c r="F608" s="87" t="s">
        <v>313</v>
      </c>
      <c r="G608" s="87" t="s">
        <v>272</v>
      </c>
      <c r="H608" s="87" t="s">
        <v>502</v>
      </c>
      <c r="I608" s="87">
        <v>23</v>
      </c>
    </row>
    <row r="609" spans="1:9" ht="15" customHeight="1" x14ac:dyDescent="0.25">
      <c r="A609" s="87" t="s">
        <v>23</v>
      </c>
      <c r="B609" s="87" t="s">
        <v>215</v>
      </c>
      <c r="C609" s="87">
        <v>2006</v>
      </c>
      <c r="D609" s="87" t="s">
        <v>15</v>
      </c>
      <c r="E609" s="116">
        <v>216</v>
      </c>
      <c r="F609" s="87" t="s">
        <v>967</v>
      </c>
      <c r="G609" s="87" t="s">
        <v>272</v>
      </c>
      <c r="H609" s="87" t="s">
        <v>967</v>
      </c>
      <c r="I609" s="87">
        <v>23</v>
      </c>
    </row>
    <row r="610" spans="1:9" ht="15" customHeight="1" x14ac:dyDescent="0.25">
      <c r="A610" s="87" t="s">
        <v>23</v>
      </c>
      <c r="B610" s="87" t="s">
        <v>215</v>
      </c>
      <c r="C610" s="87">
        <v>2007</v>
      </c>
      <c r="D610" s="87" t="s">
        <v>15</v>
      </c>
      <c r="E610" s="116">
        <v>168</v>
      </c>
      <c r="F610" s="87" t="s">
        <v>967</v>
      </c>
      <c r="G610" s="87" t="s">
        <v>272</v>
      </c>
      <c r="H610" s="87" t="s">
        <v>967</v>
      </c>
      <c r="I610" s="87">
        <v>23</v>
      </c>
    </row>
    <row r="611" spans="1:9" ht="15" customHeight="1" x14ac:dyDescent="0.25">
      <c r="A611" s="87" t="s">
        <v>23</v>
      </c>
      <c r="B611" s="87" t="s">
        <v>215</v>
      </c>
      <c r="C611" s="87">
        <v>2008</v>
      </c>
      <c r="D611" s="87" t="s">
        <v>15</v>
      </c>
      <c r="E611" s="116">
        <v>145</v>
      </c>
      <c r="F611" s="87" t="s">
        <v>967</v>
      </c>
      <c r="G611" s="87" t="s">
        <v>272</v>
      </c>
      <c r="H611" s="87" t="s">
        <v>503</v>
      </c>
      <c r="I611" s="87">
        <v>23</v>
      </c>
    </row>
    <row r="612" spans="1:9" ht="15" customHeight="1" x14ac:dyDescent="0.25">
      <c r="A612" s="87" t="s">
        <v>23</v>
      </c>
      <c r="B612" s="87" t="s">
        <v>215</v>
      </c>
      <c r="C612" s="87">
        <v>2009</v>
      </c>
      <c r="D612" s="87" t="s">
        <v>15</v>
      </c>
      <c r="E612" s="116">
        <v>326</v>
      </c>
      <c r="F612" s="87" t="s">
        <v>967</v>
      </c>
      <c r="G612" s="87" t="s">
        <v>272</v>
      </c>
      <c r="H612" s="87" t="s">
        <v>967</v>
      </c>
      <c r="I612" s="87">
        <v>23</v>
      </c>
    </row>
    <row r="613" spans="1:9" ht="15" customHeight="1" x14ac:dyDescent="0.25">
      <c r="A613" s="87" t="s">
        <v>23</v>
      </c>
      <c r="B613" s="87" t="s">
        <v>215</v>
      </c>
      <c r="C613" s="87">
        <v>2010</v>
      </c>
      <c r="D613" s="87" t="s">
        <v>15</v>
      </c>
      <c r="E613" s="116">
        <v>415</v>
      </c>
      <c r="F613" s="87" t="s">
        <v>967</v>
      </c>
      <c r="G613" s="87" t="s">
        <v>272</v>
      </c>
      <c r="H613" s="87" t="s">
        <v>504</v>
      </c>
      <c r="I613" s="87">
        <v>23</v>
      </c>
    </row>
    <row r="614" spans="1:9" ht="15" customHeight="1" x14ac:dyDescent="0.25">
      <c r="A614" s="87" t="s">
        <v>23</v>
      </c>
      <c r="B614" s="87" t="s">
        <v>215</v>
      </c>
      <c r="C614" s="87">
        <v>2011</v>
      </c>
      <c r="D614" s="87" t="s">
        <v>15</v>
      </c>
      <c r="E614" s="116">
        <v>283</v>
      </c>
      <c r="F614" s="87" t="s">
        <v>967</v>
      </c>
      <c r="G614" s="87" t="s">
        <v>272</v>
      </c>
      <c r="H614" s="87" t="s">
        <v>967</v>
      </c>
      <c r="I614" s="87">
        <v>23</v>
      </c>
    </row>
    <row r="615" spans="1:9" ht="15" customHeight="1" x14ac:dyDescent="0.25">
      <c r="A615" s="87" t="s">
        <v>23</v>
      </c>
      <c r="B615" s="87" t="s">
        <v>215</v>
      </c>
      <c r="C615" s="87">
        <v>2012</v>
      </c>
      <c r="D615" s="87" t="s">
        <v>15</v>
      </c>
      <c r="E615" s="116">
        <v>148</v>
      </c>
      <c r="F615" s="87" t="s">
        <v>967</v>
      </c>
      <c r="G615" s="87" t="s">
        <v>272</v>
      </c>
      <c r="H615" s="87" t="s">
        <v>967</v>
      </c>
      <c r="I615" s="87">
        <v>23</v>
      </c>
    </row>
    <row r="616" spans="1:9" ht="15" customHeight="1" x14ac:dyDescent="0.25">
      <c r="A616" s="87" t="s">
        <v>23</v>
      </c>
      <c r="B616" s="87" t="s">
        <v>215</v>
      </c>
      <c r="C616" s="87">
        <v>2013</v>
      </c>
      <c r="D616" s="87" t="s">
        <v>15</v>
      </c>
      <c r="E616" s="116">
        <v>338</v>
      </c>
      <c r="F616" s="87" t="s">
        <v>967</v>
      </c>
      <c r="G616" s="87" t="s">
        <v>272</v>
      </c>
      <c r="H616" s="87" t="s">
        <v>967</v>
      </c>
      <c r="I616" s="87">
        <v>23</v>
      </c>
    </row>
    <row r="617" spans="1:9" ht="15" customHeight="1" x14ac:dyDescent="0.25">
      <c r="A617" s="87" t="s">
        <v>23</v>
      </c>
      <c r="B617" s="87" t="s">
        <v>215</v>
      </c>
      <c r="C617" s="87">
        <v>2014</v>
      </c>
      <c r="D617" s="87" t="s">
        <v>15</v>
      </c>
      <c r="E617" s="116">
        <v>743</v>
      </c>
      <c r="F617" s="87" t="s">
        <v>967</v>
      </c>
      <c r="G617" s="87" t="s">
        <v>272</v>
      </c>
      <c r="H617" s="87" t="s">
        <v>967</v>
      </c>
      <c r="I617" s="87">
        <v>23</v>
      </c>
    </row>
    <row r="618" spans="1:9" ht="15" customHeight="1" x14ac:dyDescent="0.25">
      <c r="A618" s="87" t="s">
        <v>23</v>
      </c>
      <c r="B618" s="87" t="s">
        <v>215</v>
      </c>
      <c r="C618" s="87">
        <v>2015</v>
      </c>
      <c r="D618" s="87" t="s">
        <v>15</v>
      </c>
      <c r="E618" s="116">
        <v>380</v>
      </c>
      <c r="F618" s="87" t="s">
        <v>967</v>
      </c>
      <c r="G618" s="87" t="s">
        <v>272</v>
      </c>
      <c r="H618" s="87" t="s">
        <v>505</v>
      </c>
      <c r="I618" s="87">
        <v>23</v>
      </c>
    </row>
    <row r="619" spans="1:9" ht="15" customHeight="1" x14ac:dyDescent="0.25">
      <c r="A619" s="87" t="s">
        <v>23</v>
      </c>
      <c r="B619" s="87" t="s">
        <v>215</v>
      </c>
      <c r="C619" s="87">
        <v>2016</v>
      </c>
      <c r="D619" s="87" t="s">
        <v>15</v>
      </c>
      <c r="E619" s="116">
        <v>175</v>
      </c>
      <c r="F619" s="87" t="s">
        <v>967</v>
      </c>
      <c r="G619" s="87" t="s">
        <v>272</v>
      </c>
      <c r="H619" s="87" t="s">
        <v>506</v>
      </c>
      <c r="I619" s="87">
        <v>23</v>
      </c>
    </row>
    <row r="620" spans="1:9" ht="15" customHeight="1" x14ac:dyDescent="0.25">
      <c r="A620" s="87" t="s">
        <v>23</v>
      </c>
      <c r="B620" s="87" t="s">
        <v>215</v>
      </c>
      <c r="C620" s="87">
        <v>2017</v>
      </c>
      <c r="D620" s="87" t="s">
        <v>15</v>
      </c>
      <c r="E620" s="116">
        <v>-1</v>
      </c>
      <c r="F620" s="87" t="s">
        <v>967</v>
      </c>
      <c r="G620" s="87" t="s">
        <v>272</v>
      </c>
      <c r="H620" s="87" t="s">
        <v>507</v>
      </c>
      <c r="I620" s="87">
        <v>23</v>
      </c>
    </row>
    <row r="621" spans="1:9" ht="15" customHeight="1" x14ac:dyDescent="0.25">
      <c r="A621" s="87" t="s">
        <v>23</v>
      </c>
      <c r="B621" s="87" t="s">
        <v>215</v>
      </c>
      <c r="C621" s="87">
        <v>2018</v>
      </c>
      <c r="D621" s="87" t="s">
        <v>15</v>
      </c>
      <c r="E621" s="116">
        <v>246</v>
      </c>
      <c r="F621" s="87" t="s">
        <v>967</v>
      </c>
      <c r="G621" s="87" t="s">
        <v>272</v>
      </c>
      <c r="H621" s="87" t="s">
        <v>967</v>
      </c>
      <c r="I621" s="87">
        <v>23</v>
      </c>
    </row>
    <row r="622" spans="1:9" ht="15" customHeight="1" x14ac:dyDescent="0.25">
      <c r="A622" s="87" t="s">
        <v>23</v>
      </c>
      <c r="B622" s="87" t="s">
        <v>215</v>
      </c>
      <c r="C622" s="87">
        <v>2019</v>
      </c>
      <c r="D622" s="87" t="s">
        <v>15</v>
      </c>
      <c r="E622" s="116">
        <v>51</v>
      </c>
      <c r="F622" s="87" t="s">
        <v>967</v>
      </c>
      <c r="G622" s="87" t="s">
        <v>272</v>
      </c>
      <c r="H622" s="87" t="s">
        <v>967</v>
      </c>
      <c r="I622" s="87">
        <v>23</v>
      </c>
    </row>
    <row r="623" spans="1:9" ht="15" customHeight="1" x14ac:dyDescent="0.25">
      <c r="A623" s="87" t="s">
        <v>23</v>
      </c>
      <c r="B623" s="87" t="s">
        <v>215</v>
      </c>
      <c r="C623" s="87">
        <v>2020</v>
      </c>
      <c r="D623" s="87" t="s">
        <v>15</v>
      </c>
      <c r="E623" s="116">
        <v>351</v>
      </c>
      <c r="F623" s="87" t="s">
        <v>967</v>
      </c>
      <c r="G623" s="87" t="s">
        <v>272</v>
      </c>
      <c r="H623" s="87" t="s">
        <v>967</v>
      </c>
      <c r="I623" s="87">
        <v>23</v>
      </c>
    </row>
    <row r="624" spans="1:9" ht="15" customHeight="1" x14ac:dyDescent="0.25">
      <c r="A624" s="87" t="s">
        <v>23</v>
      </c>
      <c r="B624" s="87" t="s">
        <v>215</v>
      </c>
      <c r="C624" s="87">
        <v>2021</v>
      </c>
      <c r="D624" s="87" t="s">
        <v>15</v>
      </c>
      <c r="E624" s="116">
        <v>686</v>
      </c>
      <c r="F624" s="87" t="s">
        <v>967</v>
      </c>
      <c r="G624" s="87" t="s">
        <v>272</v>
      </c>
      <c r="H624" s="87" t="s">
        <v>967</v>
      </c>
      <c r="I624" s="87">
        <v>23</v>
      </c>
    </row>
    <row r="625" spans="1:9" ht="15" customHeight="1" x14ac:dyDescent="0.25">
      <c r="A625" s="87" t="s">
        <v>23</v>
      </c>
      <c r="B625" s="87" t="s">
        <v>215</v>
      </c>
      <c r="C625" s="87">
        <v>2022</v>
      </c>
      <c r="D625" s="87" t="s">
        <v>15</v>
      </c>
      <c r="E625" s="116">
        <v>428</v>
      </c>
      <c r="F625" s="87" t="s">
        <v>967</v>
      </c>
      <c r="G625" s="87" t="s">
        <v>272</v>
      </c>
      <c r="H625" s="87" t="s">
        <v>967</v>
      </c>
      <c r="I625" s="87">
        <v>23</v>
      </c>
    </row>
    <row r="626" spans="1:9" ht="15" customHeight="1" x14ac:dyDescent="0.25">
      <c r="A626" s="87" t="s">
        <v>23</v>
      </c>
      <c r="B626" s="87" t="s">
        <v>288</v>
      </c>
      <c r="C626" s="87">
        <v>1975</v>
      </c>
      <c r="D626" s="87" t="s">
        <v>15</v>
      </c>
      <c r="E626" s="116">
        <v>-1</v>
      </c>
      <c r="F626" s="87" t="s">
        <v>967</v>
      </c>
      <c r="G626" s="87" t="s">
        <v>967</v>
      </c>
      <c r="H626" s="87" t="s">
        <v>967</v>
      </c>
      <c r="I626" s="87">
        <v>69</v>
      </c>
    </row>
    <row r="627" spans="1:9" ht="15" customHeight="1" x14ac:dyDescent="0.25">
      <c r="A627" s="87" t="s">
        <v>23</v>
      </c>
      <c r="B627" s="87" t="s">
        <v>288</v>
      </c>
      <c r="C627" s="87">
        <v>1976</v>
      </c>
      <c r="D627" s="87" t="s">
        <v>15</v>
      </c>
      <c r="E627" s="116">
        <v>-1</v>
      </c>
      <c r="F627" s="87" t="s">
        <v>967</v>
      </c>
      <c r="G627" s="87" t="s">
        <v>967</v>
      </c>
      <c r="H627" s="87" t="s">
        <v>967</v>
      </c>
      <c r="I627" s="87">
        <v>69</v>
      </c>
    </row>
    <row r="628" spans="1:9" ht="15" customHeight="1" x14ac:dyDescent="0.25">
      <c r="A628" s="87" t="s">
        <v>23</v>
      </c>
      <c r="B628" s="87" t="s">
        <v>288</v>
      </c>
      <c r="C628" s="87">
        <v>1977</v>
      </c>
      <c r="D628" s="87" t="s">
        <v>15</v>
      </c>
      <c r="E628" s="116">
        <v>-1</v>
      </c>
      <c r="F628" s="87" t="s">
        <v>967</v>
      </c>
      <c r="G628" s="87" t="s">
        <v>967</v>
      </c>
      <c r="H628" s="87" t="s">
        <v>967</v>
      </c>
      <c r="I628" s="87">
        <v>69</v>
      </c>
    </row>
    <row r="629" spans="1:9" ht="15" customHeight="1" x14ac:dyDescent="0.25">
      <c r="A629" s="87" t="s">
        <v>23</v>
      </c>
      <c r="B629" s="87" t="s">
        <v>288</v>
      </c>
      <c r="C629" s="87">
        <v>1978</v>
      </c>
      <c r="D629" s="87" t="s">
        <v>15</v>
      </c>
      <c r="E629" s="116">
        <v>-1</v>
      </c>
      <c r="F629" s="87" t="s">
        <v>967</v>
      </c>
      <c r="G629" s="87" t="s">
        <v>967</v>
      </c>
      <c r="H629" s="87" t="s">
        <v>967</v>
      </c>
      <c r="I629" s="87">
        <v>69</v>
      </c>
    </row>
    <row r="630" spans="1:9" ht="15" customHeight="1" x14ac:dyDescent="0.25">
      <c r="A630" s="87" t="s">
        <v>23</v>
      </c>
      <c r="B630" s="87" t="s">
        <v>288</v>
      </c>
      <c r="C630" s="87">
        <v>1979</v>
      </c>
      <c r="D630" s="87" t="s">
        <v>15</v>
      </c>
      <c r="E630" s="116">
        <v>-1</v>
      </c>
      <c r="F630" s="87" t="s">
        <v>967</v>
      </c>
      <c r="G630" s="87" t="s">
        <v>967</v>
      </c>
      <c r="H630" s="87" t="s">
        <v>967</v>
      </c>
      <c r="I630" s="87">
        <v>69</v>
      </c>
    </row>
    <row r="631" spans="1:9" ht="15" customHeight="1" x14ac:dyDescent="0.25">
      <c r="A631" s="87" t="s">
        <v>23</v>
      </c>
      <c r="B631" s="87" t="s">
        <v>288</v>
      </c>
      <c r="C631" s="87">
        <v>1980</v>
      </c>
      <c r="D631" s="87" t="s">
        <v>15</v>
      </c>
      <c r="E631" s="116">
        <v>-1</v>
      </c>
      <c r="F631" s="87" t="s">
        <v>967</v>
      </c>
      <c r="G631" s="87" t="s">
        <v>967</v>
      </c>
      <c r="H631" s="87" t="s">
        <v>967</v>
      </c>
      <c r="I631" s="87">
        <v>69</v>
      </c>
    </row>
    <row r="632" spans="1:9" ht="15" customHeight="1" x14ac:dyDescent="0.25">
      <c r="A632" s="87" t="s">
        <v>23</v>
      </c>
      <c r="B632" s="87" t="s">
        <v>288</v>
      </c>
      <c r="C632" s="87">
        <v>1981</v>
      </c>
      <c r="D632" s="87" t="s">
        <v>15</v>
      </c>
      <c r="E632" s="116">
        <v>-1</v>
      </c>
      <c r="F632" s="87" t="s">
        <v>967</v>
      </c>
      <c r="G632" s="87" t="s">
        <v>967</v>
      </c>
      <c r="H632" s="87" t="s">
        <v>967</v>
      </c>
      <c r="I632" s="87">
        <v>69</v>
      </c>
    </row>
    <row r="633" spans="1:9" ht="15" customHeight="1" x14ac:dyDescent="0.25">
      <c r="A633" s="87" t="s">
        <v>23</v>
      </c>
      <c r="B633" s="87" t="s">
        <v>288</v>
      </c>
      <c r="C633" s="87">
        <v>1982</v>
      </c>
      <c r="D633" s="87" t="s">
        <v>15</v>
      </c>
      <c r="E633" s="116">
        <v>-1</v>
      </c>
      <c r="F633" s="87" t="s">
        <v>967</v>
      </c>
      <c r="G633" s="87" t="s">
        <v>967</v>
      </c>
      <c r="H633" s="87" t="s">
        <v>967</v>
      </c>
      <c r="I633" s="87">
        <v>69</v>
      </c>
    </row>
    <row r="634" spans="1:9" ht="15" customHeight="1" x14ac:dyDescent="0.25">
      <c r="A634" s="87" t="s">
        <v>23</v>
      </c>
      <c r="B634" s="87" t="s">
        <v>288</v>
      </c>
      <c r="C634" s="87">
        <v>1983</v>
      </c>
      <c r="D634" s="87" t="s">
        <v>15</v>
      </c>
      <c r="E634" s="116">
        <v>-1</v>
      </c>
      <c r="F634" s="87" t="s">
        <v>967</v>
      </c>
      <c r="G634" s="87" t="s">
        <v>967</v>
      </c>
      <c r="H634" s="87" t="s">
        <v>967</v>
      </c>
      <c r="I634" s="87">
        <v>69</v>
      </c>
    </row>
    <row r="635" spans="1:9" ht="15" customHeight="1" x14ac:dyDescent="0.25">
      <c r="A635" s="87" t="s">
        <v>23</v>
      </c>
      <c r="B635" s="87" t="s">
        <v>288</v>
      </c>
      <c r="C635" s="87">
        <v>1984</v>
      </c>
      <c r="D635" s="87" t="s">
        <v>15</v>
      </c>
      <c r="E635" s="116">
        <v>-1</v>
      </c>
      <c r="F635" s="87" t="s">
        <v>967</v>
      </c>
      <c r="G635" s="87" t="s">
        <v>967</v>
      </c>
      <c r="H635" s="87" t="s">
        <v>967</v>
      </c>
      <c r="I635" s="87">
        <v>69</v>
      </c>
    </row>
    <row r="636" spans="1:9" ht="15" customHeight="1" x14ac:dyDescent="0.25">
      <c r="A636" s="87" t="s">
        <v>23</v>
      </c>
      <c r="B636" s="87" t="s">
        <v>288</v>
      </c>
      <c r="C636" s="87">
        <v>1985</v>
      </c>
      <c r="D636" s="87" t="s">
        <v>15</v>
      </c>
      <c r="E636" s="116">
        <v>-1</v>
      </c>
      <c r="F636" s="87" t="s">
        <v>967</v>
      </c>
      <c r="G636" s="87" t="s">
        <v>967</v>
      </c>
      <c r="H636" s="87" t="s">
        <v>967</v>
      </c>
      <c r="I636" s="87">
        <v>69</v>
      </c>
    </row>
    <row r="637" spans="1:9" ht="15" customHeight="1" x14ac:dyDescent="0.25">
      <c r="A637" s="87" t="s">
        <v>23</v>
      </c>
      <c r="B637" s="87" t="s">
        <v>288</v>
      </c>
      <c r="C637" s="87">
        <v>1986</v>
      </c>
      <c r="D637" s="87" t="s">
        <v>15</v>
      </c>
      <c r="E637" s="116">
        <v>-1</v>
      </c>
      <c r="F637" s="87" t="s">
        <v>967</v>
      </c>
      <c r="G637" s="87" t="s">
        <v>967</v>
      </c>
      <c r="H637" s="87" t="s">
        <v>967</v>
      </c>
      <c r="I637" s="87">
        <v>69</v>
      </c>
    </row>
    <row r="638" spans="1:9" ht="15" customHeight="1" x14ac:dyDescent="0.25">
      <c r="A638" s="87" t="s">
        <v>23</v>
      </c>
      <c r="B638" s="87" t="s">
        <v>288</v>
      </c>
      <c r="C638" s="87">
        <v>1987</v>
      </c>
      <c r="D638" s="87" t="s">
        <v>15</v>
      </c>
      <c r="E638" s="116">
        <v>-1</v>
      </c>
      <c r="F638" s="87" t="s">
        <v>967</v>
      </c>
      <c r="G638" s="87" t="s">
        <v>967</v>
      </c>
      <c r="H638" s="87" t="s">
        <v>967</v>
      </c>
      <c r="I638" s="87">
        <v>69</v>
      </c>
    </row>
    <row r="639" spans="1:9" ht="15" customHeight="1" x14ac:dyDescent="0.25">
      <c r="A639" s="87" t="s">
        <v>23</v>
      </c>
      <c r="B639" s="87" t="s">
        <v>288</v>
      </c>
      <c r="C639" s="87">
        <v>1988</v>
      </c>
      <c r="D639" s="87" t="s">
        <v>15</v>
      </c>
      <c r="E639" s="116">
        <v>-1</v>
      </c>
      <c r="F639" s="87" t="s">
        <v>967</v>
      </c>
      <c r="G639" s="87" t="s">
        <v>967</v>
      </c>
      <c r="H639" s="87" t="s">
        <v>967</v>
      </c>
      <c r="I639" s="87">
        <v>69</v>
      </c>
    </row>
    <row r="640" spans="1:9" ht="15" customHeight="1" x14ac:dyDescent="0.25">
      <c r="A640" s="87" t="s">
        <v>23</v>
      </c>
      <c r="B640" s="87" t="s">
        <v>288</v>
      </c>
      <c r="C640" s="87">
        <v>1989</v>
      </c>
      <c r="D640" s="87" t="s">
        <v>15</v>
      </c>
      <c r="E640" s="116">
        <v>-1</v>
      </c>
      <c r="F640" s="87" t="s">
        <v>967</v>
      </c>
      <c r="G640" s="87" t="s">
        <v>967</v>
      </c>
      <c r="H640" s="87" t="s">
        <v>967</v>
      </c>
      <c r="I640" s="87">
        <v>69</v>
      </c>
    </row>
    <row r="641" spans="1:9" ht="15" customHeight="1" x14ac:dyDescent="0.25">
      <c r="A641" s="87" t="s">
        <v>23</v>
      </c>
      <c r="B641" s="87" t="s">
        <v>288</v>
      </c>
      <c r="C641" s="87">
        <v>1990</v>
      </c>
      <c r="D641" s="87" t="s">
        <v>15</v>
      </c>
      <c r="E641" s="116">
        <v>300</v>
      </c>
      <c r="F641" s="87" t="s">
        <v>508</v>
      </c>
      <c r="G641" s="87" t="s">
        <v>967</v>
      </c>
      <c r="H641" s="87" t="s">
        <v>508</v>
      </c>
      <c r="I641" s="87">
        <v>69</v>
      </c>
    </row>
    <row r="642" spans="1:9" ht="15" customHeight="1" x14ac:dyDescent="0.25">
      <c r="A642" s="87" t="s">
        <v>23</v>
      </c>
      <c r="B642" s="87" t="s">
        <v>288</v>
      </c>
      <c r="C642" s="87">
        <v>1991</v>
      </c>
      <c r="D642" s="87" t="s">
        <v>15</v>
      </c>
      <c r="E642" s="116">
        <v>400</v>
      </c>
      <c r="F642" s="87" t="s">
        <v>508</v>
      </c>
      <c r="G642" s="87" t="s">
        <v>967</v>
      </c>
      <c r="H642" s="87" t="s">
        <v>508</v>
      </c>
      <c r="I642" s="87">
        <v>69</v>
      </c>
    </row>
    <row r="643" spans="1:9" ht="15" customHeight="1" x14ac:dyDescent="0.25">
      <c r="A643" s="87" t="s">
        <v>23</v>
      </c>
      <c r="B643" s="87" t="s">
        <v>288</v>
      </c>
      <c r="C643" s="87">
        <v>1992</v>
      </c>
      <c r="D643" s="87" t="s">
        <v>15</v>
      </c>
      <c r="E643" s="116">
        <v>250</v>
      </c>
      <c r="F643" s="87" t="s">
        <v>508</v>
      </c>
      <c r="G643" s="87" t="s">
        <v>967</v>
      </c>
      <c r="H643" s="87" t="s">
        <v>508</v>
      </c>
      <c r="I643" s="87">
        <v>69</v>
      </c>
    </row>
    <row r="644" spans="1:9" ht="15" customHeight="1" x14ac:dyDescent="0.25">
      <c r="A644" s="87" t="s">
        <v>23</v>
      </c>
      <c r="B644" s="87" t="s">
        <v>288</v>
      </c>
      <c r="C644" s="87">
        <v>1993</v>
      </c>
      <c r="D644" s="87" t="s">
        <v>15</v>
      </c>
      <c r="E644" s="116">
        <v>300</v>
      </c>
      <c r="F644" s="87" t="s">
        <v>508</v>
      </c>
      <c r="G644" s="87" t="s">
        <v>967</v>
      </c>
      <c r="H644" s="87" t="s">
        <v>508</v>
      </c>
      <c r="I644" s="87">
        <v>69</v>
      </c>
    </row>
    <row r="645" spans="1:9" ht="15" customHeight="1" x14ac:dyDescent="0.25">
      <c r="A645" s="87" t="s">
        <v>23</v>
      </c>
      <c r="B645" s="87" t="s">
        <v>288</v>
      </c>
      <c r="C645" s="87">
        <v>1994</v>
      </c>
      <c r="D645" s="87" t="s">
        <v>15</v>
      </c>
      <c r="E645" s="116">
        <v>250</v>
      </c>
      <c r="F645" s="87" t="s">
        <v>508</v>
      </c>
      <c r="G645" s="87" t="s">
        <v>967</v>
      </c>
      <c r="H645" s="87" t="s">
        <v>508</v>
      </c>
      <c r="I645" s="87">
        <v>69</v>
      </c>
    </row>
    <row r="646" spans="1:9" ht="15" customHeight="1" x14ac:dyDescent="0.25">
      <c r="A646" s="87" t="s">
        <v>23</v>
      </c>
      <c r="B646" s="87" t="s">
        <v>288</v>
      </c>
      <c r="C646" s="87">
        <v>1995</v>
      </c>
      <c r="D646" s="87" t="s">
        <v>15</v>
      </c>
      <c r="E646" s="116">
        <v>250</v>
      </c>
      <c r="F646" s="87" t="s">
        <v>508</v>
      </c>
      <c r="G646" s="87" t="s">
        <v>967</v>
      </c>
      <c r="H646" s="87" t="s">
        <v>508</v>
      </c>
      <c r="I646" s="87">
        <v>69</v>
      </c>
    </row>
    <row r="647" spans="1:9" ht="15" customHeight="1" x14ac:dyDescent="0.25">
      <c r="A647" s="87" t="s">
        <v>23</v>
      </c>
      <c r="B647" s="87" t="s">
        <v>288</v>
      </c>
      <c r="C647" s="87">
        <v>1996</v>
      </c>
      <c r="D647" s="87" t="s">
        <v>15</v>
      </c>
      <c r="E647" s="116">
        <v>150</v>
      </c>
      <c r="F647" s="87" t="s">
        <v>508</v>
      </c>
      <c r="G647" s="87" t="s">
        <v>967</v>
      </c>
      <c r="H647" s="87" t="s">
        <v>508</v>
      </c>
      <c r="I647" s="87">
        <v>69</v>
      </c>
    </row>
    <row r="648" spans="1:9" ht="15" customHeight="1" x14ac:dyDescent="0.25">
      <c r="A648" s="87" t="s">
        <v>23</v>
      </c>
      <c r="B648" s="87" t="s">
        <v>288</v>
      </c>
      <c r="C648" s="87">
        <v>1997</v>
      </c>
      <c r="D648" s="87" t="s">
        <v>15</v>
      </c>
      <c r="E648" s="116">
        <v>292</v>
      </c>
      <c r="F648" s="87" t="s">
        <v>508</v>
      </c>
      <c r="G648" s="87" t="s">
        <v>967</v>
      </c>
      <c r="H648" s="87" t="s">
        <v>508</v>
      </c>
      <c r="I648" s="87">
        <v>69</v>
      </c>
    </row>
    <row r="649" spans="1:9" ht="15" customHeight="1" x14ac:dyDescent="0.25">
      <c r="A649" s="87" t="s">
        <v>23</v>
      </c>
      <c r="B649" s="87" t="s">
        <v>288</v>
      </c>
      <c r="C649" s="87">
        <v>1998</v>
      </c>
      <c r="D649" s="87" t="s">
        <v>15</v>
      </c>
      <c r="E649" s="116">
        <v>360</v>
      </c>
      <c r="F649" s="87" t="s">
        <v>509</v>
      </c>
      <c r="G649" s="87" t="s">
        <v>272</v>
      </c>
      <c r="H649" s="87" t="s">
        <v>967</v>
      </c>
      <c r="I649" s="87">
        <v>69</v>
      </c>
    </row>
    <row r="650" spans="1:9" ht="15" customHeight="1" x14ac:dyDescent="0.25">
      <c r="A650" s="87" t="s">
        <v>23</v>
      </c>
      <c r="B650" s="87" t="s">
        <v>288</v>
      </c>
      <c r="C650" s="87">
        <v>1999</v>
      </c>
      <c r="D650" s="87" t="s">
        <v>15</v>
      </c>
      <c r="E650" s="116">
        <v>34</v>
      </c>
      <c r="F650" s="87" t="s">
        <v>510</v>
      </c>
      <c r="G650" s="87" t="s">
        <v>272</v>
      </c>
      <c r="H650" s="87" t="s">
        <v>967</v>
      </c>
      <c r="I650" s="87">
        <v>69</v>
      </c>
    </row>
    <row r="651" spans="1:9" ht="15" customHeight="1" x14ac:dyDescent="0.25">
      <c r="A651" s="87" t="s">
        <v>23</v>
      </c>
      <c r="B651" s="87" t="s">
        <v>288</v>
      </c>
      <c r="C651" s="87">
        <v>2000</v>
      </c>
      <c r="D651" s="87" t="s">
        <v>15</v>
      </c>
      <c r="E651" s="116">
        <v>282</v>
      </c>
      <c r="F651" s="87" t="s">
        <v>967</v>
      </c>
      <c r="G651" s="87" t="s">
        <v>272</v>
      </c>
      <c r="H651" s="87" t="s">
        <v>967</v>
      </c>
      <c r="I651" s="87">
        <v>69</v>
      </c>
    </row>
    <row r="652" spans="1:9" ht="15" customHeight="1" x14ac:dyDescent="0.25">
      <c r="A652" s="87" t="s">
        <v>23</v>
      </c>
      <c r="B652" s="87" t="s">
        <v>288</v>
      </c>
      <c r="C652" s="87">
        <v>2001</v>
      </c>
      <c r="D652" s="87" t="s">
        <v>15</v>
      </c>
      <c r="E652" s="116">
        <v>718</v>
      </c>
      <c r="F652" s="87" t="s">
        <v>967</v>
      </c>
      <c r="G652" s="87" t="s">
        <v>272</v>
      </c>
      <c r="H652" s="87" t="s">
        <v>967</v>
      </c>
      <c r="I652" s="87">
        <v>69</v>
      </c>
    </row>
    <row r="653" spans="1:9" ht="15" customHeight="1" x14ac:dyDescent="0.25">
      <c r="A653" s="87" t="s">
        <v>23</v>
      </c>
      <c r="B653" s="87" t="s">
        <v>288</v>
      </c>
      <c r="C653" s="87">
        <v>2002</v>
      </c>
      <c r="D653" s="87" t="s">
        <v>15</v>
      </c>
      <c r="E653" s="116">
        <v>420</v>
      </c>
      <c r="F653" s="87" t="s">
        <v>967</v>
      </c>
      <c r="G653" s="87" t="s">
        <v>272</v>
      </c>
      <c r="H653" s="87" t="s">
        <v>967</v>
      </c>
      <c r="I653" s="87">
        <v>69</v>
      </c>
    </row>
    <row r="654" spans="1:9" ht="15" customHeight="1" x14ac:dyDescent="0.25">
      <c r="A654" s="87" t="s">
        <v>23</v>
      </c>
      <c r="B654" s="87" t="s">
        <v>288</v>
      </c>
      <c r="C654" s="87">
        <v>2003</v>
      </c>
      <c r="D654" s="87" t="s">
        <v>15</v>
      </c>
      <c r="E654" s="116">
        <v>423</v>
      </c>
      <c r="F654" s="87" t="s">
        <v>967</v>
      </c>
      <c r="G654" s="87" t="s">
        <v>272</v>
      </c>
      <c r="H654" s="87" t="s">
        <v>511</v>
      </c>
      <c r="I654" s="87">
        <v>69</v>
      </c>
    </row>
    <row r="655" spans="1:9" ht="15" customHeight="1" x14ac:dyDescent="0.25">
      <c r="A655" s="87" t="s">
        <v>23</v>
      </c>
      <c r="B655" s="87" t="s">
        <v>288</v>
      </c>
      <c r="C655" s="87">
        <v>2004</v>
      </c>
      <c r="D655" s="87" t="s">
        <v>15</v>
      </c>
      <c r="E655" s="116">
        <v>-1</v>
      </c>
      <c r="F655" s="87" t="s">
        <v>967</v>
      </c>
      <c r="G655" s="87" t="s">
        <v>967</v>
      </c>
      <c r="H655" s="87" t="s">
        <v>967</v>
      </c>
      <c r="I655" s="87">
        <v>69</v>
      </c>
    </row>
    <row r="656" spans="1:9" ht="15" customHeight="1" x14ac:dyDescent="0.25">
      <c r="A656" s="87" t="s">
        <v>23</v>
      </c>
      <c r="B656" s="87" t="s">
        <v>288</v>
      </c>
      <c r="C656" s="87">
        <v>2005</v>
      </c>
      <c r="D656" s="87" t="s">
        <v>15</v>
      </c>
      <c r="E656" s="116">
        <v>-1</v>
      </c>
      <c r="F656" s="87" t="s">
        <v>967</v>
      </c>
      <c r="G656" s="87" t="s">
        <v>967</v>
      </c>
      <c r="H656" s="87" t="s">
        <v>967</v>
      </c>
      <c r="I656" s="87">
        <v>69</v>
      </c>
    </row>
    <row r="657" spans="1:9" ht="15" customHeight="1" x14ac:dyDescent="0.25">
      <c r="A657" s="87" t="s">
        <v>23</v>
      </c>
      <c r="B657" s="87" t="s">
        <v>288</v>
      </c>
      <c r="C657" s="87">
        <v>2006</v>
      </c>
      <c r="D657" s="87" t="s">
        <v>15</v>
      </c>
      <c r="E657" s="116">
        <v>31</v>
      </c>
      <c r="F657" s="87" t="s">
        <v>891</v>
      </c>
      <c r="G657" s="87" t="s">
        <v>272</v>
      </c>
      <c r="H657" s="87" t="s">
        <v>967</v>
      </c>
      <c r="I657" s="87">
        <v>69</v>
      </c>
    </row>
    <row r="658" spans="1:9" ht="15" customHeight="1" x14ac:dyDescent="0.25">
      <c r="A658" s="87" t="s">
        <v>23</v>
      </c>
      <c r="B658" s="87" t="s">
        <v>288</v>
      </c>
      <c r="C658" s="87">
        <v>2007</v>
      </c>
      <c r="D658" s="87" t="s">
        <v>15</v>
      </c>
      <c r="E658" s="116">
        <v>-1</v>
      </c>
      <c r="F658" s="87" t="s">
        <v>967</v>
      </c>
      <c r="G658" s="87" t="s">
        <v>967</v>
      </c>
      <c r="H658" s="87" t="s">
        <v>967</v>
      </c>
      <c r="I658" s="87">
        <v>69</v>
      </c>
    </row>
    <row r="659" spans="1:9" ht="15" customHeight="1" x14ac:dyDescent="0.25">
      <c r="A659" s="87" t="s">
        <v>23</v>
      </c>
      <c r="B659" s="87" t="s">
        <v>288</v>
      </c>
      <c r="C659" s="87">
        <v>2008</v>
      </c>
      <c r="D659" s="87" t="s">
        <v>15</v>
      </c>
      <c r="E659" s="116">
        <v>75</v>
      </c>
      <c r="F659" s="87" t="s">
        <v>512</v>
      </c>
      <c r="G659" s="87" t="s">
        <v>272</v>
      </c>
      <c r="H659" s="87" t="s">
        <v>967</v>
      </c>
      <c r="I659" s="87">
        <v>69</v>
      </c>
    </row>
    <row r="660" spans="1:9" ht="15" customHeight="1" x14ac:dyDescent="0.25">
      <c r="A660" s="87" t="s">
        <v>23</v>
      </c>
      <c r="B660" s="87" t="s">
        <v>288</v>
      </c>
      <c r="C660" s="87">
        <v>2009</v>
      </c>
      <c r="D660" s="87" t="s">
        <v>15</v>
      </c>
      <c r="E660" s="116">
        <v>-1</v>
      </c>
      <c r="F660" s="87" t="s">
        <v>967</v>
      </c>
      <c r="G660" s="87" t="s">
        <v>967</v>
      </c>
      <c r="H660" s="87" t="s">
        <v>967</v>
      </c>
      <c r="I660" s="87">
        <v>69</v>
      </c>
    </row>
    <row r="661" spans="1:9" ht="15" customHeight="1" x14ac:dyDescent="0.25">
      <c r="A661" s="87" t="s">
        <v>23</v>
      </c>
      <c r="B661" s="87" t="s">
        <v>288</v>
      </c>
      <c r="C661" s="87">
        <v>2010</v>
      </c>
      <c r="D661" s="87" t="s">
        <v>15</v>
      </c>
      <c r="E661" s="116">
        <v>-1</v>
      </c>
      <c r="F661" s="87" t="s">
        <v>967</v>
      </c>
      <c r="G661" s="87" t="s">
        <v>967</v>
      </c>
      <c r="H661" s="87" t="s">
        <v>967</v>
      </c>
      <c r="I661" s="87">
        <v>69</v>
      </c>
    </row>
    <row r="662" spans="1:9" ht="15" customHeight="1" x14ac:dyDescent="0.25">
      <c r="A662" s="87" t="s">
        <v>23</v>
      </c>
      <c r="B662" s="87" t="s">
        <v>288</v>
      </c>
      <c r="C662" s="87">
        <v>2011</v>
      </c>
      <c r="D662" s="87" t="s">
        <v>15</v>
      </c>
      <c r="E662" s="116">
        <v>163</v>
      </c>
      <c r="F662" s="87" t="s">
        <v>967</v>
      </c>
      <c r="G662" s="87" t="s">
        <v>272</v>
      </c>
      <c r="H662" s="87" t="s">
        <v>967</v>
      </c>
      <c r="I662" s="87">
        <v>69</v>
      </c>
    </row>
    <row r="663" spans="1:9" ht="15" customHeight="1" x14ac:dyDescent="0.25">
      <c r="A663" s="87" t="s">
        <v>23</v>
      </c>
      <c r="B663" s="87" t="s">
        <v>288</v>
      </c>
      <c r="C663" s="87">
        <v>2012</v>
      </c>
      <c r="D663" s="87" t="s">
        <v>15</v>
      </c>
      <c r="E663" s="116">
        <v>-1</v>
      </c>
      <c r="F663" s="87" t="s">
        <v>967</v>
      </c>
      <c r="G663" s="87" t="s">
        <v>967</v>
      </c>
      <c r="H663" s="87" t="s">
        <v>967</v>
      </c>
      <c r="I663" s="87">
        <v>69</v>
      </c>
    </row>
    <row r="664" spans="1:9" ht="15" customHeight="1" x14ac:dyDescent="0.25">
      <c r="A664" s="87" t="s">
        <v>23</v>
      </c>
      <c r="B664" s="87" t="s">
        <v>288</v>
      </c>
      <c r="C664" s="87">
        <v>2013</v>
      </c>
      <c r="D664" s="87" t="s">
        <v>15</v>
      </c>
      <c r="E664" s="116">
        <v>-1</v>
      </c>
      <c r="F664" s="87" t="s">
        <v>967</v>
      </c>
      <c r="G664" s="87" t="s">
        <v>967</v>
      </c>
      <c r="H664" s="87" t="s">
        <v>967</v>
      </c>
      <c r="I664" s="87">
        <v>69</v>
      </c>
    </row>
    <row r="665" spans="1:9" ht="15" customHeight="1" x14ac:dyDescent="0.25">
      <c r="A665" s="87" t="s">
        <v>23</v>
      </c>
      <c r="B665" s="87" t="s">
        <v>288</v>
      </c>
      <c r="C665" s="87">
        <v>2014</v>
      </c>
      <c r="D665" s="87" t="s">
        <v>15</v>
      </c>
      <c r="E665" s="116">
        <v>-1</v>
      </c>
      <c r="F665" s="87" t="s">
        <v>967</v>
      </c>
      <c r="G665" s="87" t="s">
        <v>967</v>
      </c>
      <c r="H665" s="87" t="s">
        <v>967</v>
      </c>
      <c r="I665" s="87">
        <v>69</v>
      </c>
    </row>
    <row r="666" spans="1:9" ht="15" customHeight="1" x14ac:dyDescent="0.25">
      <c r="A666" s="87" t="s">
        <v>23</v>
      </c>
      <c r="B666" s="87" t="s">
        <v>288</v>
      </c>
      <c r="C666" s="87">
        <v>2015</v>
      </c>
      <c r="D666" s="87" t="s">
        <v>15</v>
      </c>
      <c r="E666" s="116">
        <v>-1</v>
      </c>
      <c r="F666" s="87" t="s">
        <v>967</v>
      </c>
      <c r="G666" s="87" t="s">
        <v>967</v>
      </c>
      <c r="H666" s="87" t="s">
        <v>967</v>
      </c>
      <c r="I666" s="87">
        <v>69</v>
      </c>
    </row>
    <row r="667" spans="1:9" ht="15" customHeight="1" x14ac:dyDescent="0.25">
      <c r="A667" s="87" t="s">
        <v>23</v>
      </c>
      <c r="B667" s="87" t="s">
        <v>288</v>
      </c>
      <c r="C667" s="87">
        <v>2016</v>
      </c>
      <c r="D667" s="87" t="s">
        <v>15</v>
      </c>
      <c r="E667" s="116">
        <v>-1</v>
      </c>
      <c r="F667" s="87" t="s">
        <v>967</v>
      </c>
      <c r="G667" s="87" t="s">
        <v>967</v>
      </c>
      <c r="H667" s="87" t="s">
        <v>967</v>
      </c>
      <c r="I667" s="87">
        <v>69</v>
      </c>
    </row>
    <row r="668" spans="1:9" ht="15" customHeight="1" x14ac:dyDescent="0.25">
      <c r="A668" s="87" t="s">
        <v>23</v>
      </c>
      <c r="B668" s="87" t="s">
        <v>288</v>
      </c>
      <c r="C668" s="87">
        <v>2017</v>
      </c>
      <c r="D668" s="87" t="s">
        <v>15</v>
      </c>
      <c r="E668" s="116">
        <v>-1</v>
      </c>
      <c r="F668" s="87" t="s">
        <v>967</v>
      </c>
      <c r="G668" s="87" t="s">
        <v>967</v>
      </c>
      <c r="H668" s="87" t="s">
        <v>967</v>
      </c>
      <c r="I668" s="87">
        <v>69</v>
      </c>
    </row>
    <row r="669" spans="1:9" ht="15" customHeight="1" x14ac:dyDescent="0.25">
      <c r="A669" s="87" t="s">
        <v>23</v>
      </c>
      <c r="B669" s="87" t="s">
        <v>288</v>
      </c>
      <c r="C669" s="87">
        <v>2018</v>
      </c>
      <c r="D669" s="87" t="s">
        <v>15</v>
      </c>
      <c r="E669" s="116">
        <v>-1</v>
      </c>
      <c r="F669" s="87" t="s">
        <v>967</v>
      </c>
      <c r="G669" s="87" t="s">
        <v>967</v>
      </c>
      <c r="H669" s="87" t="s">
        <v>967</v>
      </c>
      <c r="I669" s="87">
        <v>69</v>
      </c>
    </row>
    <row r="670" spans="1:9" ht="15" customHeight="1" x14ac:dyDescent="0.25">
      <c r="A670" s="87" t="s">
        <v>23</v>
      </c>
      <c r="B670" s="87" t="s">
        <v>288</v>
      </c>
      <c r="C670" s="87">
        <v>2019</v>
      </c>
      <c r="D670" s="87" t="s">
        <v>15</v>
      </c>
      <c r="E670" s="116">
        <v>26</v>
      </c>
      <c r="F670" s="87" t="s">
        <v>967</v>
      </c>
      <c r="G670" s="87" t="s">
        <v>272</v>
      </c>
      <c r="H670" s="87" t="s">
        <v>967</v>
      </c>
      <c r="I670" s="87">
        <v>69</v>
      </c>
    </row>
    <row r="671" spans="1:9" ht="15" customHeight="1" x14ac:dyDescent="0.25">
      <c r="A671" s="87" t="s">
        <v>23</v>
      </c>
      <c r="B671" s="87" t="s">
        <v>288</v>
      </c>
      <c r="C671" s="87">
        <v>2020</v>
      </c>
      <c r="D671" s="87" t="s">
        <v>15</v>
      </c>
      <c r="E671" s="116">
        <v>114</v>
      </c>
      <c r="F671" s="87" t="s">
        <v>967</v>
      </c>
      <c r="G671" s="87" t="s">
        <v>272</v>
      </c>
      <c r="H671" s="87" t="s">
        <v>967</v>
      </c>
      <c r="I671" s="87">
        <v>69</v>
      </c>
    </row>
    <row r="672" spans="1:9" ht="15" customHeight="1" x14ac:dyDescent="0.25">
      <c r="A672" s="87" t="s">
        <v>23</v>
      </c>
      <c r="B672" s="87" t="s">
        <v>288</v>
      </c>
      <c r="C672" s="87">
        <v>2021</v>
      </c>
      <c r="D672" s="87" t="s">
        <v>15</v>
      </c>
      <c r="E672" s="116">
        <v>14</v>
      </c>
      <c r="F672" s="87" t="s">
        <v>967</v>
      </c>
      <c r="G672" s="87" t="s">
        <v>272</v>
      </c>
      <c r="H672" s="87" t="s">
        <v>967</v>
      </c>
      <c r="I672" s="87">
        <v>69</v>
      </c>
    </row>
    <row r="673" spans="1:9" ht="15" customHeight="1" x14ac:dyDescent="0.25">
      <c r="A673" s="87" t="s">
        <v>23</v>
      </c>
      <c r="B673" s="87" t="s">
        <v>288</v>
      </c>
      <c r="C673" s="87">
        <v>2022</v>
      </c>
      <c r="D673" s="87" t="s">
        <v>15</v>
      </c>
      <c r="E673" s="116">
        <v>14</v>
      </c>
      <c r="F673" s="87" t="s">
        <v>967</v>
      </c>
      <c r="G673" s="87" t="s">
        <v>272</v>
      </c>
      <c r="H673" s="87" t="s">
        <v>967</v>
      </c>
      <c r="I673" s="87">
        <v>69</v>
      </c>
    </row>
    <row r="674" spans="1:9" ht="15" customHeight="1" x14ac:dyDescent="0.25">
      <c r="A674" s="87" t="s">
        <v>23</v>
      </c>
      <c r="B674" s="87" t="s">
        <v>219</v>
      </c>
      <c r="C674" s="87">
        <v>1975</v>
      </c>
      <c r="D674" s="87" t="s">
        <v>15</v>
      </c>
      <c r="E674" s="116">
        <v>100</v>
      </c>
      <c r="F674" s="87" t="s">
        <v>508</v>
      </c>
      <c r="G674" s="87" t="s">
        <v>967</v>
      </c>
      <c r="H674" s="87" t="s">
        <v>508</v>
      </c>
      <c r="I674" s="87">
        <v>33</v>
      </c>
    </row>
    <row r="675" spans="1:9" ht="15" customHeight="1" x14ac:dyDescent="0.25">
      <c r="A675" s="87" t="s">
        <v>23</v>
      </c>
      <c r="B675" s="87" t="s">
        <v>219</v>
      </c>
      <c r="C675" s="87">
        <v>1976</v>
      </c>
      <c r="D675" s="87" t="s">
        <v>15</v>
      </c>
      <c r="E675" s="116">
        <v>300</v>
      </c>
      <c r="F675" s="87" t="s">
        <v>508</v>
      </c>
      <c r="G675" s="87" t="s">
        <v>967</v>
      </c>
      <c r="H675" s="87" t="s">
        <v>508</v>
      </c>
      <c r="I675" s="87">
        <v>33</v>
      </c>
    </row>
    <row r="676" spans="1:9" ht="15" customHeight="1" x14ac:dyDescent="0.25">
      <c r="A676" s="87" t="s">
        <v>23</v>
      </c>
      <c r="B676" s="87" t="s">
        <v>219</v>
      </c>
      <c r="C676" s="87">
        <v>1977</v>
      </c>
      <c r="D676" s="87" t="s">
        <v>15</v>
      </c>
      <c r="E676" s="116">
        <v>200</v>
      </c>
      <c r="F676" s="87" t="s">
        <v>508</v>
      </c>
      <c r="G676" s="87" t="s">
        <v>967</v>
      </c>
      <c r="H676" s="87" t="s">
        <v>508</v>
      </c>
      <c r="I676" s="87">
        <v>33</v>
      </c>
    </row>
    <row r="677" spans="1:9" ht="15" customHeight="1" x14ac:dyDescent="0.25">
      <c r="A677" s="87" t="s">
        <v>23</v>
      </c>
      <c r="B677" s="87" t="s">
        <v>219</v>
      </c>
      <c r="C677" s="87">
        <v>1978</v>
      </c>
      <c r="D677" s="87" t="s">
        <v>15</v>
      </c>
      <c r="E677" s="116">
        <v>500</v>
      </c>
      <c r="F677" s="87" t="s">
        <v>508</v>
      </c>
      <c r="G677" s="87" t="s">
        <v>967</v>
      </c>
      <c r="H677" s="87" t="s">
        <v>508</v>
      </c>
      <c r="I677" s="87">
        <v>33</v>
      </c>
    </row>
    <row r="678" spans="1:9" ht="15" customHeight="1" x14ac:dyDescent="0.25">
      <c r="A678" s="87" t="s">
        <v>23</v>
      </c>
      <c r="B678" s="87" t="s">
        <v>219</v>
      </c>
      <c r="C678" s="87">
        <v>1979</v>
      </c>
      <c r="D678" s="87" t="s">
        <v>15</v>
      </c>
      <c r="E678" s="116">
        <v>200</v>
      </c>
      <c r="F678" s="87" t="s">
        <v>508</v>
      </c>
      <c r="G678" s="87" t="s">
        <v>967</v>
      </c>
      <c r="H678" s="87" t="s">
        <v>508</v>
      </c>
      <c r="I678" s="87">
        <v>33</v>
      </c>
    </row>
    <row r="679" spans="1:9" ht="15" customHeight="1" x14ac:dyDescent="0.25">
      <c r="A679" s="87" t="s">
        <v>23</v>
      </c>
      <c r="B679" s="87" t="s">
        <v>219</v>
      </c>
      <c r="C679" s="87">
        <v>1980</v>
      </c>
      <c r="D679" s="87" t="s">
        <v>15</v>
      </c>
      <c r="E679" s="116">
        <v>75</v>
      </c>
      <c r="F679" s="87" t="s">
        <v>508</v>
      </c>
      <c r="G679" s="87" t="s">
        <v>967</v>
      </c>
      <c r="H679" s="87" t="s">
        <v>508</v>
      </c>
      <c r="I679" s="87">
        <v>33</v>
      </c>
    </row>
    <row r="680" spans="1:9" ht="15" customHeight="1" x14ac:dyDescent="0.25">
      <c r="A680" s="87" t="s">
        <v>23</v>
      </c>
      <c r="B680" s="87" t="s">
        <v>219</v>
      </c>
      <c r="C680" s="87">
        <v>1981</v>
      </c>
      <c r="D680" s="87" t="s">
        <v>15</v>
      </c>
      <c r="E680" s="116">
        <v>400</v>
      </c>
      <c r="F680" s="87" t="s">
        <v>508</v>
      </c>
      <c r="G680" s="87" t="s">
        <v>967</v>
      </c>
      <c r="H680" s="87" t="s">
        <v>508</v>
      </c>
      <c r="I680" s="87">
        <v>33</v>
      </c>
    </row>
    <row r="681" spans="1:9" ht="15" customHeight="1" x14ac:dyDescent="0.25">
      <c r="A681" s="87" t="s">
        <v>23</v>
      </c>
      <c r="B681" s="87" t="s">
        <v>219</v>
      </c>
      <c r="C681" s="87">
        <v>1982</v>
      </c>
      <c r="D681" s="87" t="s">
        <v>15</v>
      </c>
      <c r="E681" s="116">
        <v>80</v>
      </c>
      <c r="F681" s="87" t="s">
        <v>508</v>
      </c>
      <c r="G681" s="87" t="s">
        <v>967</v>
      </c>
      <c r="H681" s="87" t="s">
        <v>508</v>
      </c>
      <c r="I681" s="87">
        <v>33</v>
      </c>
    </row>
    <row r="682" spans="1:9" ht="15" customHeight="1" x14ac:dyDescent="0.25">
      <c r="A682" s="87" t="s">
        <v>23</v>
      </c>
      <c r="B682" s="87" t="s">
        <v>219</v>
      </c>
      <c r="C682" s="87">
        <v>1983</v>
      </c>
      <c r="D682" s="87" t="s">
        <v>15</v>
      </c>
      <c r="E682" s="116">
        <v>210</v>
      </c>
      <c r="F682" s="87" t="s">
        <v>508</v>
      </c>
      <c r="G682" s="87" t="s">
        <v>967</v>
      </c>
      <c r="H682" s="87" t="s">
        <v>508</v>
      </c>
      <c r="I682" s="87">
        <v>33</v>
      </c>
    </row>
    <row r="683" spans="1:9" ht="15" customHeight="1" x14ac:dyDescent="0.25">
      <c r="A683" s="87" t="s">
        <v>23</v>
      </c>
      <c r="B683" s="87" t="s">
        <v>219</v>
      </c>
      <c r="C683" s="87">
        <v>1984</v>
      </c>
      <c r="D683" s="87" t="s">
        <v>15</v>
      </c>
      <c r="E683" s="116">
        <v>582</v>
      </c>
      <c r="F683" s="87" t="s">
        <v>508</v>
      </c>
      <c r="G683" s="87" t="s">
        <v>967</v>
      </c>
      <c r="H683" s="87" t="s">
        <v>508</v>
      </c>
      <c r="I683" s="87">
        <v>33</v>
      </c>
    </row>
    <row r="684" spans="1:9" ht="15" customHeight="1" x14ac:dyDescent="0.25">
      <c r="A684" s="87" t="s">
        <v>23</v>
      </c>
      <c r="B684" s="87" t="s">
        <v>219</v>
      </c>
      <c r="C684" s="87">
        <v>1985</v>
      </c>
      <c r="D684" s="87" t="s">
        <v>15</v>
      </c>
      <c r="E684" s="116">
        <v>956</v>
      </c>
      <c r="F684" s="87" t="s">
        <v>508</v>
      </c>
      <c r="G684" s="87" t="s">
        <v>967</v>
      </c>
      <c r="H684" s="87" t="s">
        <v>508</v>
      </c>
      <c r="I684" s="87">
        <v>33</v>
      </c>
    </row>
    <row r="685" spans="1:9" ht="15" customHeight="1" x14ac:dyDescent="0.25">
      <c r="A685" s="87" t="s">
        <v>23</v>
      </c>
      <c r="B685" s="87" t="s">
        <v>219</v>
      </c>
      <c r="C685" s="87">
        <v>1986</v>
      </c>
      <c r="D685" s="87" t="s">
        <v>15</v>
      </c>
      <c r="E685" s="116">
        <v>836</v>
      </c>
      <c r="F685" s="87" t="s">
        <v>508</v>
      </c>
      <c r="G685" s="87" t="s">
        <v>967</v>
      </c>
      <c r="H685" s="87" t="s">
        <v>508</v>
      </c>
      <c r="I685" s="87">
        <v>33</v>
      </c>
    </row>
    <row r="686" spans="1:9" ht="15" customHeight="1" x14ac:dyDescent="0.25">
      <c r="A686" s="87" t="s">
        <v>23</v>
      </c>
      <c r="B686" s="87" t="s">
        <v>219</v>
      </c>
      <c r="C686" s="87">
        <v>1987</v>
      </c>
      <c r="D686" s="87" t="s">
        <v>15</v>
      </c>
      <c r="E686" s="116">
        <v>600</v>
      </c>
      <c r="F686" s="87" t="s">
        <v>508</v>
      </c>
      <c r="G686" s="87" t="s">
        <v>967</v>
      </c>
      <c r="H686" s="87" t="s">
        <v>508</v>
      </c>
      <c r="I686" s="87">
        <v>33</v>
      </c>
    </row>
    <row r="687" spans="1:9" ht="15" customHeight="1" x14ac:dyDescent="0.25">
      <c r="A687" s="87" t="s">
        <v>23</v>
      </c>
      <c r="B687" s="87" t="s">
        <v>219</v>
      </c>
      <c r="C687" s="87">
        <v>1988</v>
      </c>
      <c r="D687" s="87" t="s">
        <v>15</v>
      </c>
      <c r="E687" s="116">
        <v>638</v>
      </c>
      <c r="F687" s="87" t="s">
        <v>508</v>
      </c>
      <c r="G687" s="87" t="s">
        <v>967</v>
      </c>
      <c r="H687" s="87" t="s">
        <v>508</v>
      </c>
      <c r="I687" s="87">
        <v>33</v>
      </c>
    </row>
    <row r="688" spans="1:9" ht="15" customHeight="1" x14ac:dyDescent="0.25">
      <c r="A688" s="87" t="s">
        <v>23</v>
      </c>
      <c r="B688" s="87" t="s">
        <v>219</v>
      </c>
      <c r="C688" s="87">
        <v>1989</v>
      </c>
      <c r="D688" s="87" t="s">
        <v>15</v>
      </c>
      <c r="E688" s="116">
        <v>750</v>
      </c>
      <c r="F688" s="87" t="s">
        <v>508</v>
      </c>
      <c r="G688" s="87" t="s">
        <v>967</v>
      </c>
      <c r="H688" s="87" t="s">
        <v>508</v>
      </c>
      <c r="I688" s="87">
        <v>33</v>
      </c>
    </row>
    <row r="689" spans="1:9" ht="15" customHeight="1" x14ac:dyDescent="0.25">
      <c r="A689" s="87" t="s">
        <v>23</v>
      </c>
      <c r="B689" s="87" t="s">
        <v>219</v>
      </c>
      <c r="C689" s="87">
        <v>1990</v>
      </c>
      <c r="D689" s="87" t="s">
        <v>15</v>
      </c>
      <c r="E689" s="116">
        <v>375</v>
      </c>
      <c r="F689" s="87" t="s">
        <v>508</v>
      </c>
      <c r="G689" s="87" t="s">
        <v>967</v>
      </c>
      <c r="H689" s="87" t="s">
        <v>508</v>
      </c>
      <c r="I689" s="87">
        <v>33</v>
      </c>
    </row>
    <row r="690" spans="1:9" ht="15" customHeight="1" x14ac:dyDescent="0.25">
      <c r="A690" s="87" t="s">
        <v>23</v>
      </c>
      <c r="B690" s="87" t="s">
        <v>219</v>
      </c>
      <c r="C690" s="87">
        <v>1991</v>
      </c>
      <c r="D690" s="87" t="s">
        <v>15</v>
      </c>
      <c r="E690" s="116">
        <v>150</v>
      </c>
      <c r="F690" s="87" t="s">
        <v>508</v>
      </c>
      <c r="G690" s="87" t="s">
        <v>967</v>
      </c>
      <c r="H690" s="87" t="s">
        <v>508</v>
      </c>
      <c r="I690" s="87">
        <v>33</v>
      </c>
    </row>
    <row r="691" spans="1:9" ht="15" customHeight="1" x14ac:dyDescent="0.25">
      <c r="A691" s="87" t="s">
        <v>23</v>
      </c>
      <c r="B691" s="87" t="s">
        <v>219</v>
      </c>
      <c r="C691" s="87">
        <v>1992</v>
      </c>
      <c r="D691" s="87" t="s">
        <v>15</v>
      </c>
      <c r="E691" s="116">
        <v>800</v>
      </c>
      <c r="F691" s="87" t="s">
        <v>508</v>
      </c>
      <c r="G691" s="87" t="s">
        <v>967</v>
      </c>
      <c r="H691" s="87" t="s">
        <v>508</v>
      </c>
      <c r="I691" s="87">
        <v>33</v>
      </c>
    </row>
    <row r="692" spans="1:9" ht="15" customHeight="1" x14ac:dyDescent="0.25">
      <c r="A692" s="87" t="s">
        <v>23</v>
      </c>
      <c r="B692" s="87" t="s">
        <v>219</v>
      </c>
      <c r="C692" s="87">
        <v>1993</v>
      </c>
      <c r="D692" s="87" t="s">
        <v>15</v>
      </c>
      <c r="E692" s="116">
        <v>950</v>
      </c>
      <c r="F692" s="87" t="s">
        <v>508</v>
      </c>
      <c r="G692" s="87" t="s">
        <v>967</v>
      </c>
      <c r="H692" s="87" t="s">
        <v>508</v>
      </c>
      <c r="I692" s="87">
        <v>33</v>
      </c>
    </row>
    <row r="693" spans="1:9" ht="15" customHeight="1" x14ac:dyDescent="0.25">
      <c r="A693" s="87" t="s">
        <v>23</v>
      </c>
      <c r="B693" s="87" t="s">
        <v>219</v>
      </c>
      <c r="C693" s="87">
        <v>1994</v>
      </c>
      <c r="D693" s="87" t="s">
        <v>15</v>
      </c>
      <c r="E693" s="116">
        <v>615</v>
      </c>
      <c r="F693" s="87" t="s">
        <v>508</v>
      </c>
      <c r="G693" s="87" t="s">
        <v>967</v>
      </c>
      <c r="H693" s="87" t="s">
        <v>508</v>
      </c>
      <c r="I693" s="87">
        <v>33</v>
      </c>
    </row>
    <row r="694" spans="1:9" ht="15" customHeight="1" x14ac:dyDescent="0.25">
      <c r="A694" s="87" t="s">
        <v>23</v>
      </c>
      <c r="B694" s="87" t="s">
        <v>219</v>
      </c>
      <c r="C694" s="87">
        <v>1995</v>
      </c>
      <c r="D694" s="87" t="s">
        <v>15</v>
      </c>
      <c r="E694" s="116">
        <v>851</v>
      </c>
      <c r="F694" s="87" t="s">
        <v>508</v>
      </c>
      <c r="G694" s="87" t="s">
        <v>967</v>
      </c>
      <c r="H694" s="87" t="s">
        <v>967</v>
      </c>
      <c r="I694" s="87">
        <v>33</v>
      </c>
    </row>
    <row r="695" spans="1:9" ht="15" customHeight="1" x14ac:dyDescent="0.25">
      <c r="A695" s="87" t="s">
        <v>23</v>
      </c>
      <c r="B695" s="87" t="s">
        <v>219</v>
      </c>
      <c r="C695" s="87">
        <v>1996</v>
      </c>
      <c r="D695" s="87" t="s">
        <v>15</v>
      </c>
      <c r="E695" s="116">
        <v>1854</v>
      </c>
      <c r="F695" s="87" t="s">
        <v>313</v>
      </c>
      <c r="G695" s="87" t="s">
        <v>272</v>
      </c>
      <c r="H695" s="87" t="s">
        <v>542</v>
      </c>
      <c r="I695" s="87">
        <v>33</v>
      </c>
    </row>
    <row r="696" spans="1:9" ht="15" customHeight="1" x14ac:dyDescent="0.25">
      <c r="A696" s="87" t="s">
        <v>23</v>
      </c>
      <c r="B696" s="87" t="s">
        <v>219</v>
      </c>
      <c r="C696" s="87">
        <v>1997</v>
      </c>
      <c r="D696" s="87" t="s">
        <v>15</v>
      </c>
      <c r="E696" s="116">
        <v>1968</v>
      </c>
      <c r="F696" s="87" t="s">
        <v>967</v>
      </c>
      <c r="G696" s="87" t="s">
        <v>967</v>
      </c>
      <c r="H696" s="87" t="s">
        <v>543</v>
      </c>
      <c r="I696" s="87">
        <v>33</v>
      </c>
    </row>
    <row r="697" spans="1:9" ht="15" customHeight="1" x14ac:dyDescent="0.25">
      <c r="A697" s="87" t="s">
        <v>23</v>
      </c>
      <c r="B697" s="87" t="s">
        <v>219</v>
      </c>
      <c r="C697" s="87">
        <v>1998</v>
      </c>
      <c r="D697" s="87" t="s">
        <v>15</v>
      </c>
      <c r="E697" s="116">
        <v>482</v>
      </c>
      <c r="F697" s="87" t="s">
        <v>313</v>
      </c>
      <c r="G697" s="87" t="s">
        <v>272</v>
      </c>
      <c r="H697" s="87" t="s">
        <v>544</v>
      </c>
      <c r="I697" s="87">
        <v>33</v>
      </c>
    </row>
    <row r="698" spans="1:9" ht="15" customHeight="1" x14ac:dyDescent="0.25">
      <c r="A698" s="87" t="s">
        <v>23</v>
      </c>
      <c r="B698" s="87" t="s">
        <v>219</v>
      </c>
      <c r="C698" s="87">
        <v>1999</v>
      </c>
      <c r="D698" s="87" t="s">
        <v>15</v>
      </c>
      <c r="E698" s="116">
        <v>898</v>
      </c>
      <c r="F698" s="87" t="s">
        <v>967</v>
      </c>
      <c r="G698" s="87" t="s">
        <v>272</v>
      </c>
      <c r="H698" s="87" t="s">
        <v>545</v>
      </c>
      <c r="I698" s="87">
        <v>33</v>
      </c>
    </row>
    <row r="699" spans="1:9" ht="15" customHeight="1" x14ac:dyDescent="0.25">
      <c r="A699" s="87" t="s">
        <v>23</v>
      </c>
      <c r="B699" s="87" t="s">
        <v>219</v>
      </c>
      <c r="C699" s="87">
        <v>2000</v>
      </c>
      <c r="D699" s="87" t="s">
        <v>15</v>
      </c>
      <c r="E699" s="116">
        <v>769</v>
      </c>
      <c r="F699" s="87" t="s">
        <v>967</v>
      </c>
      <c r="G699" s="87" t="s">
        <v>272</v>
      </c>
      <c r="H699" s="87" t="s">
        <v>967</v>
      </c>
      <c r="I699" s="87">
        <v>33</v>
      </c>
    </row>
    <row r="700" spans="1:9" ht="15" customHeight="1" x14ac:dyDescent="0.25">
      <c r="A700" s="87" t="s">
        <v>23</v>
      </c>
      <c r="B700" s="87" t="s">
        <v>219</v>
      </c>
      <c r="C700" s="87">
        <v>2001</v>
      </c>
      <c r="D700" s="87" t="s">
        <v>15</v>
      </c>
      <c r="E700" s="116">
        <v>198</v>
      </c>
      <c r="F700" s="87" t="s">
        <v>967</v>
      </c>
      <c r="G700" s="87" t="s">
        <v>272</v>
      </c>
      <c r="H700" s="87" t="s">
        <v>967</v>
      </c>
      <c r="I700" s="87">
        <v>33</v>
      </c>
    </row>
    <row r="701" spans="1:9" ht="15" customHeight="1" x14ac:dyDescent="0.25">
      <c r="A701" s="87" t="s">
        <v>23</v>
      </c>
      <c r="B701" s="87" t="s">
        <v>219</v>
      </c>
      <c r="C701" s="87">
        <v>2002</v>
      </c>
      <c r="D701" s="87" t="s">
        <v>15</v>
      </c>
      <c r="E701" s="116">
        <v>969</v>
      </c>
      <c r="F701" s="87" t="s">
        <v>967</v>
      </c>
      <c r="G701" s="87" t="s">
        <v>272</v>
      </c>
      <c r="H701" s="87" t="s">
        <v>967</v>
      </c>
      <c r="I701" s="87">
        <v>33</v>
      </c>
    </row>
    <row r="702" spans="1:9" ht="15" customHeight="1" x14ac:dyDescent="0.25">
      <c r="A702" s="87" t="s">
        <v>23</v>
      </c>
      <c r="B702" s="87" t="s">
        <v>219</v>
      </c>
      <c r="C702" s="87">
        <v>2003</v>
      </c>
      <c r="D702" s="87" t="s">
        <v>15</v>
      </c>
      <c r="E702" s="116">
        <v>-1</v>
      </c>
      <c r="F702" s="87" t="s">
        <v>900</v>
      </c>
      <c r="G702" s="87" t="s">
        <v>272</v>
      </c>
      <c r="H702" s="87" t="s">
        <v>904</v>
      </c>
      <c r="I702" s="87">
        <v>33</v>
      </c>
    </row>
    <row r="703" spans="1:9" ht="15" customHeight="1" x14ac:dyDescent="0.25">
      <c r="A703" s="87" t="s">
        <v>23</v>
      </c>
      <c r="B703" s="87" t="s">
        <v>219</v>
      </c>
      <c r="C703" s="87">
        <v>2004</v>
      </c>
      <c r="D703" s="87" t="s">
        <v>15</v>
      </c>
      <c r="E703" s="116">
        <v>1115</v>
      </c>
      <c r="F703" s="87" t="s">
        <v>967</v>
      </c>
      <c r="G703" s="87" t="s">
        <v>272</v>
      </c>
      <c r="H703" s="87" t="s">
        <v>967</v>
      </c>
      <c r="I703" s="87">
        <v>33</v>
      </c>
    </row>
    <row r="704" spans="1:9" ht="15" customHeight="1" x14ac:dyDescent="0.25">
      <c r="A704" s="87" t="s">
        <v>23</v>
      </c>
      <c r="B704" s="87" t="s">
        <v>219</v>
      </c>
      <c r="C704" s="87">
        <v>2005</v>
      </c>
      <c r="D704" s="87" t="s">
        <v>15</v>
      </c>
      <c r="E704" s="116">
        <v>228</v>
      </c>
      <c r="F704" s="87" t="s">
        <v>967</v>
      </c>
      <c r="G704" s="87" t="s">
        <v>272</v>
      </c>
      <c r="H704" s="87" t="s">
        <v>967</v>
      </c>
      <c r="I704" s="87">
        <v>33</v>
      </c>
    </row>
    <row r="705" spans="1:9" ht="15" customHeight="1" x14ac:dyDescent="0.25">
      <c r="A705" s="87" t="s">
        <v>23</v>
      </c>
      <c r="B705" s="87" t="s">
        <v>219</v>
      </c>
      <c r="C705" s="87">
        <v>2006</v>
      </c>
      <c r="D705" s="87" t="s">
        <v>15</v>
      </c>
      <c r="E705" s="116">
        <v>109</v>
      </c>
      <c r="F705" s="87" t="s">
        <v>967</v>
      </c>
      <c r="G705" s="87" t="s">
        <v>272</v>
      </c>
      <c r="H705" s="87" t="s">
        <v>967</v>
      </c>
      <c r="I705" s="87">
        <v>33</v>
      </c>
    </row>
    <row r="706" spans="1:9" ht="15" customHeight="1" x14ac:dyDescent="0.25">
      <c r="A706" s="87" t="s">
        <v>23</v>
      </c>
      <c r="B706" s="87" t="s">
        <v>219</v>
      </c>
      <c r="C706" s="87">
        <v>2007</v>
      </c>
      <c r="D706" s="87" t="s">
        <v>15</v>
      </c>
      <c r="E706" s="116">
        <v>138</v>
      </c>
      <c r="F706" s="87" t="s">
        <v>967</v>
      </c>
      <c r="G706" s="87" t="s">
        <v>274</v>
      </c>
      <c r="H706" s="87" t="s">
        <v>967</v>
      </c>
      <c r="I706" s="87">
        <v>33</v>
      </c>
    </row>
    <row r="707" spans="1:9" ht="15" customHeight="1" x14ac:dyDescent="0.25">
      <c r="A707" s="87" t="s">
        <v>23</v>
      </c>
      <c r="B707" s="87" t="s">
        <v>219</v>
      </c>
      <c r="C707" s="87">
        <v>2008</v>
      </c>
      <c r="D707" s="87" t="s">
        <v>15</v>
      </c>
      <c r="E707" s="116">
        <v>112</v>
      </c>
      <c r="F707" s="87" t="s">
        <v>967</v>
      </c>
      <c r="G707" s="87" t="s">
        <v>272</v>
      </c>
      <c r="H707" s="87" t="s">
        <v>967</v>
      </c>
      <c r="I707" s="87">
        <v>33</v>
      </c>
    </row>
    <row r="708" spans="1:9" ht="15" customHeight="1" x14ac:dyDescent="0.25">
      <c r="A708" s="87" t="s">
        <v>23</v>
      </c>
      <c r="B708" s="87" t="s">
        <v>219</v>
      </c>
      <c r="C708" s="87">
        <v>2009</v>
      </c>
      <c r="D708" s="87" t="s">
        <v>15</v>
      </c>
      <c r="E708" s="116">
        <v>11</v>
      </c>
      <c r="F708" s="87" t="s">
        <v>967</v>
      </c>
      <c r="G708" s="87" t="s">
        <v>272</v>
      </c>
      <c r="H708" s="87" t="s">
        <v>967</v>
      </c>
      <c r="I708" s="87">
        <v>33</v>
      </c>
    </row>
    <row r="709" spans="1:9" ht="15" customHeight="1" x14ac:dyDescent="0.25">
      <c r="A709" s="87" t="s">
        <v>23</v>
      </c>
      <c r="B709" s="87" t="s">
        <v>219</v>
      </c>
      <c r="C709" s="87">
        <v>2010</v>
      </c>
      <c r="D709" s="87" t="s">
        <v>15</v>
      </c>
      <c r="E709" s="116">
        <v>51</v>
      </c>
      <c r="F709" s="87" t="s">
        <v>967</v>
      </c>
      <c r="G709" s="87" t="s">
        <v>272</v>
      </c>
      <c r="H709" s="87" t="s">
        <v>925</v>
      </c>
      <c r="I709" s="87">
        <v>33</v>
      </c>
    </row>
    <row r="710" spans="1:9" ht="15" customHeight="1" x14ac:dyDescent="0.25">
      <c r="A710" s="87" t="s">
        <v>23</v>
      </c>
      <c r="B710" s="87" t="s">
        <v>219</v>
      </c>
      <c r="C710" s="87">
        <v>2011</v>
      </c>
      <c r="D710" s="87" t="s">
        <v>15</v>
      </c>
      <c r="E710" s="116">
        <v>81</v>
      </c>
      <c r="F710" s="87" t="s">
        <v>967</v>
      </c>
      <c r="G710" s="87" t="s">
        <v>274</v>
      </c>
      <c r="H710" s="87" t="s">
        <v>925</v>
      </c>
      <c r="I710" s="87">
        <v>33</v>
      </c>
    </row>
    <row r="711" spans="1:9" ht="15" customHeight="1" x14ac:dyDescent="0.25">
      <c r="A711" s="87" t="s">
        <v>23</v>
      </c>
      <c r="B711" s="87" t="s">
        <v>219</v>
      </c>
      <c r="C711" s="87">
        <v>2012</v>
      </c>
      <c r="D711" s="87" t="s">
        <v>15</v>
      </c>
      <c r="E711" s="116">
        <v>436</v>
      </c>
      <c r="F711" s="87" t="s">
        <v>967</v>
      </c>
      <c r="G711" s="87" t="s">
        <v>274</v>
      </c>
      <c r="H711" s="87" t="s">
        <v>925</v>
      </c>
      <c r="I711" s="87">
        <v>33</v>
      </c>
    </row>
    <row r="712" spans="1:9" ht="15" customHeight="1" x14ac:dyDescent="0.25">
      <c r="A712" s="87" t="s">
        <v>23</v>
      </c>
      <c r="B712" s="87" t="s">
        <v>219</v>
      </c>
      <c r="C712" s="87">
        <v>2013</v>
      </c>
      <c r="D712" s="87" t="s">
        <v>15</v>
      </c>
      <c r="E712" s="116">
        <v>140</v>
      </c>
      <c r="F712" s="87" t="s">
        <v>967</v>
      </c>
      <c r="G712" s="87" t="s">
        <v>274</v>
      </c>
      <c r="H712" s="87" t="s">
        <v>925</v>
      </c>
      <c r="I712" s="87">
        <v>33</v>
      </c>
    </row>
    <row r="713" spans="1:9" ht="15" customHeight="1" x14ac:dyDescent="0.25">
      <c r="A713" s="87" t="s">
        <v>23</v>
      </c>
      <c r="B713" s="87" t="s">
        <v>219</v>
      </c>
      <c r="C713" s="87">
        <v>2014</v>
      </c>
      <c r="D713" s="87" t="s">
        <v>15</v>
      </c>
      <c r="E713" s="116">
        <v>947</v>
      </c>
      <c r="F713" s="87" t="s">
        <v>967</v>
      </c>
      <c r="G713" s="87" t="s">
        <v>274</v>
      </c>
      <c r="H713" s="87" t="s">
        <v>925</v>
      </c>
      <c r="I713" s="87">
        <v>33</v>
      </c>
    </row>
    <row r="714" spans="1:9" ht="15" customHeight="1" x14ac:dyDescent="0.25">
      <c r="A714" s="87" t="s">
        <v>23</v>
      </c>
      <c r="B714" s="87" t="s">
        <v>219</v>
      </c>
      <c r="C714" s="87">
        <v>2015</v>
      </c>
      <c r="D714" s="87" t="s">
        <v>15</v>
      </c>
      <c r="E714" s="116">
        <v>481</v>
      </c>
      <c r="F714" s="87" t="s">
        <v>967</v>
      </c>
      <c r="G714" s="87" t="s">
        <v>289</v>
      </c>
      <c r="H714" s="87" t="s">
        <v>546</v>
      </c>
      <c r="I714" s="87">
        <v>33</v>
      </c>
    </row>
    <row r="715" spans="1:9" ht="15" customHeight="1" x14ac:dyDescent="0.25">
      <c r="A715" s="87" t="s">
        <v>23</v>
      </c>
      <c r="B715" s="87" t="s">
        <v>219</v>
      </c>
      <c r="C715" s="87">
        <v>2016</v>
      </c>
      <c r="D715" s="87" t="s">
        <v>15</v>
      </c>
      <c r="E715" s="116">
        <v>-1</v>
      </c>
      <c r="F715" s="87" t="s">
        <v>547</v>
      </c>
      <c r="G715" s="87" t="s">
        <v>272</v>
      </c>
      <c r="H715" s="87" t="s">
        <v>546</v>
      </c>
      <c r="I715" s="87">
        <v>33</v>
      </c>
    </row>
    <row r="716" spans="1:9" ht="15" customHeight="1" x14ac:dyDescent="0.25">
      <c r="A716" s="87" t="s">
        <v>23</v>
      </c>
      <c r="B716" s="87" t="s">
        <v>219</v>
      </c>
      <c r="C716" s="87">
        <v>2017</v>
      </c>
      <c r="D716" s="87" t="s">
        <v>15</v>
      </c>
      <c r="E716" s="116">
        <v>405</v>
      </c>
      <c r="F716" s="87" t="s">
        <v>902</v>
      </c>
      <c r="G716" s="87" t="s">
        <v>289</v>
      </c>
      <c r="H716" s="87" t="s">
        <v>1011</v>
      </c>
      <c r="I716" s="87">
        <v>33</v>
      </c>
    </row>
    <row r="717" spans="1:9" ht="15" customHeight="1" x14ac:dyDescent="0.25">
      <c r="A717" s="87" t="s">
        <v>23</v>
      </c>
      <c r="B717" s="87" t="s">
        <v>219</v>
      </c>
      <c r="C717" s="87">
        <v>2018</v>
      </c>
      <c r="D717" s="87" t="s">
        <v>15</v>
      </c>
      <c r="E717" s="116">
        <v>50</v>
      </c>
      <c r="F717" s="87" t="s">
        <v>975</v>
      </c>
      <c r="G717" s="87" t="s">
        <v>289</v>
      </c>
      <c r="H717" s="87" t="s">
        <v>1012</v>
      </c>
      <c r="I717" s="87">
        <v>33</v>
      </c>
    </row>
    <row r="718" spans="1:9" ht="15" customHeight="1" x14ac:dyDescent="0.25">
      <c r="A718" s="87" t="s">
        <v>23</v>
      </c>
      <c r="B718" s="87" t="s">
        <v>219</v>
      </c>
      <c r="C718" s="87">
        <v>2019</v>
      </c>
      <c r="D718" s="87" t="s">
        <v>15</v>
      </c>
      <c r="E718" s="116">
        <v>111</v>
      </c>
      <c r="F718" s="87" t="s">
        <v>1013</v>
      </c>
      <c r="G718" s="87" t="s">
        <v>274</v>
      </c>
      <c r="H718" s="87" t="s">
        <v>1014</v>
      </c>
      <c r="I718" s="87">
        <v>33</v>
      </c>
    </row>
    <row r="719" spans="1:9" ht="15" customHeight="1" x14ac:dyDescent="0.25">
      <c r="A719" s="87" t="s">
        <v>23</v>
      </c>
      <c r="B719" s="87" t="s">
        <v>219</v>
      </c>
      <c r="C719" s="87">
        <v>2020</v>
      </c>
      <c r="D719" s="87" t="s">
        <v>15</v>
      </c>
      <c r="E719" s="116">
        <v>27</v>
      </c>
      <c r="F719" s="87" t="s">
        <v>1015</v>
      </c>
      <c r="G719" s="87" t="s">
        <v>274</v>
      </c>
      <c r="H719" s="87" t="s">
        <v>1016</v>
      </c>
      <c r="I719" s="87">
        <v>33</v>
      </c>
    </row>
    <row r="720" spans="1:9" ht="15" customHeight="1" x14ac:dyDescent="0.25">
      <c r="A720" s="87" t="s">
        <v>23</v>
      </c>
      <c r="B720" s="87" t="s">
        <v>219</v>
      </c>
      <c r="C720" s="87">
        <v>2021</v>
      </c>
      <c r="D720" s="87" t="s">
        <v>15</v>
      </c>
      <c r="E720" s="116">
        <v>335</v>
      </c>
      <c r="F720" s="87" t="s">
        <v>967</v>
      </c>
      <c r="G720" s="87" t="s">
        <v>272</v>
      </c>
      <c r="H720" s="87" t="s">
        <v>967</v>
      </c>
      <c r="I720" s="87">
        <v>33</v>
      </c>
    </row>
    <row r="721" spans="1:9" ht="15" customHeight="1" x14ac:dyDescent="0.25">
      <c r="A721" s="87" t="s">
        <v>23</v>
      </c>
      <c r="B721" s="87" t="s">
        <v>219</v>
      </c>
      <c r="C721" s="87">
        <v>2022</v>
      </c>
      <c r="D721" s="87" t="s">
        <v>15</v>
      </c>
      <c r="E721" s="116">
        <v>524</v>
      </c>
      <c r="F721" s="87" t="s">
        <v>967</v>
      </c>
      <c r="G721" s="87" t="s">
        <v>289</v>
      </c>
      <c r="H721" s="87" t="s">
        <v>967</v>
      </c>
      <c r="I721" s="87">
        <v>33</v>
      </c>
    </row>
    <row r="722" spans="1:9" ht="15" customHeight="1" x14ac:dyDescent="0.25">
      <c r="A722" s="87" t="s">
        <v>23</v>
      </c>
      <c r="B722" s="87" t="s">
        <v>290</v>
      </c>
      <c r="C722" s="87">
        <v>1975</v>
      </c>
      <c r="D722" s="87" t="s">
        <v>15</v>
      </c>
      <c r="E722" s="116">
        <v>75</v>
      </c>
      <c r="F722" s="87" t="s">
        <v>508</v>
      </c>
      <c r="G722" s="87" t="s">
        <v>967</v>
      </c>
      <c r="H722" s="87" t="s">
        <v>508</v>
      </c>
      <c r="I722" s="87">
        <v>22</v>
      </c>
    </row>
    <row r="723" spans="1:9" ht="15" customHeight="1" x14ac:dyDescent="0.25">
      <c r="A723" s="87" t="s">
        <v>23</v>
      </c>
      <c r="B723" s="87" t="s">
        <v>290</v>
      </c>
      <c r="C723" s="87">
        <v>1976</v>
      </c>
      <c r="D723" s="87" t="s">
        <v>15</v>
      </c>
      <c r="E723" s="116">
        <v>75</v>
      </c>
      <c r="F723" s="87" t="s">
        <v>508</v>
      </c>
      <c r="G723" s="87" t="s">
        <v>967</v>
      </c>
      <c r="H723" s="87" t="s">
        <v>508</v>
      </c>
      <c r="I723" s="87">
        <v>22</v>
      </c>
    </row>
    <row r="724" spans="1:9" ht="15" customHeight="1" x14ac:dyDescent="0.25">
      <c r="A724" s="87" t="s">
        <v>23</v>
      </c>
      <c r="B724" s="87" t="s">
        <v>290</v>
      </c>
      <c r="C724" s="87">
        <v>1977</v>
      </c>
      <c r="D724" s="87" t="s">
        <v>15</v>
      </c>
      <c r="E724" s="116">
        <v>200</v>
      </c>
      <c r="F724" s="87" t="s">
        <v>508</v>
      </c>
      <c r="G724" s="87" t="s">
        <v>967</v>
      </c>
      <c r="H724" s="87" t="s">
        <v>508</v>
      </c>
      <c r="I724" s="87">
        <v>22</v>
      </c>
    </row>
    <row r="725" spans="1:9" ht="15" customHeight="1" x14ac:dyDescent="0.25">
      <c r="A725" s="87" t="s">
        <v>23</v>
      </c>
      <c r="B725" s="87" t="s">
        <v>290</v>
      </c>
      <c r="C725" s="87">
        <v>1978</v>
      </c>
      <c r="D725" s="87" t="s">
        <v>15</v>
      </c>
      <c r="E725" s="116">
        <v>200</v>
      </c>
      <c r="F725" s="87" t="s">
        <v>508</v>
      </c>
      <c r="G725" s="87" t="s">
        <v>967</v>
      </c>
      <c r="H725" s="87" t="s">
        <v>508</v>
      </c>
      <c r="I725" s="87">
        <v>22</v>
      </c>
    </row>
    <row r="726" spans="1:9" ht="15" customHeight="1" x14ac:dyDescent="0.25">
      <c r="A726" s="87" t="s">
        <v>23</v>
      </c>
      <c r="B726" s="87" t="s">
        <v>290</v>
      </c>
      <c r="C726" s="87">
        <v>1979</v>
      </c>
      <c r="D726" s="87" t="s">
        <v>15</v>
      </c>
      <c r="E726" s="116">
        <v>200</v>
      </c>
      <c r="F726" s="87" t="s">
        <v>508</v>
      </c>
      <c r="G726" s="87" t="s">
        <v>967</v>
      </c>
      <c r="H726" s="87" t="s">
        <v>508</v>
      </c>
      <c r="I726" s="87">
        <v>22</v>
      </c>
    </row>
    <row r="727" spans="1:9" ht="15" customHeight="1" x14ac:dyDescent="0.25">
      <c r="A727" s="87" t="s">
        <v>23</v>
      </c>
      <c r="B727" s="87" t="s">
        <v>290</v>
      </c>
      <c r="C727" s="87">
        <v>1980</v>
      </c>
      <c r="D727" s="87" t="s">
        <v>15</v>
      </c>
      <c r="E727" s="116">
        <v>200</v>
      </c>
      <c r="F727" s="87" t="s">
        <v>508</v>
      </c>
      <c r="G727" s="87" t="s">
        <v>967</v>
      </c>
      <c r="H727" s="87" t="s">
        <v>508</v>
      </c>
      <c r="I727" s="87">
        <v>22</v>
      </c>
    </row>
    <row r="728" spans="1:9" ht="15" customHeight="1" x14ac:dyDescent="0.25">
      <c r="A728" s="87" t="s">
        <v>23</v>
      </c>
      <c r="B728" s="87" t="s">
        <v>290</v>
      </c>
      <c r="C728" s="87">
        <v>1981</v>
      </c>
      <c r="D728" s="87" t="s">
        <v>15</v>
      </c>
      <c r="E728" s="116">
        <v>150</v>
      </c>
      <c r="F728" s="87" t="s">
        <v>508</v>
      </c>
      <c r="G728" s="87" t="s">
        <v>967</v>
      </c>
      <c r="H728" s="87" t="s">
        <v>508</v>
      </c>
      <c r="I728" s="87">
        <v>22</v>
      </c>
    </row>
    <row r="729" spans="1:9" ht="15" customHeight="1" x14ac:dyDescent="0.25">
      <c r="A729" s="87" t="s">
        <v>23</v>
      </c>
      <c r="B729" s="87" t="s">
        <v>290</v>
      </c>
      <c r="C729" s="87">
        <v>1982</v>
      </c>
      <c r="D729" s="87" t="s">
        <v>15</v>
      </c>
      <c r="E729" s="116">
        <v>150</v>
      </c>
      <c r="F729" s="87" t="s">
        <v>508</v>
      </c>
      <c r="G729" s="87" t="s">
        <v>967</v>
      </c>
      <c r="H729" s="87" t="s">
        <v>508</v>
      </c>
      <c r="I729" s="87">
        <v>22</v>
      </c>
    </row>
    <row r="730" spans="1:9" ht="15" customHeight="1" x14ac:dyDescent="0.25">
      <c r="A730" s="87" t="s">
        <v>23</v>
      </c>
      <c r="B730" s="87" t="s">
        <v>290</v>
      </c>
      <c r="C730" s="87">
        <v>1983</v>
      </c>
      <c r="D730" s="87" t="s">
        <v>15</v>
      </c>
      <c r="E730" s="116">
        <v>75</v>
      </c>
      <c r="F730" s="87" t="s">
        <v>508</v>
      </c>
      <c r="G730" s="87" t="s">
        <v>967</v>
      </c>
      <c r="H730" s="87" t="s">
        <v>508</v>
      </c>
      <c r="I730" s="87">
        <v>22</v>
      </c>
    </row>
    <row r="731" spans="1:9" ht="15" customHeight="1" x14ac:dyDescent="0.25">
      <c r="A731" s="87" t="s">
        <v>23</v>
      </c>
      <c r="B731" s="87" t="s">
        <v>290</v>
      </c>
      <c r="C731" s="87">
        <v>1984</v>
      </c>
      <c r="D731" s="87" t="s">
        <v>15</v>
      </c>
      <c r="E731" s="116">
        <v>150</v>
      </c>
      <c r="F731" s="87" t="s">
        <v>508</v>
      </c>
      <c r="G731" s="87" t="s">
        <v>967</v>
      </c>
      <c r="H731" s="87" t="s">
        <v>508</v>
      </c>
      <c r="I731" s="87">
        <v>22</v>
      </c>
    </row>
    <row r="732" spans="1:9" ht="15" customHeight="1" x14ac:dyDescent="0.25">
      <c r="A732" s="87" t="s">
        <v>23</v>
      </c>
      <c r="B732" s="87" t="s">
        <v>290</v>
      </c>
      <c r="C732" s="87">
        <v>1985</v>
      </c>
      <c r="D732" s="87" t="s">
        <v>15</v>
      </c>
      <c r="E732" s="116">
        <v>175</v>
      </c>
      <c r="F732" s="87" t="s">
        <v>508</v>
      </c>
      <c r="G732" s="87" t="s">
        <v>967</v>
      </c>
      <c r="H732" s="87" t="s">
        <v>508</v>
      </c>
      <c r="I732" s="87">
        <v>22</v>
      </c>
    </row>
    <row r="733" spans="1:9" ht="15" customHeight="1" x14ac:dyDescent="0.25">
      <c r="A733" s="87" t="s">
        <v>23</v>
      </c>
      <c r="B733" s="87" t="s">
        <v>290</v>
      </c>
      <c r="C733" s="87">
        <v>1986</v>
      </c>
      <c r="D733" s="87" t="s">
        <v>15</v>
      </c>
      <c r="E733" s="116">
        <v>150</v>
      </c>
      <c r="F733" s="87" t="s">
        <v>508</v>
      </c>
      <c r="G733" s="87" t="s">
        <v>967</v>
      </c>
      <c r="H733" s="87" t="s">
        <v>508</v>
      </c>
      <c r="I733" s="87">
        <v>22</v>
      </c>
    </row>
    <row r="734" spans="1:9" ht="15" customHeight="1" x14ac:dyDescent="0.25">
      <c r="A734" s="87" t="s">
        <v>23</v>
      </c>
      <c r="B734" s="87" t="s">
        <v>290</v>
      </c>
      <c r="C734" s="87">
        <v>1987</v>
      </c>
      <c r="D734" s="87" t="s">
        <v>15</v>
      </c>
      <c r="E734" s="116">
        <v>175</v>
      </c>
      <c r="F734" s="87" t="s">
        <v>508</v>
      </c>
      <c r="G734" s="87" t="s">
        <v>967</v>
      </c>
      <c r="H734" s="87" t="s">
        <v>508</v>
      </c>
      <c r="I734" s="87">
        <v>22</v>
      </c>
    </row>
    <row r="735" spans="1:9" ht="15" customHeight="1" x14ac:dyDescent="0.25">
      <c r="A735" s="87" t="s">
        <v>23</v>
      </c>
      <c r="B735" s="87" t="s">
        <v>290</v>
      </c>
      <c r="C735" s="87">
        <v>1988</v>
      </c>
      <c r="D735" s="87" t="s">
        <v>15</v>
      </c>
      <c r="E735" s="116">
        <v>250</v>
      </c>
      <c r="F735" s="87" t="s">
        <v>508</v>
      </c>
      <c r="G735" s="87" t="s">
        <v>967</v>
      </c>
      <c r="H735" s="87" t="s">
        <v>508</v>
      </c>
      <c r="I735" s="87">
        <v>22</v>
      </c>
    </row>
    <row r="736" spans="1:9" ht="15" customHeight="1" x14ac:dyDescent="0.25">
      <c r="A736" s="87" t="s">
        <v>23</v>
      </c>
      <c r="B736" s="87" t="s">
        <v>290</v>
      </c>
      <c r="C736" s="87">
        <v>1989</v>
      </c>
      <c r="D736" s="87" t="s">
        <v>15</v>
      </c>
      <c r="E736" s="116">
        <v>50</v>
      </c>
      <c r="F736" s="87" t="s">
        <v>508</v>
      </c>
      <c r="G736" s="87" t="s">
        <v>967</v>
      </c>
      <c r="H736" s="87" t="s">
        <v>508</v>
      </c>
      <c r="I736" s="87">
        <v>22</v>
      </c>
    </row>
    <row r="737" spans="1:9" ht="15" customHeight="1" x14ac:dyDescent="0.25">
      <c r="A737" s="87" t="s">
        <v>23</v>
      </c>
      <c r="B737" s="87" t="s">
        <v>290</v>
      </c>
      <c r="C737" s="87">
        <v>1990</v>
      </c>
      <c r="D737" s="87" t="s">
        <v>15</v>
      </c>
      <c r="E737" s="116">
        <v>425</v>
      </c>
      <c r="F737" s="87" t="s">
        <v>508</v>
      </c>
      <c r="G737" s="87" t="s">
        <v>967</v>
      </c>
      <c r="H737" s="87" t="s">
        <v>508</v>
      </c>
      <c r="I737" s="87">
        <v>22</v>
      </c>
    </row>
    <row r="738" spans="1:9" ht="15" customHeight="1" x14ac:dyDescent="0.25">
      <c r="A738" s="87" t="s">
        <v>23</v>
      </c>
      <c r="B738" s="87" t="s">
        <v>290</v>
      </c>
      <c r="C738" s="87">
        <v>1991</v>
      </c>
      <c r="D738" s="87" t="s">
        <v>15</v>
      </c>
      <c r="E738" s="116">
        <v>150</v>
      </c>
      <c r="F738" s="87" t="s">
        <v>508</v>
      </c>
      <c r="G738" s="87" t="s">
        <v>967</v>
      </c>
      <c r="H738" s="87" t="s">
        <v>508</v>
      </c>
      <c r="I738" s="87">
        <v>22</v>
      </c>
    </row>
    <row r="739" spans="1:9" ht="15" customHeight="1" x14ac:dyDescent="0.25">
      <c r="A739" s="87" t="s">
        <v>23</v>
      </c>
      <c r="B739" s="87" t="s">
        <v>290</v>
      </c>
      <c r="C739" s="87">
        <v>1992</v>
      </c>
      <c r="D739" s="87" t="s">
        <v>15</v>
      </c>
      <c r="E739" s="116">
        <v>150</v>
      </c>
      <c r="F739" s="87" t="s">
        <v>508</v>
      </c>
      <c r="G739" s="87" t="s">
        <v>967</v>
      </c>
      <c r="H739" s="87" t="s">
        <v>508</v>
      </c>
      <c r="I739" s="87">
        <v>22</v>
      </c>
    </row>
    <row r="740" spans="1:9" ht="15" customHeight="1" x14ac:dyDescent="0.25">
      <c r="A740" s="87" t="s">
        <v>23</v>
      </c>
      <c r="B740" s="87" t="s">
        <v>290</v>
      </c>
      <c r="C740" s="87">
        <v>1993</v>
      </c>
      <c r="D740" s="87" t="s">
        <v>15</v>
      </c>
      <c r="E740" s="116">
        <v>25</v>
      </c>
      <c r="F740" s="87" t="s">
        <v>508</v>
      </c>
      <c r="G740" s="87" t="s">
        <v>967</v>
      </c>
      <c r="H740" s="87" t="s">
        <v>508</v>
      </c>
      <c r="I740" s="87">
        <v>22</v>
      </c>
    </row>
    <row r="741" spans="1:9" ht="15" customHeight="1" x14ac:dyDescent="0.25">
      <c r="A741" s="87" t="s">
        <v>23</v>
      </c>
      <c r="B741" s="87" t="s">
        <v>290</v>
      </c>
      <c r="C741" s="87">
        <v>1994</v>
      </c>
      <c r="D741" s="87" t="s">
        <v>15</v>
      </c>
      <c r="E741" s="116">
        <v>119</v>
      </c>
      <c r="F741" s="87" t="s">
        <v>508</v>
      </c>
      <c r="G741" s="87" t="s">
        <v>967</v>
      </c>
      <c r="H741" s="87" t="s">
        <v>508</v>
      </c>
      <c r="I741" s="87">
        <v>22</v>
      </c>
    </row>
    <row r="742" spans="1:9" ht="15" customHeight="1" x14ac:dyDescent="0.25">
      <c r="A742" s="87" t="s">
        <v>23</v>
      </c>
      <c r="B742" s="87" t="s">
        <v>290</v>
      </c>
      <c r="C742" s="87">
        <v>1995</v>
      </c>
      <c r="D742" s="87" t="s">
        <v>15</v>
      </c>
      <c r="E742" s="116">
        <v>200</v>
      </c>
      <c r="F742" s="87" t="s">
        <v>508</v>
      </c>
      <c r="G742" s="87" t="s">
        <v>967</v>
      </c>
      <c r="H742" s="87" t="s">
        <v>967</v>
      </c>
      <c r="I742" s="87">
        <v>22</v>
      </c>
    </row>
    <row r="743" spans="1:9" ht="15" customHeight="1" x14ac:dyDescent="0.25">
      <c r="A743" s="87" t="s">
        <v>23</v>
      </c>
      <c r="B743" s="87" t="s">
        <v>290</v>
      </c>
      <c r="C743" s="87">
        <v>1996</v>
      </c>
      <c r="D743" s="87" t="s">
        <v>15</v>
      </c>
      <c r="E743" s="116">
        <v>320</v>
      </c>
      <c r="F743" s="87" t="s">
        <v>563</v>
      </c>
      <c r="G743" s="87" t="s">
        <v>272</v>
      </c>
      <c r="H743" s="87" t="s">
        <v>967</v>
      </c>
      <c r="I743" s="87">
        <v>22</v>
      </c>
    </row>
    <row r="744" spans="1:9" ht="15" customHeight="1" x14ac:dyDescent="0.25">
      <c r="A744" s="87" t="s">
        <v>23</v>
      </c>
      <c r="B744" s="87" t="s">
        <v>290</v>
      </c>
      <c r="C744" s="87">
        <v>1997</v>
      </c>
      <c r="D744" s="87" t="s">
        <v>15</v>
      </c>
      <c r="E744" s="116">
        <v>186</v>
      </c>
      <c r="F744" s="87" t="s">
        <v>967</v>
      </c>
      <c r="G744" s="87" t="s">
        <v>967</v>
      </c>
      <c r="H744" s="87" t="s">
        <v>967</v>
      </c>
      <c r="I744" s="87">
        <v>22</v>
      </c>
    </row>
    <row r="745" spans="1:9" ht="15" customHeight="1" x14ac:dyDescent="0.25">
      <c r="A745" s="87" t="s">
        <v>23</v>
      </c>
      <c r="B745" s="87" t="s">
        <v>290</v>
      </c>
      <c r="C745" s="87">
        <v>1998</v>
      </c>
      <c r="D745" s="87" t="s">
        <v>15</v>
      </c>
      <c r="E745" s="116">
        <v>39</v>
      </c>
      <c r="F745" s="87" t="s">
        <v>967</v>
      </c>
      <c r="G745" s="87" t="s">
        <v>289</v>
      </c>
      <c r="H745" s="87" t="s">
        <v>564</v>
      </c>
      <c r="I745" s="87">
        <v>22</v>
      </c>
    </row>
    <row r="746" spans="1:9" ht="15" customHeight="1" x14ac:dyDescent="0.25">
      <c r="A746" s="87" t="s">
        <v>23</v>
      </c>
      <c r="B746" s="87" t="s">
        <v>290</v>
      </c>
      <c r="C746" s="87">
        <v>1999</v>
      </c>
      <c r="D746" s="87" t="s">
        <v>15</v>
      </c>
      <c r="E746" s="116">
        <v>115</v>
      </c>
      <c r="F746" s="87" t="s">
        <v>291</v>
      </c>
      <c r="G746" s="87" t="s">
        <v>289</v>
      </c>
      <c r="H746" s="87" t="s">
        <v>967</v>
      </c>
      <c r="I746" s="87">
        <v>22</v>
      </c>
    </row>
    <row r="747" spans="1:9" ht="15" customHeight="1" x14ac:dyDescent="0.25">
      <c r="A747" s="87" t="s">
        <v>23</v>
      </c>
      <c r="B747" s="87" t="s">
        <v>290</v>
      </c>
      <c r="C747" s="87">
        <v>2000</v>
      </c>
      <c r="D747" s="87" t="s">
        <v>15</v>
      </c>
      <c r="E747" s="116">
        <v>20</v>
      </c>
      <c r="F747" s="87" t="s">
        <v>967</v>
      </c>
      <c r="G747" s="87" t="s">
        <v>289</v>
      </c>
      <c r="H747" s="87" t="s">
        <v>565</v>
      </c>
      <c r="I747" s="87">
        <v>22</v>
      </c>
    </row>
    <row r="748" spans="1:9" ht="15" customHeight="1" x14ac:dyDescent="0.25">
      <c r="A748" s="87" t="s">
        <v>23</v>
      </c>
      <c r="B748" s="87" t="s">
        <v>290</v>
      </c>
      <c r="C748" s="87">
        <v>2001</v>
      </c>
      <c r="D748" s="87" t="s">
        <v>15</v>
      </c>
      <c r="E748" s="116">
        <v>-1</v>
      </c>
      <c r="F748" s="87" t="s">
        <v>900</v>
      </c>
      <c r="G748" s="87" t="s">
        <v>272</v>
      </c>
      <c r="H748" s="87" t="s">
        <v>926</v>
      </c>
      <c r="I748" s="87">
        <v>22</v>
      </c>
    </row>
    <row r="749" spans="1:9" ht="15" customHeight="1" x14ac:dyDescent="0.25">
      <c r="A749" s="87" t="s">
        <v>23</v>
      </c>
      <c r="B749" s="87" t="s">
        <v>290</v>
      </c>
      <c r="C749" s="87">
        <v>2002</v>
      </c>
      <c r="D749" s="87" t="s">
        <v>15</v>
      </c>
      <c r="E749" s="116">
        <v>229</v>
      </c>
      <c r="F749" s="87" t="s">
        <v>967</v>
      </c>
      <c r="G749" s="87" t="s">
        <v>272</v>
      </c>
      <c r="H749" s="87" t="s">
        <v>566</v>
      </c>
      <c r="I749" s="87">
        <v>22</v>
      </c>
    </row>
    <row r="750" spans="1:9" ht="15" customHeight="1" x14ac:dyDescent="0.25">
      <c r="A750" s="87" t="s">
        <v>23</v>
      </c>
      <c r="B750" s="87" t="s">
        <v>290</v>
      </c>
      <c r="C750" s="87">
        <v>2003</v>
      </c>
      <c r="D750" s="87" t="s">
        <v>15</v>
      </c>
      <c r="E750" s="116">
        <v>-1</v>
      </c>
      <c r="F750" s="87" t="s">
        <v>900</v>
      </c>
      <c r="G750" s="87" t="s">
        <v>272</v>
      </c>
      <c r="H750" s="87" t="s">
        <v>904</v>
      </c>
      <c r="I750" s="87">
        <v>22</v>
      </c>
    </row>
    <row r="751" spans="1:9" ht="15" customHeight="1" x14ac:dyDescent="0.25">
      <c r="A751" s="87" t="s">
        <v>23</v>
      </c>
      <c r="B751" s="87" t="s">
        <v>290</v>
      </c>
      <c r="C751" s="87">
        <v>2004</v>
      </c>
      <c r="D751" s="87" t="s">
        <v>15</v>
      </c>
      <c r="E751" s="116">
        <v>106</v>
      </c>
      <c r="F751" s="87" t="s">
        <v>967</v>
      </c>
      <c r="G751" s="87" t="s">
        <v>272</v>
      </c>
      <c r="H751" s="87" t="s">
        <v>472</v>
      </c>
      <c r="I751" s="87">
        <v>22</v>
      </c>
    </row>
    <row r="752" spans="1:9" ht="15" customHeight="1" x14ac:dyDescent="0.25">
      <c r="A752" s="87" t="s">
        <v>23</v>
      </c>
      <c r="B752" s="87" t="s">
        <v>290</v>
      </c>
      <c r="C752" s="87">
        <v>2005</v>
      </c>
      <c r="D752" s="87" t="s">
        <v>15</v>
      </c>
      <c r="E752" s="116">
        <v>203</v>
      </c>
      <c r="F752" s="87" t="s">
        <v>967</v>
      </c>
      <c r="G752" s="87" t="s">
        <v>272</v>
      </c>
      <c r="H752" s="87" t="s">
        <v>470</v>
      </c>
      <c r="I752" s="87">
        <v>22</v>
      </c>
    </row>
    <row r="753" spans="1:9" ht="15" customHeight="1" x14ac:dyDescent="0.25">
      <c r="A753" s="87" t="s">
        <v>23</v>
      </c>
      <c r="B753" s="87" t="s">
        <v>290</v>
      </c>
      <c r="C753" s="87">
        <v>2006</v>
      </c>
      <c r="D753" s="87" t="s">
        <v>15</v>
      </c>
      <c r="E753" s="116">
        <v>168</v>
      </c>
      <c r="F753" s="87" t="s">
        <v>967</v>
      </c>
      <c r="G753" s="87" t="s">
        <v>272</v>
      </c>
      <c r="H753" s="87" t="s">
        <v>567</v>
      </c>
      <c r="I753" s="87">
        <v>22</v>
      </c>
    </row>
    <row r="754" spans="1:9" ht="15" customHeight="1" x14ac:dyDescent="0.25">
      <c r="A754" s="87" t="s">
        <v>23</v>
      </c>
      <c r="B754" s="87" t="s">
        <v>290</v>
      </c>
      <c r="C754" s="87">
        <v>2007</v>
      </c>
      <c r="D754" s="87" t="s">
        <v>15</v>
      </c>
      <c r="E754" s="116">
        <v>78</v>
      </c>
      <c r="F754" s="87" t="s">
        <v>967</v>
      </c>
      <c r="G754" s="87" t="s">
        <v>272</v>
      </c>
      <c r="H754" s="87" t="s">
        <v>967</v>
      </c>
      <c r="I754" s="87">
        <v>22</v>
      </c>
    </row>
    <row r="755" spans="1:9" ht="15" customHeight="1" x14ac:dyDescent="0.25">
      <c r="A755" s="87" t="s">
        <v>23</v>
      </c>
      <c r="B755" s="87" t="s">
        <v>290</v>
      </c>
      <c r="C755" s="87">
        <v>2008</v>
      </c>
      <c r="D755" s="87" t="s">
        <v>15</v>
      </c>
      <c r="E755" s="116">
        <v>123</v>
      </c>
      <c r="F755" s="87" t="s">
        <v>967</v>
      </c>
      <c r="G755" s="87" t="s">
        <v>272</v>
      </c>
      <c r="H755" s="87" t="s">
        <v>567</v>
      </c>
      <c r="I755" s="87">
        <v>22</v>
      </c>
    </row>
    <row r="756" spans="1:9" ht="15" customHeight="1" x14ac:dyDescent="0.25">
      <c r="A756" s="87" t="s">
        <v>23</v>
      </c>
      <c r="B756" s="87" t="s">
        <v>290</v>
      </c>
      <c r="C756" s="87">
        <v>2009</v>
      </c>
      <c r="D756" s="87" t="s">
        <v>15</v>
      </c>
      <c r="E756" s="116">
        <v>171</v>
      </c>
      <c r="F756" s="87" t="s">
        <v>967</v>
      </c>
      <c r="G756" s="87" t="s">
        <v>272</v>
      </c>
      <c r="H756" s="87" t="s">
        <v>967</v>
      </c>
      <c r="I756" s="87">
        <v>22</v>
      </c>
    </row>
    <row r="757" spans="1:9" ht="15" customHeight="1" x14ac:dyDescent="0.25">
      <c r="A757" s="87" t="s">
        <v>23</v>
      </c>
      <c r="B757" s="87" t="s">
        <v>290</v>
      </c>
      <c r="C757" s="87">
        <v>2010</v>
      </c>
      <c r="D757" s="87" t="s">
        <v>15</v>
      </c>
      <c r="E757" s="116">
        <v>91</v>
      </c>
      <c r="F757" s="87" t="s">
        <v>967</v>
      </c>
      <c r="G757" s="87" t="s">
        <v>272</v>
      </c>
      <c r="H757" s="87" t="s">
        <v>568</v>
      </c>
      <c r="I757" s="87">
        <v>22</v>
      </c>
    </row>
    <row r="758" spans="1:9" ht="15" customHeight="1" x14ac:dyDescent="0.25">
      <c r="A758" s="87" t="s">
        <v>23</v>
      </c>
      <c r="B758" s="87" t="s">
        <v>290</v>
      </c>
      <c r="C758" s="87">
        <v>2011</v>
      </c>
      <c r="D758" s="87" t="s">
        <v>15</v>
      </c>
      <c r="E758" s="116">
        <v>128</v>
      </c>
      <c r="F758" s="87" t="s">
        <v>967</v>
      </c>
      <c r="G758" s="87" t="s">
        <v>272</v>
      </c>
      <c r="H758" s="87" t="s">
        <v>967</v>
      </c>
      <c r="I758" s="87">
        <v>22</v>
      </c>
    </row>
    <row r="759" spans="1:9" ht="15" customHeight="1" x14ac:dyDescent="0.25">
      <c r="A759" s="87" t="s">
        <v>23</v>
      </c>
      <c r="B759" s="87" t="s">
        <v>290</v>
      </c>
      <c r="C759" s="87">
        <v>2012</v>
      </c>
      <c r="D759" s="87" t="s">
        <v>15</v>
      </c>
      <c r="E759" s="116">
        <v>43</v>
      </c>
      <c r="F759" s="87" t="s">
        <v>967</v>
      </c>
      <c r="G759" s="87" t="s">
        <v>272</v>
      </c>
      <c r="H759" s="87" t="s">
        <v>967</v>
      </c>
      <c r="I759" s="87">
        <v>22</v>
      </c>
    </row>
    <row r="760" spans="1:9" ht="15" customHeight="1" x14ac:dyDescent="0.25">
      <c r="A760" s="87" t="s">
        <v>23</v>
      </c>
      <c r="B760" s="87" t="s">
        <v>290</v>
      </c>
      <c r="C760" s="87">
        <v>2013</v>
      </c>
      <c r="D760" s="87" t="s">
        <v>15</v>
      </c>
      <c r="E760" s="116">
        <v>100</v>
      </c>
      <c r="F760" s="87" t="s">
        <v>967</v>
      </c>
      <c r="G760" s="87" t="s">
        <v>272</v>
      </c>
      <c r="H760" s="87" t="s">
        <v>967</v>
      </c>
      <c r="I760" s="87">
        <v>22</v>
      </c>
    </row>
    <row r="761" spans="1:9" ht="15" customHeight="1" x14ac:dyDescent="0.25">
      <c r="A761" s="87" t="s">
        <v>23</v>
      </c>
      <c r="B761" s="87" t="s">
        <v>290</v>
      </c>
      <c r="C761" s="87">
        <v>2014</v>
      </c>
      <c r="D761" s="87" t="s">
        <v>15</v>
      </c>
      <c r="E761" s="116">
        <v>125</v>
      </c>
      <c r="F761" s="87" t="s">
        <v>967</v>
      </c>
      <c r="G761" s="87" t="s">
        <v>272</v>
      </c>
      <c r="H761" s="87" t="s">
        <v>569</v>
      </c>
      <c r="I761" s="87">
        <v>22</v>
      </c>
    </row>
    <row r="762" spans="1:9" ht="15" customHeight="1" x14ac:dyDescent="0.25">
      <c r="A762" s="87" t="s">
        <v>23</v>
      </c>
      <c r="B762" s="87" t="s">
        <v>290</v>
      </c>
      <c r="C762" s="87">
        <v>2015</v>
      </c>
      <c r="D762" s="87" t="s">
        <v>15</v>
      </c>
      <c r="E762" s="116">
        <v>417</v>
      </c>
      <c r="F762" s="87" t="s">
        <v>967</v>
      </c>
      <c r="G762" s="87" t="s">
        <v>272</v>
      </c>
      <c r="H762" s="87" t="s">
        <v>570</v>
      </c>
      <c r="I762" s="87">
        <v>22</v>
      </c>
    </row>
    <row r="763" spans="1:9" ht="15" customHeight="1" x14ac:dyDescent="0.25">
      <c r="A763" s="87" t="s">
        <v>23</v>
      </c>
      <c r="B763" s="87" t="s">
        <v>290</v>
      </c>
      <c r="C763" s="87">
        <v>2016</v>
      </c>
      <c r="D763" s="87" t="s">
        <v>15</v>
      </c>
      <c r="E763" s="116">
        <v>57</v>
      </c>
      <c r="F763" s="87" t="s">
        <v>967</v>
      </c>
      <c r="G763" s="87" t="s">
        <v>272</v>
      </c>
      <c r="H763" s="87" t="s">
        <v>571</v>
      </c>
      <c r="I763" s="87">
        <v>22</v>
      </c>
    </row>
    <row r="764" spans="1:9" ht="15" customHeight="1" x14ac:dyDescent="0.25">
      <c r="A764" s="87" t="s">
        <v>23</v>
      </c>
      <c r="B764" s="87" t="s">
        <v>290</v>
      </c>
      <c r="C764" s="87">
        <v>2017</v>
      </c>
      <c r="D764" s="87" t="s">
        <v>15</v>
      </c>
      <c r="E764" s="116">
        <v>6</v>
      </c>
      <c r="F764" s="87" t="s">
        <v>967</v>
      </c>
      <c r="G764" s="87" t="s">
        <v>272</v>
      </c>
      <c r="H764" s="87" t="s">
        <v>967</v>
      </c>
      <c r="I764" s="87">
        <v>22</v>
      </c>
    </row>
    <row r="765" spans="1:9" ht="15" customHeight="1" x14ac:dyDescent="0.25">
      <c r="A765" s="87" t="s">
        <v>23</v>
      </c>
      <c r="B765" s="87" t="s">
        <v>290</v>
      </c>
      <c r="C765" s="87">
        <v>2018</v>
      </c>
      <c r="D765" s="87" t="s">
        <v>15</v>
      </c>
      <c r="E765" s="116">
        <v>20</v>
      </c>
      <c r="F765" s="87" t="s">
        <v>967</v>
      </c>
      <c r="G765" s="87" t="s">
        <v>272</v>
      </c>
      <c r="H765" s="87" t="s">
        <v>967</v>
      </c>
      <c r="I765" s="87">
        <v>22</v>
      </c>
    </row>
    <row r="766" spans="1:9" ht="15" customHeight="1" x14ac:dyDescent="0.25">
      <c r="A766" s="87" t="s">
        <v>23</v>
      </c>
      <c r="B766" s="87" t="s">
        <v>290</v>
      </c>
      <c r="C766" s="87">
        <v>2019</v>
      </c>
      <c r="D766" s="87" t="s">
        <v>15</v>
      </c>
      <c r="E766" s="116">
        <v>18</v>
      </c>
      <c r="F766" s="87" t="s">
        <v>967</v>
      </c>
      <c r="G766" s="87" t="s">
        <v>272</v>
      </c>
      <c r="H766" s="87" t="s">
        <v>967</v>
      </c>
      <c r="I766" s="87">
        <v>22</v>
      </c>
    </row>
    <row r="767" spans="1:9" ht="15" customHeight="1" x14ac:dyDescent="0.25">
      <c r="A767" s="87" t="s">
        <v>23</v>
      </c>
      <c r="B767" s="87" t="s">
        <v>290</v>
      </c>
      <c r="C767" s="87">
        <v>2020</v>
      </c>
      <c r="D767" s="87" t="s">
        <v>15</v>
      </c>
      <c r="E767" s="116">
        <v>12</v>
      </c>
      <c r="F767" s="87" t="s">
        <v>967</v>
      </c>
      <c r="G767" s="87" t="s">
        <v>272</v>
      </c>
      <c r="H767" s="87" t="s">
        <v>967</v>
      </c>
      <c r="I767" s="87">
        <v>22</v>
      </c>
    </row>
    <row r="768" spans="1:9" ht="15" customHeight="1" x14ac:dyDescent="0.25">
      <c r="A768" s="87" t="s">
        <v>23</v>
      </c>
      <c r="B768" s="87" t="s">
        <v>290</v>
      </c>
      <c r="C768" s="87">
        <v>2021</v>
      </c>
      <c r="D768" s="87" t="s">
        <v>15</v>
      </c>
      <c r="E768" s="116">
        <v>38</v>
      </c>
      <c r="F768" s="87" t="s">
        <v>967</v>
      </c>
      <c r="G768" s="87" t="s">
        <v>272</v>
      </c>
      <c r="H768" s="87" t="s">
        <v>967</v>
      </c>
      <c r="I768" s="87">
        <v>22</v>
      </c>
    </row>
    <row r="769" spans="1:9" ht="15" customHeight="1" x14ac:dyDescent="0.25">
      <c r="A769" s="87" t="s">
        <v>23</v>
      </c>
      <c r="B769" s="87" t="s">
        <v>290</v>
      </c>
      <c r="C769" s="87">
        <v>2022</v>
      </c>
      <c r="D769" s="87" t="s">
        <v>15</v>
      </c>
      <c r="E769" s="116">
        <v>14</v>
      </c>
      <c r="F769" s="87" t="s">
        <v>967</v>
      </c>
      <c r="G769" s="87" t="s">
        <v>272</v>
      </c>
      <c r="H769" s="87" t="s">
        <v>967</v>
      </c>
      <c r="I769" s="87">
        <v>22</v>
      </c>
    </row>
    <row r="770" spans="1:9" ht="15" customHeight="1" x14ac:dyDescent="0.25">
      <c r="A770" s="87" t="s">
        <v>23</v>
      </c>
      <c r="B770" s="87" t="s">
        <v>292</v>
      </c>
      <c r="C770" s="87">
        <v>1975</v>
      </c>
      <c r="D770" s="87" t="s">
        <v>15</v>
      </c>
      <c r="E770" s="116">
        <v>1328.3505921735193</v>
      </c>
      <c r="F770" s="87" t="s">
        <v>967</v>
      </c>
      <c r="G770" s="87" t="s">
        <v>272</v>
      </c>
      <c r="H770" s="87" t="s">
        <v>967</v>
      </c>
      <c r="I770" s="87">
        <v>30</v>
      </c>
    </row>
    <row r="771" spans="1:9" ht="15" customHeight="1" x14ac:dyDescent="0.25">
      <c r="A771" s="87" t="s">
        <v>23</v>
      </c>
      <c r="B771" s="87" t="s">
        <v>292</v>
      </c>
      <c r="C771" s="87">
        <v>1976</v>
      </c>
      <c r="D771" s="87" t="s">
        <v>15</v>
      </c>
      <c r="E771" s="116">
        <v>1250.2123220456654</v>
      </c>
      <c r="F771" s="87" t="s">
        <v>967</v>
      </c>
      <c r="G771" s="87" t="s">
        <v>272</v>
      </c>
      <c r="H771" s="87" t="s">
        <v>967</v>
      </c>
      <c r="I771" s="87">
        <v>30</v>
      </c>
    </row>
    <row r="772" spans="1:9" ht="15" customHeight="1" x14ac:dyDescent="0.25">
      <c r="A772" s="87" t="s">
        <v>23</v>
      </c>
      <c r="B772" s="87" t="s">
        <v>292</v>
      </c>
      <c r="C772" s="87">
        <v>1977</v>
      </c>
      <c r="D772" s="87" t="s">
        <v>15</v>
      </c>
      <c r="E772" s="116">
        <v>1093.9357817899572</v>
      </c>
      <c r="F772" s="87" t="s">
        <v>967</v>
      </c>
      <c r="G772" s="87" t="s">
        <v>272</v>
      </c>
      <c r="H772" s="87" t="s">
        <v>967</v>
      </c>
      <c r="I772" s="87">
        <v>30</v>
      </c>
    </row>
    <row r="773" spans="1:9" ht="15" customHeight="1" x14ac:dyDescent="0.25">
      <c r="A773" s="87" t="s">
        <v>23</v>
      </c>
      <c r="B773" s="87" t="s">
        <v>292</v>
      </c>
      <c r="C773" s="87">
        <v>1978</v>
      </c>
      <c r="D773" s="87" t="s">
        <v>15</v>
      </c>
      <c r="E773" s="116">
        <v>1328.3505921735193</v>
      </c>
      <c r="F773" s="87" t="s">
        <v>967</v>
      </c>
      <c r="G773" s="87" t="s">
        <v>272</v>
      </c>
      <c r="H773" s="87" t="s">
        <v>967</v>
      </c>
      <c r="I773" s="87">
        <v>30</v>
      </c>
    </row>
    <row r="774" spans="1:9" ht="15" customHeight="1" x14ac:dyDescent="0.25">
      <c r="A774" s="87" t="s">
        <v>23</v>
      </c>
      <c r="B774" s="87" t="s">
        <v>292</v>
      </c>
      <c r="C774" s="87">
        <v>1979</v>
      </c>
      <c r="D774" s="87" t="s">
        <v>15</v>
      </c>
      <c r="E774" s="116">
        <v>2344.1481038356224</v>
      </c>
      <c r="F774" s="87" t="s">
        <v>967</v>
      </c>
      <c r="G774" s="87" t="s">
        <v>272</v>
      </c>
      <c r="H774" s="87" t="s">
        <v>967</v>
      </c>
      <c r="I774" s="87">
        <v>30</v>
      </c>
    </row>
    <row r="775" spans="1:9" ht="15" customHeight="1" x14ac:dyDescent="0.25">
      <c r="A775" s="87" t="s">
        <v>23</v>
      </c>
      <c r="B775" s="87" t="s">
        <v>292</v>
      </c>
      <c r="C775" s="87">
        <v>1980</v>
      </c>
      <c r="D775" s="87" t="s">
        <v>15</v>
      </c>
      <c r="E775" s="116">
        <v>2187.8715635799144</v>
      </c>
      <c r="F775" s="87" t="s">
        <v>967</v>
      </c>
      <c r="G775" s="87" t="s">
        <v>272</v>
      </c>
      <c r="H775" s="87" t="s">
        <v>967</v>
      </c>
      <c r="I775" s="87">
        <v>30</v>
      </c>
    </row>
    <row r="776" spans="1:9" ht="15" customHeight="1" x14ac:dyDescent="0.25">
      <c r="A776" s="87" t="s">
        <v>23</v>
      </c>
      <c r="B776" s="87" t="s">
        <v>292</v>
      </c>
      <c r="C776" s="87">
        <v>1981</v>
      </c>
      <c r="D776" s="87" t="s">
        <v>15</v>
      </c>
      <c r="E776" s="116">
        <v>937.65924153424896</v>
      </c>
      <c r="F776" s="87" t="s">
        <v>967</v>
      </c>
      <c r="G776" s="87" t="s">
        <v>272</v>
      </c>
      <c r="H776" s="87" t="s">
        <v>967</v>
      </c>
      <c r="I776" s="87">
        <v>30</v>
      </c>
    </row>
    <row r="777" spans="1:9" ht="15" customHeight="1" x14ac:dyDescent="0.25">
      <c r="A777" s="87" t="s">
        <v>23</v>
      </c>
      <c r="B777" s="87" t="s">
        <v>292</v>
      </c>
      <c r="C777" s="87">
        <v>1982</v>
      </c>
      <c r="D777" s="87" t="s">
        <v>15</v>
      </c>
      <c r="E777" s="116">
        <v>859.52097140639489</v>
      </c>
      <c r="F777" s="87" t="s">
        <v>967</v>
      </c>
      <c r="G777" s="87" t="s">
        <v>272</v>
      </c>
      <c r="H777" s="87" t="s">
        <v>967</v>
      </c>
      <c r="I777" s="87">
        <v>30</v>
      </c>
    </row>
    <row r="778" spans="1:9" ht="15" customHeight="1" x14ac:dyDescent="0.25">
      <c r="A778" s="87" t="s">
        <v>23</v>
      </c>
      <c r="B778" s="87" t="s">
        <v>292</v>
      </c>
      <c r="C778" s="87">
        <v>1983</v>
      </c>
      <c r="D778" s="87" t="s">
        <v>15</v>
      </c>
      <c r="E778" s="116">
        <v>1562.7654025570816</v>
      </c>
      <c r="F778" s="87" t="s">
        <v>967</v>
      </c>
      <c r="G778" s="87" t="s">
        <v>272</v>
      </c>
      <c r="H778" s="87" t="s">
        <v>967</v>
      </c>
      <c r="I778" s="87">
        <v>30</v>
      </c>
    </row>
    <row r="779" spans="1:9" ht="15" customHeight="1" x14ac:dyDescent="0.25">
      <c r="A779" s="87" t="s">
        <v>23</v>
      </c>
      <c r="B779" s="87" t="s">
        <v>292</v>
      </c>
      <c r="C779" s="87">
        <v>1984</v>
      </c>
      <c r="D779" s="87" t="s">
        <v>15</v>
      </c>
      <c r="E779" s="116">
        <v>1484.6271324292275</v>
      </c>
      <c r="F779" s="87" t="s">
        <v>967</v>
      </c>
      <c r="G779" s="87" t="s">
        <v>272</v>
      </c>
      <c r="H779" s="87" t="s">
        <v>967</v>
      </c>
      <c r="I779" s="87">
        <v>30</v>
      </c>
    </row>
    <row r="780" spans="1:9" ht="15" customHeight="1" x14ac:dyDescent="0.25">
      <c r="A780" s="87" t="s">
        <v>23</v>
      </c>
      <c r="B780" s="87" t="s">
        <v>292</v>
      </c>
      <c r="C780" s="87">
        <v>1985</v>
      </c>
      <c r="D780" s="87" t="s">
        <v>15</v>
      </c>
      <c r="E780" s="116">
        <v>2344.1481038356224</v>
      </c>
      <c r="F780" s="87" t="s">
        <v>967</v>
      </c>
      <c r="G780" s="87" t="s">
        <v>272</v>
      </c>
      <c r="H780" s="87" t="s">
        <v>967</v>
      </c>
      <c r="I780" s="87">
        <v>30</v>
      </c>
    </row>
    <row r="781" spans="1:9" ht="15" customHeight="1" x14ac:dyDescent="0.25">
      <c r="A781" s="87" t="s">
        <v>23</v>
      </c>
      <c r="B781" s="87" t="s">
        <v>292</v>
      </c>
      <c r="C781" s="87">
        <v>1986</v>
      </c>
      <c r="D781" s="87" t="s">
        <v>15</v>
      </c>
      <c r="E781" s="116">
        <v>5157.1258284383694</v>
      </c>
      <c r="F781" s="87" t="s">
        <v>967</v>
      </c>
      <c r="G781" s="87" t="s">
        <v>272</v>
      </c>
      <c r="H781" s="87" t="s">
        <v>967</v>
      </c>
      <c r="I781" s="87">
        <v>30</v>
      </c>
    </row>
    <row r="782" spans="1:9" ht="15" customHeight="1" x14ac:dyDescent="0.25">
      <c r="A782" s="87" t="s">
        <v>23</v>
      </c>
      <c r="B782" s="87" t="s">
        <v>292</v>
      </c>
      <c r="C782" s="87">
        <v>1987</v>
      </c>
      <c r="D782" s="87" t="s">
        <v>15</v>
      </c>
      <c r="E782" s="116">
        <v>5938.5085297169098</v>
      </c>
      <c r="F782" s="87" t="s">
        <v>967</v>
      </c>
      <c r="G782" s="87" t="s">
        <v>272</v>
      </c>
      <c r="H782" s="87" t="s">
        <v>967</v>
      </c>
      <c r="I782" s="87">
        <v>30</v>
      </c>
    </row>
    <row r="783" spans="1:9" ht="15" customHeight="1" x14ac:dyDescent="0.25">
      <c r="A783" s="87" t="s">
        <v>23</v>
      </c>
      <c r="B783" s="87" t="s">
        <v>292</v>
      </c>
      <c r="C783" s="87">
        <v>1988</v>
      </c>
      <c r="D783" s="87" t="s">
        <v>15</v>
      </c>
      <c r="E783" s="116">
        <v>5329.0300227196485</v>
      </c>
      <c r="F783" s="87" t="s">
        <v>967</v>
      </c>
      <c r="G783" s="87" t="s">
        <v>272</v>
      </c>
      <c r="H783" s="87" t="s">
        <v>967</v>
      </c>
      <c r="I783" s="87">
        <v>30</v>
      </c>
    </row>
    <row r="784" spans="1:9" ht="15" customHeight="1" x14ac:dyDescent="0.25">
      <c r="A784" s="87" t="s">
        <v>23</v>
      </c>
      <c r="B784" s="87" t="s">
        <v>292</v>
      </c>
      <c r="C784" s="87">
        <v>1989</v>
      </c>
      <c r="D784" s="87" t="s">
        <v>15</v>
      </c>
      <c r="E784" s="116">
        <v>4063.1900466484121</v>
      </c>
      <c r="F784" s="87" t="s">
        <v>967</v>
      </c>
      <c r="G784" s="87" t="s">
        <v>272</v>
      </c>
      <c r="H784" s="87" t="s">
        <v>967</v>
      </c>
      <c r="I784" s="87">
        <v>30</v>
      </c>
    </row>
    <row r="785" spans="1:9" ht="15" customHeight="1" x14ac:dyDescent="0.25">
      <c r="A785" s="87" t="s">
        <v>23</v>
      </c>
      <c r="B785" s="87" t="s">
        <v>292</v>
      </c>
      <c r="C785" s="87">
        <v>1990</v>
      </c>
      <c r="D785" s="87" t="s">
        <v>15</v>
      </c>
      <c r="E785" s="116">
        <v>4219.46658690412</v>
      </c>
      <c r="F785" s="87" t="s">
        <v>967</v>
      </c>
      <c r="G785" s="87" t="s">
        <v>272</v>
      </c>
      <c r="H785" s="87" t="s">
        <v>967</v>
      </c>
      <c r="I785" s="87">
        <v>30</v>
      </c>
    </row>
    <row r="786" spans="1:9" ht="15" customHeight="1" x14ac:dyDescent="0.25">
      <c r="A786" s="87" t="s">
        <v>23</v>
      </c>
      <c r="B786" s="87" t="s">
        <v>292</v>
      </c>
      <c r="C786" s="87">
        <v>1991</v>
      </c>
      <c r="D786" s="87" t="s">
        <v>15</v>
      </c>
      <c r="E786" s="116">
        <v>4907.0833640292367</v>
      </c>
      <c r="F786" s="87" t="s">
        <v>967</v>
      </c>
      <c r="G786" s="87" t="s">
        <v>272</v>
      </c>
      <c r="H786" s="87" t="s">
        <v>967</v>
      </c>
      <c r="I786" s="87">
        <v>30</v>
      </c>
    </row>
    <row r="787" spans="1:9" ht="15" customHeight="1" x14ac:dyDescent="0.25">
      <c r="A787" s="87" t="s">
        <v>23</v>
      </c>
      <c r="B787" s="87" t="s">
        <v>292</v>
      </c>
      <c r="C787" s="87">
        <v>1992</v>
      </c>
      <c r="D787" s="87" t="s">
        <v>15</v>
      </c>
      <c r="E787" s="116">
        <v>3885.0347907569048</v>
      </c>
      <c r="F787" s="87" t="s">
        <v>967</v>
      </c>
      <c r="G787" s="87" t="s">
        <v>272</v>
      </c>
      <c r="H787" s="87" t="s">
        <v>967</v>
      </c>
      <c r="I787" s="87">
        <v>30</v>
      </c>
    </row>
    <row r="788" spans="1:9" ht="15" customHeight="1" x14ac:dyDescent="0.25">
      <c r="A788" s="87" t="s">
        <v>23</v>
      </c>
      <c r="B788" s="87" t="s">
        <v>292</v>
      </c>
      <c r="C788" s="87">
        <v>1993</v>
      </c>
      <c r="D788" s="87" t="s">
        <v>15</v>
      </c>
      <c r="E788" s="116">
        <v>5157.1258284383694</v>
      </c>
      <c r="F788" s="87" t="s">
        <v>967</v>
      </c>
      <c r="G788" s="87" t="s">
        <v>272</v>
      </c>
      <c r="H788" s="87" t="s">
        <v>967</v>
      </c>
      <c r="I788" s="87">
        <v>30</v>
      </c>
    </row>
    <row r="789" spans="1:9" ht="15" customHeight="1" x14ac:dyDescent="0.25">
      <c r="A789" s="87" t="s">
        <v>23</v>
      </c>
      <c r="B789" s="87" t="s">
        <v>292</v>
      </c>
      <c r="C789" s="87">
        <v>1994</v>
      </c>
      <c r="D789" s="87" t="s">
        <v>15</v>
      </c>
      <c r="E789" s="116">
        <v>10633.055798998383</v>
      </c>
      <c r="F789" s="87" t="s">
        <v>967</v>
      </c>
      <c r="G789" s="87" t="s">
        <v>272</v>
      </c>
      <c r="H789" s="87" t="s">
        <v>967</v>
      </c>
      <c r="I789" s="87">
        <v>30</v>
      </c>
    </row>
    <row r="790" spans="1:9" ht="15" customHeight="1" x14ac:dyDescent="0.25">
      <c r="A790" s="87" t="s">
        <v>23</v>
      </c>
      <c r="B790" s="87" t="s">
        <v>292</v>
      </c>
      <c r="C790" s="87">
        <v>1995</v>
      </c>
      <c r="D790" s="87" t="s">
        <v>15</v>
      </c>
      <c r="E790" s="116">
        <v>5847.8681363685992</v>
      </c>
      <c r="F790" s="87" t="s">
        <v>967</v>
      </c>
      <c r="G790" s="87" t="s">
        <v>272</v>
      </c>
      <c r="H790" s="87" t="s">
        <v>967</v>
      </c>
      <c r="I790" s="87">
        <v>30</v>
      </c>
    </row>
    <row r="791" spans="1:9" ht="15" customHeight="1" x14ac:dyDescent="0.25">
      <c r="A791" s="87" t="s">
        <v>23</v>
      </c>
      <c r="B791" s="87" t="s">
        <v>292</v>
      </c>
      <c r="C791" s="87">
        <v>1996</v>
      </c>
      <c r="D791" s="87" t="s">
        <v>15</v>
      </c>
      <c r="E791" s="116">
        <v>3570.9189448429315</v>
      </c>
      <c r="F791" s="87" t="s">
        <v>967</v>
      </c>
      <c r="G791" s="87" t="s">
        <v>272</v>
      </c>
      <c r="H791" s="87" t="s">
        <v>967</v>
      </c>
      <c r="I791" s="87">
        <v>30</v>
      </c>
    </row>
    <row r="792" spans="1:9" ht="15" customHeight="1" x14ac:dyDescent="0.25">
      <c r="A792" s="87" t="s">
        <v>23</v>
      </c>
      <c r="B792" s="87" t="s">
        <v>292</v>
      </c>
      <c r="C792" s="87">
        <v>1997</v>
      </c>
      <c r="D792" s="87" t="s">
        <v>15</v>
      </c>
      <c r="E792" s="116">
        <v>6251.0616102283266</v>
      </c>
      <c r="F792" s="87" t="s">
        <v>967</v>
      </c>
      <c r="G792" s="87" t="s">
        <v>272</v>
      </c>
      <c r="H792" s="87" t="s">
        <v>967</v>
      </c>
      <c r="I792" s="87">
        <v>30</v>
      </c>
    </row>
    <row r="793" spans="1:9" ht="15" customHeight="1" x14ac:dyDescent="0.25">
      <c r="A793" s="87" t="s">
        <v>23</v>
      </c>
      <c r="B793" s="87" t="s">
        <v>292</v>
      </c>
      <c r="C793" s="87">
        <v>1998</v>
      </c>
      <c r="D793" s="87" t="s">
        <v>15</v>
      </c>
      <c r="E793" s="116">
        <v>2281.6374877333392</v>
      </c>
      <c r="F793" s="87" t="s">
        <v>967</v>
      </c>
      <c r="G793" s="87" t="s">
        <v>272</v>
      </c>
      <c r="H793" s="87" t="s">
        <v>967</v>
      </c>
      <c r="I793" s="87">
        <v>30</v>
      </c>
    </row>
    <row r="794" spans="1:9" ht="15" customHeight="1" x14ac:dyDescent="0.25">
      <c r="A794" s="87" t="s">
        <v>23</v>
      </c>
      <c r="B794" s="87" t="s">
        <v>292</v>
      </c>
      <c r="C794" s="87">
        <v>1999</v>
      </c>
      <c r="D794" s="87" t="s">
        <v>15</v>
      </c>
      <c r="E794" s="116">
        <v>4525.7686058053087</v>
      </c>
      <c r="F794" s="87" t="s">
        <v>967</v>
      </c>
      <c r="G794" s="87" t="s">
        <v>272</v>
      </c>
      <c r="H794" s="87" t="s">
        <v>967</v>
      </c>
      <c r="I794" s="87">
        <v>30</v>
      </c>
    </row>
    <row r="795" spans="1:9" ht="15" customHeight="1" x14ac:dyDescent="0.25">
      <c r="A795" s="87" t="s">
        <v>23</v>
      </c>
      <c r="B795" s="87" t="s">
        <v>292</v>
      </c>
      <c r="C795" s="87">
        <v>2000</v>
      </c>
      <c r="D795" s="87" t="s">
        <v>15</v>
      </c>
      <c r="E795" s="116">
        <v>4642.9760109970894</v>
      </c>
      <c r="F795" s="87" t="s">
        <v>967</v>
      </c>
      <c r="G795" s="87" t="s">
        <v>272</v>
      </c>
      <c r="H795" s="87" t="s">
        <v>967</v>
      </c>
      <c r="I795" s="87">
        <v>30</v>
      </c>
    </row>
    <row r="796" spans="1:9" ht="15" customHeight="1" x14ac:dyDescent="0.25">
      <c r="A796" s="87" t="s">
        <v>23</v>
      </c>
      <c r="B796" s="87" t="s">
        <v>292</v>
      </c>
      <c r="C796" s="87">
        <v>2001</v>
      </c>
      <c r="D796" s="87" t="s">
        <v>15</v>
      </c>
      <c r="E796" s="116">
        <v>2459.7927436248465</v>
      </c>
      <c r="F796" s="87" t="s">
        <v>967</v>
      </c>
      <c r="G796" s="87" t="s">
        <v>272</v>
      </c>
      <c r="H796" s="87" t="s">
        <v>967</v>
      </c>
      <c r="I796" s="87">
        <v>30</v>
      </c>
    </row>
    <row r="797" spans="1:9" ht="15" customHeight="1" x14ac:dyDescent="0.25">
      <c r="A797" s="87" t="s">
        <v>23</v>
      </c>
      <c r="B797" s="87" t="s">
        <v>292</v>
      </c>
      <c r="C797" s="87">
        <v>2002</v>
      </c>
      <c r="D797" s="87" t="s">
        <v>15</v>
      </c>
      <c r="E797" s="116">
        <v>3269.3052221494149</v>
      </c>
      <c r="F797" s="87" t="s">
        <v>967</v>
      </c>
      <c r="G797" s="87" t="s">
        <v>272</v>
      </c>
      <c r="H797" s="87" t="s">
        <v>967</v>
      </c>
      <c r="I797" s="87">
        <v>30</v>
      </c>
    </row>
    <row r="798" spans="1:9" ht="15" customHeight="1" x14ac:dyDescent="0.25">
      <c r="A798" s="87" t="s">
        <v>23</v>
      </c>
      <c r="B798" s="87" t="s">
        <v>292</v>
      </c>
      <c r="C798" s="87">
        <v>2003</v>
      </c>
      <c r="D798" s="87" t="s">
        <v>15</v>
      </c>
      <c r="E798" s="116">
        <v>5307.1513070838491</v>
      </c>
      <c r="F798" s="87" t="s">
        <v>967</v>
      </c>
      <c r="G798" s="87" t="s">
        <v>272</v>
      </c>
      <c r="H798" s="87" t="s">
        <v>967</v>
      </c>
      <c r="I798" s="87">
        <v>30</v>
      </c>
    </row>
    <row r="799" spans="1:9" ht="15" customHeight="1" x14ac:dyDescent="0.25">
      <c r="A799" s="87" t="s">
        <v>23</v>
      </c>
      <c r="B799" s="87" t="s">
        <v>292</v>
      </c>
      <c r="C799" s="87">
        <v>2004</v>
      </c>
      <c r="D799" s="87" t="s">
        <v>15</v>
      </c>
      <c r="E799" s="116">
        <v>1662.7823883207348</v>
      </c>
      <c r="F799" s="87" t="s">
        <v>967</v>
      </c>
      <c r="G799" s="87" t="s">
        <v>272</v>
      </c>
      <c r="H799" s="87" t="s">
        <v>967</v>
      </c>
      <c r="I799" s="87">
        <v>30</v>
      </c>
    </row>
    <row r="800" spans="1:9" ht="15" customHeight="1" x14ac:dyDescent="0.25">
      <c r="A800" s="87" t="s">
        <v>23</v>
      </c>
      <c r="B800" s="87" t="s">
        <v>292</v>
      </c>
      <c r="C800" s="87">
        <v>2005</v>
      </c>
      <c r="D800" s="87" t="s">
        <v>15</v>
      </c>
      <c r="E800" s="116">
        <v>2358.2129924586361</v>
      </c>
      <c r="F800" s="87" t="s">
        <v>967</v>
      </c>
      <c r="G800" s="87" t="s">
        <v>272</v>
      </c>
      <c r="H800" s="87" t="s">
        <v>967</v>
      </c>
      <c r="I800" s="87">
        <v>30</v>
      </c>
    </row>
    <row r="801" spans="1:9" ht="15" customHeight="1" x14ac:dyDescent="0.25">
      <c r="A801" s="87" t="s">
        <v>23</v>
      </c>
      <c r="B801" s="87" t="s">
        <v>292</v>
      </c>
      <c r="C801" s="87">
        <v>2006</v>
      </c>
      <c r="D801" s="87" t="s">
        <v>15</v>
      </c>
      <c r="E801" s="116">
        <v>1604.9600684261229</v>
      </c>
      <c r="F801" s="87" t="s">
        <v>967</v>
      </c>
      <c r="G801" s="87" t="s">
        <v>272</v>
      </c>
      <c r="H801" s="87" t="s">
        <v>967</v>
      </c>
      <c r="I801" s="87">
        <v>30</v>
      </c>
    </row>
    <row r="802" spans="1:9" ht="15" customHeight="1" x14ac:dyDescent="0.25">
      <c r="A802" s="87" t="s">
        <v>23</v>
      </c>
      <c r="B802" s="87" t="s">
        <v>292</v>
      </c>
      <c r="C802" s="87">
        <v>2007</v>
      </c>
      <c r="D802" s="87" t="s">
        <v>15</v>
      </c>
      <c r="E802" s="116">
        <v>562.5955449205494</v>
      </c>
      <c r="F802" s="87" t="s">
        <v>967</v>
      </c>
      <c r="G802" s="87" t="s">
        <v>272</v>
      </c>
      <c r="H802" s="87" t="s">
        <v>967</v>
      </c>
      <c r="I802" s="87">
        <v>30</v>
      </c>
    </row>
    <row r="803" spans="1:9" ht="15" customHeight="1" x14ac:dyDescent="0.25">
      <c r="A803" s="87" t="s">
        <v>23</v>
      </c>
      <c r="B803" s="87" t="s">
        <v>292</v>
      </c>
      <c r="C803" s="87">
        <v>2008</v>
      </c>
      <c r="D803" s="87" t="s">
        <v>15</v>
      </c>
      <c r="E803" s="116">
        <v>2363</v>
      </c>
      <c r="F803" s="87" t="s">
        <v>967</v>
      </c>
      <c r="G803" s="87" t="s">
        <v>289</v>
      </c>
      <c r="H803" s="87" t="s">
        <v>967</v>
      </c>
      <c r="I803" s="87">
        <v>30</v>
      </c>
    </row>
    <row r="804" spans="1:9" ht="15" customHeight="1" x14ac:dyDescent="0.25">
      <c r="A804" s="87" t="s">
        <v>23</v>
      </c>
      <c r="B804" s="87" t="s">
        <v>292</v>
      </c>
      <c r="C804" s="87">
        <v>2009</v>
      </c>
      <c r="D804" s="87" t="s">
        <v>15</v>
      </c>
      <c r="E804" s="116">
        <v>1097</v>
      </c>
      <c r="F804" s="87" t="s">
        <v>967</v>
      </c>
      <c r="G804" s="87" t="s">
        <v>289</v>
      </c>
      <c r="H804" s="87" t="s">
        <v>967</v>
      </c>
      <c r="I804" s="87">
        <v>30</v>
      </c>
    </row>
    <row r="805" spans="1:9" ht="15" customHeight="1" x14ac:dyDescent="0.25">
      <c r="A805" s="87" t="s">
        <v>23</v>
      </c>
      <c r="B805" s="87" t="s">
        <v>292</v>
      </c>
      <c r="C805" s="87">
        <v>2010</v>
      </c>
      <c r="D805" s="87" t="s">
        <v>15</v>
      </c>
      <c r="E805" s="116">
        <v>2648.8873573342535</v>
      </c>
      <c r="F805" s="87" t="s">
        <v>967</v>
      </c>
      <c r="G805" s="87" t="s">
        <v>272</v>
      </c>
      <c r="H805" s="87" t="s">
        <v>967</v>
      </c>
      <c r="I805" s="87">
        <v>30</v>
      </c>
    </row>
    <row r="806" spans="1:9" ht="15" customHeight="1" x14ac:dyDescent="0.25">
      <c r="A806" s="87" t="s">
        <v>23</v>
      </c>
      <c r="B806" s="87" t="s">
        <v>292</v>
      </c>
      <c r="C806" s="87">
        <v>2011</v>
      </c>
      <c r="D806" s="87" t="s">
        <v>15</v>
      </c>
      <c r="E806" s="116">
        <v>1178.3251135280395</v>
      </c>
      <c r="F806" s="87" t="s">
        <v>967</v>
      </c>
      <c r="G806" s="87" t="s">
        <v>272</v>
      </c>
      <c r="H806" s="87" t="s">
        <v>967</v>
      </c>
      <c r="I806" s="87">
        <v>30</v>
      </c>
    </row>
    <row r="807" spans="1:9" ht="15" customHeight="1" x14ac:dyDescent="0.25">
      <c r="A807" s="87" t="s">
        <v>23</v>
      </c>
      <c r="B807" s="87" t="s">
        <v>292</v>
      </c>
      <c r="C807" s="87">
        <v>2012</v>
      </c>
      <c r="D807" s="87" t="s">
        <v>15</v>
      </c>
      <c r="E807" s="116">
        <v>1111</v>
      </c>
      <c r="F807" s="87" t="s">
        <v>967</v>
      </c>
      <c r="G807" s="87" t="s">
        <v>289</v>
      </c>
      <c r="H807" s="87" t="s">
        <v>967</v>
      </c>
      <c r="I807" s="87">
        <v>30</v>
      </c>
    </row>
    <row r="808" spans="1:9" ht="15" customHeight="1" x14ac:dyDescent="0.25">
      <c r="A808" s="87" t="s">
        <v>23</v>
      </c>
      <c r="B808" s="87" t="s">
        <v>292</v>
      </c>
      <c r="C808" s="87">
        <v>2013</v>
      </c>
      <c r="D808" s="87" t="s">
        <v>15</v>
      </c>
      <c r="E808" s="116">
        <v>1267.4027414737932</v>
      </c>
      <c r="F808" s="87" t="s">
        <v>967</v>
      </c>
      <c r="G808" s="87" t="s">
        <v>272</v>
      </c>
      <c r="H808" s="87" t="s">
        <v>967</v>
      </c>
      <c r="I808" s="87">
        <v>30</v>
      </c>
    </row>
    <row r="809" spans="1:9" ht="15" customHeight="1" x14ac:dyDescent="0.25">
      <c r="A809" s="87" t="s">
        <v>23</v>
      </c>
      <c r="B809" s="87" t="s">
        <v>292</v>
      </c>
      <c r="C809" s="87">
        <v>2014</v>
      </c>
      <c r="D809" s="87" t="s">
        <v>15</v>
      </c>
      <c r="E809" s="116">
        <v>9023.4074343645898</v>
      </c>
      <c r="F809" s="87" t="s">
        <v>967</v>
      </c>
      <c r="G809" s="87" t="s">
        <v>272</v>
      </c>
      <c r="H809" s="87" t="s">
        <v>967</v>
      </c>
      <c r="I809" s="87">
        <v>30</v>
      </c>
    </row>
    <row r="810" spans="1:9" ht="15" customHeight="1" x14ac:dyDescent="0.25">
      <c r="A810" s="87" t="s">
        <v>23</v>
      </c>
      <c r="B810" s="87" t="s">
        <v>292</v>
      </c>
      <c r="C810" s="87">
        <v>2015</v>
      </c>
      <c r="D810" s="87" t="s">
        <v>15</v>
      </c>
      <c r="E810" s="116">
        <v>4139.7655513737091</v>
      </c>
      <c r="F810" s="87" t="s">
        <v>967</v>
      </c>
      <c r="G810" s="87" t="s">
        <v>272</v>
      </c>
      <c r="H810" s="87" t="s">
        <v>967</v>
      </c>
      <c r="I810" s="87">
        <v>30</v>
      </c>
    </row>
    <row r="811" spans="1:9" ht="15" customHeight="1" x14ac:dyDescent="0.25">
      <c r="A811" s="87" t="s">
        <v>23</v>
      </c>
      <c r="B811" s="87" t="s">
        <v>292</v>
      </c>
      <c r="C811" s="87">
        <v>2016</v>
      </c>
      <c r="D811" s="87" t="s">
        <v>15</v>
      </c>
      <c r="E811" s="116">
        <v>1228.3336064098662</v>
      </c>
      <c r="F811" s="87" t="s">
        <v>967</v>
      </c>
      <c r="G811" s="87" t="s">
        <v>272</v>
      </c>
      <c r="H811" s="87" t="s">
        <v>572</v>
      </c>
      <c r="I811" s="87">
        <v>30</v>
      </c>
    </row>
    <row r="812" spans="1:9" ht="15" customHeight="1" x14ac:dyDescent="0.25">
      <c r="A812" s="87" t="s">
        <v>23</v>
      </c>
      <c r="B812" s="87" t="s">
        <v>292</v>
      </c>
      <c r="C812" s="87">
        <v>2017</v>
      </c>
      <c r="D812" s="87" t="s">
        <v>15</v>
      </c>
      <c r="E812" s="116">
        <v>629.79445723050389</v>
      </c>
      <c r="F812" s="87" t="s">
        <v>967</v>
      </c>
      <c r="G812" s="87" t="s">
        <v>272</v>
      </c>
      <c r="H812" s="87" t="s">
        <v>573</v>
      </c>
      <c r="I812" s="87">
        <v>30</v>
      </c>
    </row>
    <row r="813" spans="1:9" ht="15" customHeight="1" x14ac:dyDescent="0.25">
      <c r="A813" s="87" t="s">
        <v>23</v>
      </c>
      <c r="B813" s="87" t="s">
        <v>292</v>
      </c>
      <c r="C813" s="87">
        <v>2018</v>
      </c>
      <c r="D813" s="87" t="s">
        <v>15</v>
      </c>
      <c r="E813" s="116">
        <v>1195.5155329561674</v>
      </c>
      <c r="F813" s="87" t="s">
        <v>967</v>
      </c>
      <c r="G813" s="87" t="s">
        <v>272</v>
      </c>
      <c r="H813" s="87" t="s">
        <v>967</v>
      </c>
      <c r="I813" s="87">
        <v>30</v>
      </c>
    </row>
    <row r="814" spans="1:9" ht="15" customHeight="1" x14ac:dyDescent="0.25">
      <c r="A814" s="87" t="s">
        <v>23</v>
      </c>
      <c r="B814" s="87" t="s">
        <v>292</v>
      </c>
      <c r="C814" s="87">
        <v>2019</v>
      </c>
      <c r="D814" s="87" t="s">
        <v>15</v>
      </c>
      <c r="E814" s="116">
        <v>557.90724871287819</v>
      </c>
      <c r="F814" s="87" t="s">
        <v>967</v>
      </c>
      <c r="G814" s="87" t="s">
        <v>272</v>
      </c>
      <c r="H814" s="87" t="s">
        <v>967</v>
      </c>
      <c r="I814" s="87">
        <v>30</v>
      </c>
    </row>
    <row r="815" spans="1:9" ht="15" customHeight="1" x14ac:dyDescent="0.25">
      <c r="A815" s="87" t="s">
        <v>23</v>
      </c>
      <c r="B815" s="87" t="s">
        <v>292</v>
      </c>
      <c r="C815" s="87">
        <v>2020</v>
      </c>
      <c r="D815" s="87" t="s">
        <v>15</v>
      </c>
      <c r="E815" s="116">
        <v>3282</v>
      </c>
      <c r="F815" s="87" t="s">
        <v>967</v>
      </c>
      <c r="G815" s="87" t="s">
        <v>289</v>
      </c>
      <c r="H815" s="87" t="s">
        <v>967</v>
      </c>
      <c r="I815" s="87">
        <v>30</v>
      </c>
    </row>
    <row r="816" spans="1:9" ht="15" customHeight="1" x14ac:dyDescent="0.25">
      <c r="A816" s="87" t="s">
        <v>23</v>
      </c>
      <c r="B816" s="87" t="s">
        <v>292</v>
      </c>
      <c r="C816" s="87">
        <v>2021</v>
      </c>
      <c r="D816" s="87" t="s">
        <v>15</v>
      </c>
      <c r="E816" s="116">
        <v>2438</v>
      </c>
      <c r="F816" s="87" t="s">
        <v>967</v>
      </c>
      <c r="G816" s="87" t="s">
        <v>289</v>
      </c>
      <c r="H816" s="87" t="s">
        <v>1073</v>
      </c>
      <c r="I816" s="87">
        <v>30</v>
      </c>
    </row>
    <row r="817" spans="1:9" ht="15" customHeight="1" x14ac:dyDescent="0.25">
      <c r="A817" s="87" t="s">
        <v>23</v>
      </c>
      <c r="B817" s="87" t="s">
        <v>292</v>
      </c>
      <c r="C817" s="87">
        <v>2022</v>
      </c>
      <c r="D817" s="87" t="s">
        <v>15</v>
      </c>
      <c r="E817" s="116">
        <v>4126</v>
      </c>
      <c r="F817" s="87" t="s">
        <v>967</v>
      </c>
      <c r="G817" s="87" t="s">
        <v>289</v>
      </c>
      <c r="H817" s="87" t="s">
        <v>967</v>
      </c>
      <c r="I817" s="87">
        <v>30</v>
      </c>
    </row>
    <row r="818" spans="1:9" ht="15" customHeight="1" x14ac:dyDescent="0.25">
      <c r="A818" s="87" t="s">
        <v>23</v>
      </c>
      <c r="B818" s="87" t="s">
        <v>293</v>
      </c>
      <c r="C818" s="87">
        <v>1975</v>
      </c>
      <c r="D818" s="87" t="s">
        <v>15</v>
      </c>
      <c r="E818" s="116">
        <v>-1</v>
      </c>
      <c r="F818" s="87" t="s">
        <v>900</v>
      </c>
      <c r="G818" s="87" t="s">
        <v>272</v>
      </c>
      <c r="H818" s="87" t="s">
        <v>900</v>
      </c>
      <c r="I818" s="87">
        <v>29</v>
      </c>
    </row>
    <row r="819" spans="1:9" ht="15" customHeight="1" x14ac:dyDescent="0.25">
      <c r="A819" s="87" t="s">
        <v>23</v>
      </c>
      <c r="B819" s="87" t="s">
        <v>293</v>
      </c>
      <c r="C819" s="87">
        <v>1976</v>
      </c>
      <c r="D819" s="87" t="s">
        <v>15</v>
      </c>
      <c r="E819" s="116">
        <v>-1</v>
      </c>
      <c r="F819" s="87" t="s">
        <v>900</v>
      </c>
      <c r="G819" s="87" t="s">
        <v>272</v>
      </c>
      <c r="H819" s="87" t="s">
        <v>900</v>
      </c>
      <c r="I819" s="87">
        <v>29</v>
      </c>
    </row>
    <row r="820" spans="1:9" ht="15" customHeight="1" x14ac:dyDescent="0.25">
      <c r="A820" s="87" t="s">
        <v>23</v>
      </c>
      <c r="B820" s="87" t="s">
        <v>293</v>
      </c>
      <c r="C820" s="87">
        <v>1977</v>
      </c>
      <c r="D820" s="87" t="s">
        <v>15</v>
      </c>
      <c r="E820" s="116">
        <v>-1</v>
      </c>
      <c r="F820" s="87" t="s">
        <v>900</v>
      </c>
      <c r="G820" s="87" t="s">
        <v>272</v>
      </c>
      <c r="H820" s="87" t="s">
        <v>900</v>
      </c>
      <c r="I820" s="87">
        <v>29</v>
      </c>
    </row>
    <row r="821" spans="1:9" ht="15" customHeight="1" x14ac:dyDescent="0.25">
      <c r="A821" s="87" t="s">
        <v>23</v>
      </c>
      <c r="B821" s="87" t="s">
        <v>293</v>
      </c>
      <c r="C821" s="87">
        <v>1978</v>
      </c>
      <c r="D821" s="87" t="s">
        <v>15</v>
      </c>
      <c r="E821" s="116">
        <v>-1</v>
      </c>
      <c r="F821" s="87" t="s">
        <v>900</v>
      </c>
      <c r="G821" s="87" t="s">
        <v>272</v>
      </c>
      <c r="H821" s="87" t="s">
        <v>900</v>
      </c>
      <c r="I821" s="87">
        <v>29</v>
      </c>
    </row>
    <row r="822" spans="1:9" ht="15" customHeight="1" x14ac:dyDescent="0.25">
      <c r="A822" s="87" t="s">
        <v>23</v>
      </c>
      <c r="B822" s="87" t="s">
        <v>293</v>
      </c>
      <c r="C822" s="87">
        <v>1979</v>
      </c>
      <c r="D822" s="87" t="s">
        <v>15</v>
      </c>
      <c r="E822" s="116">
        <v>-1</v>
      </c>
      <c r="F822" s="87" t="s">
        <v>900</v>
      </c>
      <c r="G822" s="87" t="s">
        <v>272</v>
      </c>
      <c r="H822" s="87" t="s">
        <v>900</v>
      </c>
      <c r="I822" s="87">
        <v>29</v>
      </c>
    </row>
    <row r="823" spans="1:9" ht="15" customHeight="1" x14ac:dyDescent="0.25">
      <c r="A823" s="87" t="s">
        <v>23</v>
      </c>
      <c r="B823" s="87" t="s">
        <v>293</v>
      </c>
      <c r="C823" s="87">
        <v>1980</v>
      </c>
      <c r="D823" s="87" t="s">
        <v>15</v>
      </c>
      <c r="E823" s="116">
        <v>-1</v>
      </c>
      <c r="F823" s="87" t="s">
        <v>900</v>
      </c>
      <c r="G823" s="87" t="s">
        <v>272</v>
      </c>
      <c r="H823" s="87" t="s">
        <v>900</v>
      </c>
      <c r="I823" s="87">
        <v>29</v>
      </c>
    </row>
    <row r="824" spans="1:9" ht="15" customHeight="1" x14ac:dyDescent="0.25">
      <c r="A824" s="87" t="s">
        <v>23</v>
      </c>
      <c r="B824" s="87" t="s">
        <v>293</v>
      </c>
      <c r="C824" s="87">
        <v>1981</v>
      </c>
      <c r="D824" s="87" t="s">
        <v>15</v>
      </c>
      <c r="E824" s="116">
        <v>-1</v>
      </c>
      <c r="F824" s="87" t="s">
        <v>900</v>
      </c>
      <c r="G824" s="87" t="s">
        <v>272</v>
      </c>
      <c r="H824" s="87" t="s">
        <v>900</v>
      </c>
      <c r="I824" s="87">
        <v>29</v>
      </c>
    </row>
    <row r="825" spans="1:9" ht="15" customHeight="1" x14ac:dyDescent="0.25">
      <c r="A825" s="87" t="s">
        <v>23</v>
      </c>
      <c r="B825" s="87" t="s">
        <v>293</v>
      </c>
      <c r="C825" s="87">
        <v>1982</v>
      </c>
      <c r="D825" s="87" t="s">
        <v>15</v>
      </c>
      <c r="E825" s="116">
        <v>-1</v>
      </c>
      <c r="F825" s="87" t="s">
        <v>900</v>
      </c>
      <c r="G825" s="87" t="s">
        <v>272</v>
      </c>
      <c r="H825" s="87" t="s">
        <v>900</v>
      </c>
      <c r="I825" s="87">
        <v>29</v>
      </c>
    </row>
    <row r="826" spans="1:9" ht="15" customHeight="1" x14ac:dyDescent="0.25">
      <c r="A826" s="87" t="s">
        <v>23</v>
      </c>
      <c r="B826" s="87" t="s">
        <v>293</v>
      </c>
      <c r="C826" s="87">
        <v>1983</v>
      </c>
      <c r="D826" s="87" t="s">
        <v>15</v>
      </c>
      <c r="E826" s="116">
        <v>-1</v>
      </c>
      <c r="F826" s="87" t="s">
        <v>900</v>
      </c>
      <c r="G826" s="87" t="s">
        <v>272</v>
      </c>
      <c r="H826" s="87" t="s">
        <v>900</v>
      </c>
      <c r="I826" s="87">
        <v>29</v>
      </c>
    </row>
    <row r="827" spans="1:9" ht="15" customHeight="1" x14ac:dyDescent="0.25">
      <c r="A827" s="87" t="s">
        <v>23</v>
      </c>
      <c r="B827" s="87" t="s">
        <v>293</v>
      </c>
      <c r="C827" s="87">
        <v>1984</v>
      </c>
      <c r="D827" s="87" t="s">
        <v>15</v>
      </c>
      <c r="E827" s="116">
        <v>-1</v>
      </c>
      <c r="F827" s="87" t="s">
        <v>900</v>
      </c>
      <c r="G827" s="87" t="s">
        <v>272</v>
      </c>
      <c r="H827" s="87" t="s">
        <v>900</v>
      </c>
      <c r="I827" s="87">
        <v>29</v>
      </c>
    </row>
    <row r="828" spans="1:9" ht="15" customHeight="1" x14ac:dyDescent="0.25">
      <c r="A828" s="87" t="s">
        <v>23</v>
      </c>
      <c r="B828" s="87" t="s">
        <v>293</v>
      </c>
      <c r="C828" s="87">
        <v>1985</v>
      </c>
      <c r="D828" s="87" t="s">
        <v>15</v>
      </c>
      <c r="E828" s="116">
        <v>-1</v>
      </c>
      <c r="F828" s="87" t="s">
        <v>900</v>
      </c>
      <c r="G828" s="87" t="s">
        <v>272</v>
      </c>
      <c r="H828" s="87" t="s">
        <v>900</v>
      </c>
      <c r="I828" s="87">
        <v>29</v>
      </c>
    </row>
    <row r="829" spans="1:9" ht="15" customHeight="1" x14ac:dyDescent="0.25">
      <c r="A829" s="87" t="s">
        <v>23</v>
      </c>
      <c r="B829" s="87" t="s">
        <v>293</v>
      </c>
      <c r="C829" s="87">
        <v>1986</v>
      </c>
      <c r="D829" s="87" t="s">
        <v>15</v>
      </c>
      <c r="E829" s="116">
        <v>-1</v>
      </c>
      <c r="F829" s="87" t="s">
        <v>900</v>
      </c>
      <c r="G829" s="87" t="s">
        <v>272</v>
      </c>
      <c r="H829" s="87" t="s">
        <v>900</v>
      </c>
      <c r="I829" s="87">
        <v>29</v>
      </c>
    </row>
    <row r="830" spans="1:9" ht="15" customHeight="1" x14ac:dyDescent="0.25">
      <c r="A830" s="87" t="s">
        <v>23</v>
      </c>
      <c r="B830" s="87" t="s">
        <v>293</v>
      </c>
      <c r="C830" s="87">
        <v>1987</v>
      </c>
      <c r="D830" s="87" t="s">
        <v>15</v>
      </c>
      <c r="E830" s="116">
        <v>-1</v>
      </c>
      <c r="F830" s="87" t="s">
        <v>900</v>
      </c>
      <c r="G830" s="87" t="s">
        <v>272</v>
      </c>
      <c r="H830" s="87" t="s">
        <v>900</v>
      </c>
      <c r="I830" s="87">
        <v>29</v>
      </c>
    </row>
    <row r="831" spans="1:9" ht="15" customHeight="1" x14ac:dyDescent="0.25">
      <c r="A831" s="87" t="s">
        <v>23</v>
      </c>
      <c r="B831" s="87" t="s">
        <v>293</v>
      </c>
      <c r="C831" s="87">
        <v>1988</v>
      </c>
      <c r="D831" s="87" t="s">
        <v>15</v>
      </c>
      <c r="E831" s="116">
        <v>-1</v>
      </c>
      <c r="F831" s="87" t="s">
        <v>900</v>
      </c>
      <c r="G831" s="87" t="s">
        <v>272</v>
      </c>
      <c r="H831" s="87" t="s">
        <v>900</v>
      </c>
      <c r="I831" s="87">
        <v>29</v>
      </c>
    </row>
    <row r="832" spans="1:9" ht="15" customHeight="1" x14ac:dyDescent="0.25">
      <c r="A832" s="87" t="s">
        <v>23</v>
      </c>
      <c r="B832" s="87" t="s">
        <v>293</v>
      </c>
      <c r="C832" s="87">
        <v>1989</v>
      </c>
      <c r="D832" s="87" t="s">
        <v>15</v>
      </c>
      <c r="E832" s="116">
        <v>-1</v>
      </c>
      <c r="F832" s="87" t="s">
        <v>900</v>
      </c>
      <c r="G832" s="87" t="s">
        <v>272</v>
      </c>
      <c r="H832" s="87" t="s">
        <v>900</v>
      </c>
      <c r="I832" s="87">
        <v>29</v>
      </c>
    </row>
    <row r="833" spans="1:9" ht="15" customHeight="1" x14ac:dyDescent="0.25">
      <c r="A833" s="87" t="s">
        <v>23</v>
      </c>
      <c r="B833" s="87" t="s">
        <v>293</v>
      </c>
      <c r="C833" s="87">
        <v>1990</v>
      </c>
      <c r="D833" s="87" t="s">
        <v>15</v>
      </c>
      <c r="E833" s="116">
        <v>-1</v>
      </c>
      <c r="F833" s="87" t="s">
        <v>900</v>
      </c>
      <c r="G833" s="87" t="s">
        <v>272</v>
      </c>
      <c r="H833" s="87" t="s">
        <v>900</v>
      </c>
      <c r="I833" s="87">
        <v>29</v>
      </c>
    </row>
    <row r="834" spans="1:9" ht="15" customHeight="1" x14ac:dyDescent="0.25">
      <c r="A834" s="87" t="s">
        <v>23</v>
      </c>
      <c r="B834" s="87" t="s">
        <v>293</v>
      </c>
      <c r="C834" s="87">
        <v>1991</v>
      </c>
      <c r="D834" s="87" t="s">
        <v>15</v>
      </c>
      <c r="E834" s="116">
        <v>-1</v>
      </c>
      <c r="F834" s="87" t="s">
        <v>900</v>
      </c>
      <c r="G834" s="87" t="s">
        <v>272</v>
      </c>
      <c r="H834" s="87" t="s">
        <v>900</v>
      </c>
      <c r="I834" s="87">
        <v>29</v>
      </c>
    </row>
    <row r="835" spans="1:9" ht="15" customHeight="1" x14ac:dyDescent="0.25">
      <c r="A835" s="87" t="s">
        <v>23</v>
      </c>
      <c r="B835" s="87" t="s">
        <v>293</v>
      </c>
      <c r="C835" s="87">
        <v>1992</v>
      </c>
      <c r="D835" s="87" t="s">
        <v>15</v>
      </c>
      <c r="E835" s="116">
        <v>-1</v>
      </c>
      <c r="F835" s="87" t="s">
        <v>900</v>
      </c>
      <c r="G835" s="87" t="s">
        <v>272</v>
      </c>
      <c r="H835" s="87" t="s">
        <v>900</v>
      </c>
      <c r="I835" s="87">
        <v>29</v>
      </c>
    </row>
    <row r="836" spans="1:9" ht="15" customHeight="1" x14ac:dyDescent="0.25">
      <c r="A836" s="87" t="s">
        <v>23</v>
      </c>
      <c r="B836" s="87" t="s">
        <v>293</v>
      </c>
      <c r="C836" s="87">
        <v>1993</v>
      </c>
      <c r="D836" s="87" t="s">
        <v>15</v>
      </c>
      <c r="E836" s="116">
        <v>-1</v>
      </c>
      <c r="F836" s="87" t="s">
        <v>900</v>
      </c>
      <c r="G836" s="87" t="s">
        <v>272</v>
      </c>
      <c r="H836" s="87" t="s">
        <v>900</v>
      </c>
      <c r="I836" s="87">
        <v>29</v>
      </c>
    </row>
    <row r="837" spans="1:9" ht="15" customHeight="1" x14ac:dyDescent="0.25">
      <c r="A837" s="87" t="s">
        <v>23</v>
      </c>
      <c r="B837" s="87" t="s">
        <v>293</v>
      </c>
      <c r="C837" s="87">
        <v>1994</v>
      </c>
      <c r="D837" s="87" t="s">
        <v>15</v>
      </c>
      <c r="E837" s="116">
        <v>-1</v>
      </c>
      <c r="F837" s="87" t="s">
        <v>900</v>
      </c>
      <c r="G837" s="87" t="s">
        <v>272</v>
      </c>
      <c r="H837" s="87" t="s">
        <v>900</v>
      </c>
      <c r="I837" s="87">
        <v>29</v>
      </c>
    </row>
    <row r="838" spans="1:9" ht="15" customHeight="1" x14ac:dyDescent="0.25">
      <c r="A838" s="87" t="s">
        <v>23</v>
      </c>
      <c r="B838" s="87" t="s">
        <v>293</v>
      </c>
      <c r="C838" s="87">
        <v>1995</v>
      </c>
      <c r="D838" s="87" t="s">
        <v>15</v>
      </c>
      <c r="E838" s="116">
        <v>289</v>
      </c>
      <c r="F838" s="87" t="s">
        <v>967</v>
      </c>
      <c r="G838" s="87" t="s">
        <v>272</v>
      </c>
      <c r="H838" s="87" t="s">
        <v>967</v>
      </c>
      <c r="I838" s="87">
        <v>29</v>
      </c>
    </row>
    <row r="839" spans="1:9" ht="15" customHeight="1" x14ac:dyDescent="0.25">
      <c r="A839" s="87" t="s">
        <v>23</v>
      </c>
      <c r="B839" s="87" t="s">
        <v>293</v>
      </c>
      <c r="C839" s="87">
        <v>1996</v>
      </c>
      <c r="D839" s="87" t="s">
        <v>15</v>
      </c>
      <c r="E839" s="116">
        <v>732</v>
      </c>
      <c r="F839" s="87" t="s">
        <v>967</v>
      </c>
      <c r="G839" s="87" t="s">
        <v>272</v>
      </c>
      <c r="H839" s="87" t="s">
        <v>967</v>
      </c>
      <c r="I839" s="87">
        <v>29</v>
      </c>
    </row>
    <row r="840" spans="1:9" ht="15" customHeight="1" x14ac:dyDescent="0.25">
      <c r="A840" s="87" t="s">
        <v>23</v>
      </c>
      <c r="B840" s="87" t="s">
        <v>293</v>
      </c>
      <c r="C840" s="87">
        <v>1997</v>
      </c>
      <c r="D840" s="87" t="s">
        <v>15</v>
      </c>
      <c r="E840" s="116">
        <v>358</v>
      </c>
      <c r="F840" s="87" t="s">
        <v>967</v>
      </c>
      <c r="G840" s="87" t="s">
        <v>272</v>
      </c>
      <c r="H840" s="87" t="s">
        <v>967</v>
      </c>
      <c r="I840" s="87">
        <v>29</v>
      </c>
    </row>
    <row r="841" spans="1:9" ht="15" customHeight="1" x14ac:dyDescent="0.25">
      <c r="A841" s="87" t="s">
        <v>23</v>
      </c>
      <c r="B841" s="87" t="s">
        <v>293</v>
      </c>
      <c r="C841" s="87">
        <v>1998</v>
      </c>
      <c r="D841" s="87" t="s">
        <v>15</v>
      </c>
      <c r="E841" s="116">
        <v>589</v>
      </c>
      <c r="F841" s="87" t="s">
        <v>967</v>
      </c>
      <c r="G841" s="87" t="s">
        <v>272</v>
      </c>
      <c r="H841" s="87" t="s">
        <v>967</v>
      </c>
      <c r="I841" s="87">
        <v>29</v>
      </c>
    </row>
    <row r="842" spans="1:9" ht="15" customHeight="1" x14ac:dyDescent="0.25">
      <c r="A842" s="87" t="s">
        <v>23</v>
      </c>
      <c r="B842" s="87" t="s">
        <v>293</v>
      </c>
      <c r="C842" s="87">
        <v>1999</v>
      </c>
      <c r="D842" s="87" t="s">
        <v>15</v>
      </c>
      <c r="E842" s="116">
        <v>277</v>
      </c>
      <c r="F842" s="87" t="s">
        <v>967</v>
      </c>
      <c r="G842" s="87" t="s">
        <v>272</v>
      </c>
      <c r="H842" s="87" t="s">
        <v>967</v>
      </c>
      <c r="I842" s="87">
        <v>29</v>
      </c>
    </row>
    <row r="843" spans="1:9" ht="15" customHeight="1" x14ac:dyDescent="0.25">
      <c r="A843" s="87" t="s">
        <v>23</v>
      </c>
      <c r="B843" s="87" t="s">
        <v>293</v>
      </c>
      <c r="C843" s="87">
        <v>2000</v>
      </c>
      <c r="D843" s="87" t="s">
        <v>15</v>
      </c>
      <c r="E843" s="116">
        <v>229</v>
      </c>
      <c r="F843" s="87" t="s">
        <v>967</v>
      </c>
      <c r="G843" s="87" t="s">
        <v>272</v>
      </c>
      <c r="H843" s="87" t="s">
        <v>967</v>
      </c>
      <c r="I843" s="87">
        <v>29</v>
      </c>
    </row>
    <row r="844" spans="1:9" ht="15" customHeight="1" x14ac:dyDescent="0.25">
      <c r="A844" s="87" t="s">
        <v>23</v>
      </c>
      <c r="B844" s="87" t="s">
        <v>293</v>
      </c>
      <c r="C844" s="87">
        <v>2001</v>
      </c>
      <c r="D844" s="87" t="s">
        <v>15</v>
      </c>
      <c r="E844" s="116">
        <v>243</v>
      </c>
      <c r="F844" s="87" t="s">
        <v>967</v>
      </c>
      <c r="G844" s="87" t="s">
        <v>272</v>
      </c>
      <c r="H844" s="87" t="s">
        <v>967</v>
      </c>
      <c r="I844" s="87">
        <v>29</v>
      </c>
    </row>
    <row r="845" spans="1:9" ht="15" customHeight="1" x14ac:dyDescent="0.25">
      <c r="A845" s="87" t="s">
        <v>23</v>
      </c>
      <c r="B845" s="87" t="s">
        <v>293</v>
      </c>
      <c r="C845" s="87">
        <v>2002</v>
      </c>
      <c r="D845" s="87" t="s">
        <v>15</v>
      </c>
      <c r="E845" s="116">
        <v>520</v>
      </c>
      <c r="F845" s="87" t="s">
        <v>967</v>
      </c>
      <c r="G845" s="87" t="s">
        <v>272</v>
      </c>
      <c r="H845" s="87" t="s">
        <v>967</v>
      </c>
      <c r="I845" s="87">
        <v>29</v>
      </c>
    </row>
    <row r="846" spans="1:9" ht="15" customHeight="1" x14ac:dyDescent="0.25">
      <c r="A846" s="87" t="s">
        <v>23</v>
      </c>
      <c r="B846" s="87" t="s">
        <v>293</v>
      </c>
      <c r="C846" s="87">
        <v>2003</v>
      </c>
      <c r="D846" s="87" t="s">
        <v>15</v>
      </c>
      <c r="E846" s="116">
        <v>686</v>
      </c>
      <c r="F846" s="87" t="s">
        <v>967</v>
      </c>
      <c r="G846" s="87" t="s">
        <v>272</v>
      </c>
      <c r="H846" s="87" t="s">
        <v>967</v>
      </c>
      <c r="I846" s="87">
        <v>29</v>
      </c>
    </row>
    <row r="847" spans="1:9" ht="15" customHeight="1" x14ac:dyDescent="0.25">
      <c r="A847" s="87" t="s">
        <v>23</v>
      </c>
      <c r="B847" s="87" t="s">
        <v>293</v>
      </c>
      <c r="C847" s="87">
        <v>2004</v>
      </c>
      <c r="D847" s="87" t="s">
        <v>15</v>
      </c>
      <c r="E847" s="116">
        <v>220</v>
      </c>
      <c r="F847" s="87" t="s">
        <v>967</v>
      </c>
      <c r="G847" s="87" t="s">
        <v>272</v>
      </c>
      <c r="H847" s="87" t="s">
        <v>967</v>
      </c>
      <c r="I847" s="87">
        <v>29</v>
      </c>
    </row>
    <row r="848" spans="1:9" ht="15" customHeight="1" x14ac:dyDescent="0.25">
      <c r="A848" s="87" t="s">
        <v>23</v>
      </c>
      <c r="B848" s="87" t="s">
        <v>293</v>
      </c>
      <c r="C848" s="87">
        <v>2005</v>
      </c>
      <c r="D848" s="87" t="s">
        <v>15</v>
      </c>
      <c r="E848" s="116">
        <v>102</v>
      </c>
      <c r="F848" s="87" t="s">
        <v>967</v>
      </c>
      <c r="G848" s="87" t="s">
        <v>272</v>
      </c>
      <c r="H848" s="87" t="s">
        <v>967</v>
      </c>
      <c r="I848" s="87">
        <v>29</v>
      </c>
    </row>
    <row r="849" spans="1:9" ht="15" customHeight="1" x14ac:dyDescent="0.25">
      <c r="A849" s="87" t="s">
        <v>23</v>
      </c>
      <c r="B849" s="87" t="s">
        <v>293</v>
      </c>
      <c r="C849" s="87">
        <v>2006</v>
      </c>
      <c r="D849" s="87" t="s">
        <v>15</v>
      </c>
      <c r="E849" s="116">
        <v>160</v>
      </c>
      <c r="F849" s="87" t="s">
        <v>967</v>
      </c>
      <c r="G849" s="87" t="s">
        <v>272</v>
      </c>
      <c r="H849" s="87" t="s">
        <v>976</v>
      </c>
      <c r="I849" s="87">
        <v>29</v>
      </c>
    </row>
    <row r="850" spans="1:9" ht="15" customHeight="1" x14ac:dyDescent="0.25">
      <c r="A850" s="87" t="s">
        <v>23</v>
      </c>
      <c r="B850" s="87" t="s">
        <v>293</v>
      </c>
      <c r="C850" s="87">
        <v>2007</v>
      </c>
      <c r="D850" s="87" t="s">
        <v>15</v>
      </c>
      <c r="E850" s="116">
        <v>89</v>
      </c>
      <c r="F850" s="87" t="s">
        <v>967</v>
      </c>
      <c r="G850" s="87" t="s">
        <v>272</v>
      </c>
      <c r="H850" s="87" t="s">
        <v>967</v>
      </c>
      <c r="I850" s="87">
        <v>29</v>
      </c>
    </row>
    <row r="851" spans="1:9" ht="15" customHeight="1" x14ac:dyDescent="0.25">
      <c r="A851" s="87" t="s">
        <v>23</v>
      </c>
      <c r="B851" s="87" t="s">
        <v>293</v>
      </c>
      <c r="C851" s="87">
        <v>2008</v>
      </c>
      <c r="D851" s="87" t="s">
        <v>15</v>
      </c>
      <c r="E851" s="116">
        <v>240</v>
      </c>
      <c r="F851" s="87" t="s">
        <v>967</v>
      </c>
      <c r="G851" s="87" t="s">
        <v>272</v>
      </c>
      <c r="H851" s="87" t="s">
        <v>967</v>
      </c>
      <c r="I851" s="87">
        <v>29</v>
      </c>
    </row>
    <row r="852" spans="1:9" ht="15" customHeight="1" x14ac:dyDescent="0.25">
      <c r="A852" s="87" t="s">
        <v>23</v>
      </c>
      <c r="B852" s="87" t="s">
        <v>293</v>
      </c>
      <c r="C852" s="87">
        <v>2009</v>
      </c>
      <c r="D852" s="87" t="s">
        <v>15</v>
      </c>
      <c r="E852" s="116">
        <v>243</v>
      </c>
      <c r="F852" s="87" t="s">
        <v>967</v>
      </c>
      <c r="G852" s="87" t="s">
        <v>272</v>
      </c>
      <c r="H852" s="87" t="s">
        <v>967</v>
      </c>
      <c r="I852" s="87">
        <v>29</v>
      </c>
    </row>
    <row r="853" spans="1:9" ht="15" customHeight="1" x14ac:dyDescent="0.25">
      <c r="A853" s="87" t="s">
        <v>23</v>
      </c>
      <c r="B853" s="87" t="s">
        <v>293</v>
      </c>
      <c r="C853" s="87">
        <v>2010</v>
      </c>
      <c r="D853" s="87" t="s">
        <v>15</v>
      </c>
      <c r="E853" s="116">
        <v>171</v>
      </c>
      <c r="F853" s="87" t="s">
        <v>967</v>
      </c>
      <c r="G853" s="87" t="s">
        <v>272</v>
      </c>
      <c r="H853" s="87" t="s">
        <v>967</v>
      </c>
      <c r="I853" s="87">
        <v>29</v>
      </c>
    </row>
    <row r="854" spans="1:9" ht="15" customHeight="1" x14ac:dyDescent="0.25">
      <c r="A854" s="87" t="s">
        <v>23</v>
      </c>
      <c r="B854" s="87" t="s">
        <v>293</v>
      </c>
      <c r="C854" s="87">
        <v>2011</v>
      </c>
      <c r="D854" s="87" t="s">
        <v>15</v>
      </c>
      <c r="E854" s="116">
        <v>66</v>
      </c>
      <c r="F854" s="87" t="s">
        <v>967</v>
      </c>
      <c r="G854" s="87" t="s">
        <v>272</v>
      </c>
      <c r="H854" s="87" t="s">
        <v>967</v>
      </c>
      <c r="I854" s="87">
        <v>29</v>
      </c>
    </row>
    <row r="855" spans="1:9" ht="15" customHeight="1" x14ac:dyDescent="0.25">
      <c r="A855" s="87" t="s">
        <v>23</v>
      </c>
      <c r="B855" s="87" t="s">
        <v>293</v>
      </c>
      <c r="C855" s="87">
        <v>2012</v>
      </c>
      <c r="D855" s="87" t="s">
        <v>15</v>
      </c>
      <c r="E855" s="116">
        <v>82</v>
      </c>
      <c r="F855" s="87" t="s">
        <v>967</v>
      </c>
      <c r="G855" s="87" t="s">
        <v>272</v>
      </c>
      <c r="H855" s="87" t="s">
        <v>967</v>
      </c>
      <c r="I855" s="87">
        <v>29</v>
      </c>
    </row>
    <row r="856" spans="1:9" ht="15" customHeight="1" x14ac:dyDescent="0.25">
      <c r="A856" s="87" t="s">
        <v>23</v>
      </c>
      <c r="B856" s="87" t="s">
        <v>293</v>
      </c>
      <c r="C856" s="87">
        <v>2013</v>
      </c>
      <c r="D856" s="87" t="s">
        <v>15</v>
      </c>
      <c r="E856" s="116">
        <v>223</v>
      </c>
      <c r="F856" s="87" t="s">
        <v>967</v>
      </c>
      <c r="G856" s="87" t="s">
        <v>272</v>
      </c>
      <c r="H856" s="87" t="s">
        <v>967</v>
      </c>
      <c r="I856" s="87">
        <v>29</v>
      </c>
    </row>
    <row r="857" spans="1:9" ht="15" customHeight="1" x14ac:dyDescent="0.25">
      <c r="A857" s="87" t="s">
        <v>23</v>
      </c>
      <c r="B857" s="87" t="s">
        <v>293</v>
      </c>
      <c r="C857" s="87">
        <v>2014</v>
      </c>
      <c r="D857" s="87" t="s">
        <v>15</v>
      </c>
      <c r="E857" s="116">
        <v>392</v>
      </c>
      <c r="F857" s="87" t="s">
        <v>967</v>
      </c>
      <c r="G857" s="87" t="s">
        <v>272</v>
      </c>
      <c r="H857" s="87" t="s">
        <v>967</v>
      </c>
      <c r="I857" s="87">
        <v>29</v>
      </c>
    </row>
    <row r="858" spans="1:9" ht="15" customHeight="1" x14ac:dyDescent="0.25">
      <c r="A858" s="87" t="s">
        <v>23</v>
      </c>
      <c r="B858" s="87" t="s">
        <v>293</v>
      </c>
      <c r="C858" s="87">
        <v>2015</v>
      </c>
      <c r="D858" s="87" t="s">
        <v>15</v>
      </c>
      <c r="E858" s="116">
        <v>215</v>
      </c>
      <c r="F858" s="87" t="s">
        <v>967</v>
      </c>
      <c r="G858" s="87" t="s">
        <v>272</v>
      </c>
      <c r="H858" s="87" t="s">
        <v>574</v>
      </c>
      <c r="I858" s="87">
        <v>29</v>
      </c>
    </row>
    <row r="859" spans="1:9" ht="15" customHeight="1" x14ac:dyDescent="0.25">
      <c r="A859" s="87" t="s">
        <v>23</v>
      </c>
      <c r="B859" s="87" t="s">
        <v>293</v>
      </c>
      <c r="C859" s="87">
        <v>2016</v>
      </c>
      <c r="D859" s="87" t="s">
        <v>15</v>
      </c>
      <c r="E859" s="116">
        <v>115</v>
      </c>
      <c r="F859" s="87" t="s">
        <v>967</v>
      </c>
      <c r="G859" s="87" t="s">
        <v>272</v>
      </c>
      <c r="H859" s="87" t="s">
        <v>575</v>
      </c>
      <c r="I859" s="87">
        <v>29</v>
      </c>
    </row>
    <row r="860" spans="1:9" ht="15" customHeight="1" x14ac:dyDescent="0.25">
      <c r="A860" s="87" t="s">
        <v>23</v>
      </c>
      <c r="B860" s="87" t="s">
        <v>293</v>
      </c>
      <c r="C860" s="87">
        <v>2017</v>
      </c>
      <c r="D860" s="87" t="s">
        <v>15</v>
      </c>
      <c r="E860" s="116">
        <v>-1</v>
      </c>
      <c r="F860" s="87" t="s">
        <v>967</v>
      </c>
      <c r="G860" s="87" t="s">
        <v>272</v>
      </c>
      <c r="H860" s="87" t="s">
        <v>576</v>
      </c>
      <c r="I860" s="87">
        <v>29</v>
      </c>
    </row>
    <row r="861" spans="1:9" ht="15" customHeight="1" x14ac:dyDescent="0.25">
      <c r="A861" s="87" t="s">
        <v>23</v>
      </c>
      <c r="B861" s="87" t="s">
        <v>293</v>
      </c>
      <c r="C861" s="87">
        <v>2018</v>
      </c>
      <c r="D861" s="87" t="s">
        <v>15</v>
      </c>
      <c r="E861" s="116">
        <v>63</v>
      </c>
      <c r="F861" s="87" t="s">
        <v>967</v>
      </c>
      <c r="G861" s="87" t="s">
        <v>272</v>
      </c>
      <c r="H861" s="87" t="s">
        <v>967</v>
      </c>
      <c r="I861" s="87">
        <v>29</v>
      </c>
    </row>
    <row r="862" spans="1:9" ht="15" customHeight="1" x14ac:dyDescent="0.25">
      <c r="A862" s="87" t="s">
        <v>23</v>
      </c>
      <c r="B862" s="87" t="s">
        <v>293</v>
      </c>
      <c r="C862" s="87">
        <v>2019</v>
      </c>
      <c r="D862" s="87" t="s">
        <v>15</v>
      </c>
      <c r="E862" s="116">
        <v>15</v>
      </c>
      <c r="F862" s="87" t="s">
        <v>967</v>
      </c>
      <c r="G862" s="87" t="s">
        <v>272</v>
      </c>
      <c r="H862" s="87" t="s">
        <v>967</v>
      </c>
      <c r="I862" s="87">
        <v>29</v>
      </c>
    </row>
    <row r="863" spans="1:9" ht="15" customHeight="1" x14ac:dyDescent="0.25">
      <c r="A863" s="87" t="s">
        <v>23</v>
      </c>
      <c r="B863" s="87" t="s">
        <v>293</v>
      </c>
      <c r="C863" s="87">
        <v>2020</v>
      </c>
      <c r="D863" s="87" t="s">
        <v>15</v>
      </c>
      <c r="E863" s="116">
        <v>18</v>
      </c>
      <c r="F863" s="87" t="s">
        <v>967</v>
      </c>
      <c r="G863" s="87" t="s">
        <v>272</v>
      </c>
      <c r="H863" s="87" t="s">
        <v>967</v>
      </c>
      <c r="I863" s="87">
        <v>29</v>
      </c>
    </row>
    <row r="864" spans="1:9" ht="15" customHeight="1" x14ac:dyDescent="0.25">
      <c r="A864" s="87" t="s">
        <v>23</v>
      </c>
      <c r="B864" s="87" t="s">
        <v>293</v>
      </c>
      <c r="C864" s="87">
        <v>2021</v>
      </c>
      <c r="D864" s="87" t="s">
        <v>15</v>
      </c>
      <c r="E864" s="116">
        <v>185</v>
      </c>
      <c r="F864" s="87" t="s">
        <v>967</v>
      </c>
      <c r="G864" s="87" t="s">
        <v>272</v>
      </c>
      <c r="H864" s="87" t="s">
        <v>967</v>
      </c>
      <c r="I864" s="87">
        <v>29</v>
      </c>
    </row>
    <row r="865" spans="1:9" ht="15" customHeight="1" x14ac:dyDescent="0.25">
      <c r="A865" s="87" t="s">
        <v>23</v>
      </c>
      <c r="B865" s="87" t="s">
        <v>293</v>
      </c>
      <c r="C865" s="87">
        <v>2022</v>
      </c>
      <c r="D865" s="87" t="s">
        <v>15</v>
      </c>
      <c r="E865" s="116">
        <v>260</v>
      </c>
      <c r="F865" s="87" t="s">
        <v>967</v>
      </c>
      <c r="G865" s="87" t="s">
        <v>272</v>
      </c>
      <c r="H865" s="87" t="s">
        <v>967</v>
      </c>
      <c r="I865" s="87">
        <v>29</v>
      </c>
    </row>
    <row r="866" spans="1:9" ht="15" customHeight="1" x14ac:dyDescent="0.25">
      <c r="A866" s="87" t="s">
        <v>23</v>
      </c>
      <c r="B866" s="87" t="s">
        <v>223</v>
      </c>
      <c r="C866" s="87">
        <v>1975</v>
      </c>
      <c r="D866" s="87" t="s">
        <v>15</v>
      </c>
      <c r="E866" s="116">
        <v>100</v>
      </c>
      <c r="F866" s="87" t="s">
        <v>604</v>
      </c>
      <c r="G866" s="87" t="s">
        <v>967</v>
      </c>
      <c r="H866" s="87" t="s">
        <v>604</v>
      </c>
      <c r="I866" s="87">
        <v>24</v>
      </c>
    </row>
    <row r="867" spans="1:9" ht="15" customHeight="1" x14ac:dyDescent="0.25">
      <c r="A867" s="87" t="s">
        <v>23</v>
      </c>
      <c r="B867" s="87" t="s">
        <v>223</v>
      </c>
      <c r="C867" s="87">
        <v>1976</v>
      </c>
      <c r="D867" s="87" t="s">
        <v>15</v>
      </c>
      <c r="E867" s="116">
        <v>100</v>
      </c>
      <c r="F867" s="87" t="s">
        <v>604</v>
      </c>
      <c r="G867" s="87" t="s">
        <v>967</v>
      </c>
      <c r="H867" s="87" t="s">
        <v>604</v>
      </c>
      <c r="I867" s="87">
        <v>24</v>
      </c>
    </row>
    <row r="868" spans="1:9" ht="15" customHeight="1" x14ac:dyDescent="0.25">
      <c r="A868" s="87" t="s">
        <v>23</v>
      </c>
      <c r="B868" s="87" t="s">
        <v>223</v>
      </c>
      <c r="C868" s="87">
        <v>1977</v>
      </c>
      <c r="D868" s="87" t="s">
        <v>15</v>
      </c>
      <c r="E868" s="116">
        <v>150</v>
      </c>
      <c r="F868" s="87" t="s">
        <v>604</v>
      </c>
      <c r="G868" s="87" t="s">
        <v>967</v>
      </c>
      <c r="H868" s="87" t="s">
        <v>604</v>
      </c>
      <c r="I868" s="87">
        <v>24</v>
      </c>
    </row>
    <row r="869" spans="1:9" ht="15" customHeight="1" x14ac:dyDescent="0.25">
      <c r="A869" s="87" t="s">
        <v>23</v>
      </c>
      <c r="B869" s="87" t="s">
        <v>223</v>
      </c>
      <c r="C869" s="87">
        <v>1978</v>
      </c>
      <c r="D869" s="87" t="s">
        <v>15</v>
      </c>
      <c r="E869" s="116">
        <v>100</v>
      </c>
      <c r="F869" s="87" t="s">
        <v>604</v>
      </c>
      <c r="G869" s="87" t="s">
        <v>967</v>
      </c>
      <c r="H869" s="87" t="s">
        <v>604</v>
      </c>
      <c r="I869" s="87">
        <v>24</v>
      </c>
    </row>
    <row r="870" spans="1:9" ht="15" customHeight="1" x14ac:dyDescent="0.25">
      <c r="A870" s="87" t="s">
        <v>23</v>
      </c>
      <c r="B870" s="87" t="s">
        <v>223</v>
      </c>
      <c r="C870" s="87">
        <v>1979</v>
      </c>
      <c r="D870" s="87" t="s">
        <v>15</v>
      </c>
      <c r="E870" s="116">
        <v>200</v>
      </c>
      <c r="F870" s="87" t="s">
        <v>604</v>
      </c>
      <c r="G870" s="87" t="s">
        <v>967</v>
      </c>
      <c r="H870" s="87" t="s">
        <v>604</v>
      </c>
      <c r="I870" s="87">
        <v>24</v>
      </c>
    </row>
    <row r="871" spans="1:9" ht="15" customHeight="1" x14ac:dyDescent="0.25">
      <c r="A871" s="87" t="s">
        <v>23</v>
      </c>
      <c r="B871" s="87" t="s">
        <v>223</v>
      </c>
      <c r="C871" s="87">
        <v>1980</v>
      </c>
      <c r="D871" s="87" t="s">
        <v>15</v>
      </c>
      <c r="E871" s="116">
        <v>300</v>
      </c>
      <c r="F871" s="87" t="s">
        <v>604</v>
      </c>
      <c r="G871" s="87" t="s">
        <v>967</v>
      </c>
      <c r="H871" s="87" t="s">
        <v>604</v>
      </c>
      <c r="I871" s="87">
        <v>24</v>
      </c>
    </row>
    <row r="872" spans="1:9" ht="15" customHeight="1" x14ac:dyDescent="0.25">
      <c r="A872" s="87" t="s">
        <v>23</v>
      </c>
      <c r="B872" s="87" t="s">
        <v>223</v>
      </c>
      <c r="C872" s="87">
        <v>1981</v>
      </c>
      <c r="D872" s="87" t="s">
        <v>15</v>
      </c>
      <c r="E872" s="116">
        <v>300</v>
      </c>
      <c r="F872" s="87" t="s">
        <v>604</v>
      </c>
      <c r="G872" s="87" t="s">
        <v>967</v>
      </c>
      <c r="H872" s="87" t="s">
        <v>604</v>
      </c>
      <c r="I872" s="87">
        <v>24</v>
      </c>
    </row>
    <row r="873" spans="1:9" ht="15" customHeight="1" x14ac:dyDescent="0.25">
      <c r="A873" s="87" t="s">
        <v>23</v>
      </c>
      <c r="B873" s="87" t="s">
        <v>223</v>
      </c>
      <c r="C873" s="87">
        <v>1982</v>
      </c>
      <c r="D873" s="87" t="s">
        <v>15</v>
      </c>
      <c r="E873" s="116">
        <v>325</v>
      </c>
      <c r="F873" s="87" t="s">
        <v>604</v>
      </c>
      <c r="G873" s="87" t="s">
        <v>967</v>
      </c>
      <c r="H873" s="87" t="s">
        <v>604</v>
      </c>
      <c r="I873" s="87">
        <v>24</v>
      </c>
    </row>
    <row r="874" spans="1:9" ht="15" customHeight="1" x14ac:dyDescent="0.25">
      <c r="A874" s="87" t="s">
        <v>23</v>
      </c>
      <c r="B874" s="87" t="s">
        <v>223</v>
      </c>
      <c r="C874" s="87">
        <v>1983</v>
      </c>
      <c r="D874" s="87" t="s">
        <v>15</v>
      </c>
      <c r="E874" s="116">
        <v>900</v>
      </c>
      <c r="F874" s="87" t="s">
        <v>604</v>
      </c>
      <c r="G874" s="87" t="s">
        <v>967</v>
      </c>
      <c r="H874" s="87" t="s">
        <v>604</v>
      </c>
      <c r="I874" s="87">
        <v>24</v>
      </c>
    </row>
    <row r="875" spans="1:9" ht="15" customHeight="1" x14ac:dyDescent="0.25">
      <c r="A875" s="87" t="s">
        <v>23</v>
      </c>
      <c r="B875" s="87" t="s">
        <v>223</v>
      </c>
      <c r="C875" s="87">
        <v>1984</v>
      </c>
      <c r="D875" s="87" t="s">
        <v>15</v>
      </c>
      <c r="E875" s="116">
        <v>900</v>
      </c>
      <c r="F875" s="87" t="s">
        <v>604</v>
      </c>
      <c r="G875" s="87" t="s">
        <v>967</v>
      </c>
      <c r="H875" s="87" t="s">
        <v>604</v>
      </c>
      <c r="I875" s="87">
        <v>24</v>
      </c>
    </row>
    <row r="876" spans="1:9" ht="15" customHeight="1" x14ac:dyDescent="0.25">
      <c r="A876" s="87" t="s">
        <v>23</v>
      </c>
      <c r="B876" s="87" t="s">
        <v>223</v>
      </c>
      <c r="C876" s="87">
        <v>1985</v>
      </c>
      <c r="D876" s="87" t="s">
        <v>15</v>
      </c>
      <c r="E876" s="116">
        <v>1500</v>
      </c>
      <c r="F876" s="87" t="s">
        <v>604</v>
      </c>
      <c r="G876" s="87" t="s">
        <v>967</v>
      </c>
      <c r="H876" s="87" t="s">
        <v>604</v>
      </c>
      <c r="I876" s="87">
        <v>24</v>
      </c>
    </row>
    <row r="877" spans="1:9" ht="15" customHeight="1" x14ac:dyDescent="0.25">
      <c r="A877" s="87" t="s">
        <v>23</v>
      </c>
      <c r="B877" s="87" t="s">
        <v>223</v>
      </c>
      <c r="C877" s="87">
        <v>1986</v>
      </c>
      <c r="D877" s="87" t="s">
        <v>15</v>
      </c>
      <c r="E877" s="116">
        <v>1300</v>
      </c>
      <c r="F877" s="87" t="s">
        <v>604</v>
      </c>
      <c r="G877" s="87" t="s">
        <v>967</v>
      </c>
      <c r="H877" s="87" t="s">
        <v>604</v>
      </c>
      <c r="I877" s="87">
        <v>24</v>
      </c>
    </row>
    <row r="878" spans="1:9" ht="15" customHeight="1" x14ac:dyDescent="0.25">
      <c r="A878" s="87" t="s">
        <v>23</v>
      </c>
      <c r="B878" s="87" t="s">
        <v>223</v>
      </c>
      <c r="C878" s="87">
        <v>1987</v>
      </c>
      <c r="D878" s="87" t="s">
        <v>15</v>
      </c>
      <c r="E878" s="116">
        <v>2700</v>
      </c>
      <c r="F878" s="87" t="s">
        <v>604</v>
      </c>
      <c r="G878" s="87" t="s">
        <v>967</v>
      </c>
      <c r="H878" s="87" t="s">
        <v>604</v>
      </c>
      <c r="I878" s="87">
        <v>24</v>
      </c>
    </row>
    <row r="879" spans="1:9" ht="15" customHeight="1" x14ac:dyDescent="0.25">
      <c r="A879" s="87" t="s">
        <v>23</v>
      </c>
      <c r="B879" s="87" t="s">
        <v>223</v>
      </c>
      <c r="C879" s="87">
        <v>1988</v>
      </c>
      <c r="D879" s="87" t="s">
        <v>15</v>
      </c>
      <c r="E879" s="116">
        <v>-1</v>
      </c>
      <c r="F879" s="87" t="s">
        <v>903</v>
      </c>
      <c r="G879" s="87" t="s">
        <v>272</v>
      </c>
      <c r="H879" s="87" t="s">
        <v>903</v>
      </c>
      <c r="I879" s="87">
        <v>24</v>
      </c>
    </row>
    <row r="880" spans="1:9" ht="15" customHeight="1" x14ac:dyDescent="0.25">
      <c r="A880" s="87" t="s">
        <v>23</v>
      </c>
      <c r="B880" s="87" t="s">
        <v>223</v>
      </c>
      <c r="C880" s="87">
        <v>1989</v>
      </c>
      <c r="D880" s="87" t="s">
        <v>15</v>
      </c>
      <c r="E880" s="116">
        <v>800</v>
      </c>
      <c r="F880" s="87" t="s">
        <v>604</v>
      </c>
      <c r="G880" s="87" t="s">
        <v>967</v>
      </c>
      <c r="H880" s="87" t="s">
        <v>604</v>
      </c>
      <c r="I880" s="87">
        <v>24</v>
      </c>
    </row>
    <row r="881" spans="1:9" ht="15" customHeight="1" x14ac:dyDescent="0.25">
      <c r="A881" s="87" t="s">
        <v>23</v>
      </c>
      <c r="B881" s="87" t="s">
        <v>223</v>
      </c>
      <c r="C881" s="87">
        <v>1990</v>
      </c>
      <c r="D881" s="87" t="s">
        <v>15</v>
      </c>
      <c r="E881" s="116">
        <v>1000</v>
      </c>
      <c r="F881" s="87" t="s">
        <v>604</v>
      </c>
      <c r="G881" s="87" t="s">
        <v>967</v>
      </c>
      <c r="H881" s="87" t="s">
        <v>604</v>
      </c>
      <c r="I881" s="87">
        <v>24</v>
      </c>
    </row>
    <row r="882" spans="1:9" ht="15" customHeight="1" x14ac:dyDescent="0.25">
      <c r="A882" s="87" t="s">
        <v>23</v>
      </c>
      <c r="B882" s="87" t="s">
        <v>223</v>
      </c>
      <c r="C882" s="87">
        <v>1991</v>
      </c>
      <c r="D882" s="87" t="s">
        <v>15</v>
      </c>
      <c r="E882" s="116">
        <v>1000</v>
      </c>
      <c r="F882" s="87" t="s">
        <v>604</v>
      </c>
      <c r="G882" s="87" t="s">
        <v>967</v>
      </c>
      <c r="H882" s="87" t="s">
        <v>604</v>
      </c>
      <c r="I882" s="87">
        <v>24</v>
      </c>
    </row>
    <row r="883" spans="1:9" ht="15" customHeight="1" x14ac:dyDescent="0.25">
      <c r="A883" s="87" t="s">
        <v>23</v>
      </c>
      <c r="B883" s="87" t="s">
        <v>223</v>
      </c>
      <c r="C883" s="87">
        <v>1992</v>
      </c>
      <c r="D883" s="87" t="s">
        <v>15</v>
      </c>
      <c r="E883" s="116">
        <v>2200</v>
      </c>
      <c r="F883" s="87" t="s">
        <v>604</v>
      </c>
      <c r="G883" s="87" t="s">
        <v>967</v>
      </c>
      <c r="H883" s="87" t="s">
        <v>604</v>
      </c>
      <c r="I883" s="87">
        <v>24</v>
      </c>
    </row>
    <row r="884" spans="1:9" ht="15" customHeight="1" x14ac:dyDescent="0.25">
      <c r="A884" s="87" t="s">
        <v>23</v>
      </c>
      <c r="B884" s="87" t="s">
        <v>223</v>
      </c>
      <c r="C884" s="87">
        <v>1993</v>
      </c>
      <c r="D884" s="87" t="s">
        <v>15</v>
      </c>
      <c r="E884" s="116">
        <v>4470</v>
      </c>
      <c r="F884" s="87" t="s">
        <v>604</v>
      </c>
      <c r="G884" s="87" t="s">
        <v>967</v>
      </c>
      <c r="H884" s="87" t="s">
        <v>604</v>
      </c>
      <c r="I884" s="87">
        <v>24</v>
      </c>
    </row>
    <row r="885" spans="1:9" ht="15" customHeight="1" x14ac:dyDescent="0.25">
      <c r="A885" s="87" t="s">
        <v>23</v>
      </c>
      <c r="B885" s="87" t="s">
        <v>223</v>
      </c>
      <c r="C885" s="87">
        <v>1994</v>
      </c>
      <c r="D885" s="87" t="s">
        <v>15</v>
      </c>
      <c r="E885" s="116">
        <v>4690</v>
      </c>
      <c r="F885" s="87" t="s">
        <v>604</v>
      </c>
      <c r="G885" s="87" t="s">
        <v>967</v>
      </c>
      <c r="H885" s="87" t="s">
        <v>604</v>
      </c>
      <c r="I885" s="87">
        <v>24</v>
      </c>
    </row>
    <row r="886" spans="1:9" ht="15" customHeight="1" x14ac:dyDescent="0.25">
      <c r="A886" s="87" t="s">
        <v>23</v>
      </c>
      <c r="B886" s="87" t="s">
        <v>223</v>
      </c>
      <c r="C886" s="87">
        <v>1995</v>
      </c>
      <c r="D886" s="87" t="s">
        <v>15</v>
      </c>
      <c r="E886" s="116">
        <v>2100</v>
      </c>
      <c r="F886" s="87" t="s">
        <v>604</v>
      </c>
      <c r="G886" s="87" t="s">
        <v>967</v>
      </c>
      <c r="H886" s="87" t="s">
        <v>604</v>
      </c>
      <c r="I886" s="87">
        <v>24</v>
      </c>
    </row>
    <row r="887" spans="1:9" ht="15" customHeight="1" x14ac:dyDescent="0.25">
      <c r="A887" s="87" t="s">
        <v>23</v>
      </c>
      <c r="B887" s="87" t="s">
        <v>223</v>
      </c>
      <c r="C887" s="87">
        <v>1996</v>
      </c>
      <c r="D887" s="87" t="s">
        <v>15</v>
      </c>
      <c r="E887" s="116">
        <v>1750</v>
      </c>
      <c r="F887" s="87" t="s">
        <v>604</v>
      </c>
      <c r="G887" s="87" t="s">
        <v>967</v>
      </c>
      <c r="H887" s="87" t="s">
        <v>604</v>
      </c>
      <c r="I887" s="87">
        <v>24</v>
      </c>
    </row>
    <row r="888" spans="1:9" ht="15" customHeight="1" x14ac:dyDescent="0.25">
      <c r="A888" s="87" t="s">
        <v>23</v>
      </c>
      <c r="B888" s="87" t="s">
        <v>223</v>
      </c>
      <c r="C888" s="87">
        <v>1997</v>
      </c>
      <c r="D888" s="87" t="s">
        <v>15</v>
      </c>
      <c r="E888" s="116">
        <v>3329</v>
      </c>
      <c r="F888" s="87" t="s">
        <v>604</v>
      </c>
      <c r="G888" s="87" t="s">
        <v>967</v>
      </c>
      <c r="H888" s="87" t="s">
        <v>604</v>
      </c>
      <c r="I888" s="87">
        <v>24</v>
      </c>
    </row>
    <row r="889" spans="1:9" ht="15" customHeight="1" x14ac:dyDescent="0.25">
      <c r="A889" s="87" t="s">
        <v>23</v>
      </c>
      <c r="B889" s="87" t="s">
        <v>223</v>
      </c>
      <c r="C889" s="87">
        <v>1998</v>
      </c>
      <c r="D889" s="87" t="s">
        <v>15</v>
      </c>
      <c r="E889" s="116">
        <v>38</v>
      </c>
      <c r="F889" s="87" t="s">
        <v>605</v>
      </c>
      <c r="G889" s="87" t="s">
        <v>272</v>
      </c>
      <c r="H889" s="87" t="s">
        <v>967</v>
      </c>
      <c r="I889" s="87">
        <v>24</v>
      </c>
    </row>
    <row r="890" spans="1:9" ht="15" customHeight="1" x14ac:dyDescent="0.25">
      <c r="A890" s="87" t="s">
        <v>23</v>
      </c>
      <c r="B890" s="87" t="s">
        <v>223</v>
      </c>
      <c r="C890" s="87">
        <v>1999</v>
      </c>
      <c r="D890" s="87" t="s">
        <v>15</v>
      </c>
      <c r="E890" s="116">
        <v>17</v>
      </c>
      <c r="F890" s="87" t="s">
        <v>967</v>
      </c>
      <c r="G890" s="87" t="s">
        <v>272</v>
      </c>
      <c r="H890" s="87" t="s">
        <v>967</v>
      </c>
      <c r="I890" s="87">
        <v>24</v>
      </c>
    </row>
    <row r="891" spans="1:9" ht="15" customHeight="1" x14ac:dyDescent="0.25">
      <c r="A891" s="87" t="s">
        <v>23</v>
      </c>
      <c r="B891" s="87" t="s">
        <v>223</v>
      </c>
      <c r="C891" s="87">
        <v>2000</v>
      </c>
      <c r="D891" s="87" t="s">
        <v>15</v>
      </c>
      <c r="E891" s="116">
        <v>60</v>
      </c>
      <c r="F891" s="87" t="s">
        <v>967</v>
      </c>
      <c r="G891" s="87" t="s">
        <v>272</v>
      </c>
      <c r="H891" s="87" t="s">
        <v>967</v>
      </c>
      <c r="I891" s="87">
        <v>24</v>
      </c>
    </row>
    <row r="892" spans="1:9" ht="15" customHeight="1" x14ac:dyDescent="0.25">
      <c r="A892" s="87" t="s">
        <v>23</v>
      </c>
      <c r="B892" s="87" t="s">
        <v>223</v>
      </c>
      <c r="C892" s="87">
        <v>2001</v>
      </c>
      <c r="D892" s="87" t="s">
        <v>15</v>
      </c>
      <c r="E892" s="116">
        <v>25</v>
      </c>
      <c r="F892" s="87" t="s">
        <v>967</v>
      </c>
      <c r="G892" s="87" t="s">
        <v>272</v>
      </c>
      <c r="H892" s="87" t="s">
        <v>967</v>
      </c>
      <c r="I892" s="87">
        <v>24</v>
      </c>
    </row>
    <row r="893" spans="1:9" ht="15" customHeight="1" x14ac:dyDescent="0.25">
      <c r="A893" s="87" t="s">
        <v>23</v>
      </c>
      <c r="B893" s="87" t="s">
        <v>223</v>
      </c>
      <c r="C893" s="87">
        <v>2002</v>
      </c>
      <c r="D893" s="87" t="s">
        <v>15</v>
      </c>
      <c r="E893" s="116">
        <v>251</v>
      </c>
      <c r="F893" s="87" t="s">
        <v>967</v>
      </c>
      <c r="G893" s="87" t="s">
        <v>272</v>
      </c>
      <c r="H893" s="87" t="s">
        <v>967</v>
      </c>
      <c r="I893" s="87">
        <v>24</v>
      </c>
    </row>
    <row r="894" spans="1:9" ht="15" customHeight="1" x14ac:dyDescent="0.25">
      <c r="A894" s="87" t="s">
        <v>23</v>
      </c>
      <c r="B894" s="87" t="s">
        <v>223</v>
      </c>
      <c r="C894" s="87">
        <v>2003</v>
      </c>
      <c r="D894" s="87" t="s">
        <v>15</v>
      </c>
      <c r="E894" s="116">
        <v>440</v>
      </c>
      <c r="F894" s="87" t="s">
        <v>967</v>
      </c>
      <c r="G894" s="87" t="s">
        <v>272</v>
      </c>
      <c r="H894" s="87" t="s">
        <v>967</v>
      </c>
      <c r="I894" s="87">
        <v>24</v>
      </c>
    </row>
    <row r="895" spans="1:9" ht="15" customHeight="1" x14ac:dyDescent="0.25">
      <c r="A895" s="87" t="s">
        <v>23</v>
      </c>
      <c r="B895" s="87" t="s">
        <v>223</v>
      </c>
      <c r="C895" s="87">
        <v>2004</v>
      </c>
      <c r="D895" s="87" t="s">
        <v>15</v>
      </c>
      <c r="E895" s="116">
        <v>52</v>
      </c>
      <c r="F895" s="87" t="s">
        <v>967</v>
      </c>
      <c r="G895" s="87" t="s">
        <v>272</v>
      </c>
      <c r="H895" s="87" t="s">
        <v>967</v>
      </c>
      <c r="I895" s="87">
        <v>24</v>
      </c>
    </row>
    <row r="896" spans="1:9" ht="15" customHeight="1" x14ac:dyDescent="0.25">
      <c r="A896" s="87" t="s">
        <v>23</v>
      </c>
      <c r="B896" s="87" t="s">
        <v>223</v>
      </c>
      <c r="C896" s="87">
        <v>2005</v>
      </c>
      <c r="D896" s="87" t="s">
        <v>15</v>
      </c>
      <c r="E896" s="116">
        <v>68</v>
      </c>
      <c r="F896" s="87" t="s">
        <v>967</v>
      </c>
      <c r="G896" s="87" t="s">
        <v>272</v>
      </c>
      <c r="H896" s="87" t="s">
        <v>967</v>
      </c>
      <c r="I896" s="87">
        <v>24</v>
      </c>
    </row>
    <row r="897" spans="1:9" ht="15" customHeight="1" x14ac:dyDescent="0.25">
      <c r="A897" s="87" t="s">
        <v>23</v>
      </c>
      <c r="B897" s="87" t="s">
        <v>223</v>
      </c>
      <c r="C897" s="87">
        <v>2006</v>
      </c>
      <c r="D897" s="87" t="s">
        <v>15</v>
      </c>
      <c r="E897" s="116">
        <v>54</v>
      </c>
      <c r="F897" s="87" t="s">
        <v>967</v>
      </c>
      <c r="G897" s="87" t="s">
        <v>272</v>
      </c>
      <c r="H897" s="87" t="s">
        <v>967</v>
      </c>
      <c r="I897" s="87">
        <v>24</v>
      </c>
    </row>
    <row r="898" spans="1:9" ht="15" customHeight="1" x14ac:dyDescent="0.25">
      <c r="A898" s="87" t="s">
        <v>23</v>
      </c>
      <c r="B898" s="87" t="s">
        <v>223</v>
      </c>
      <c r="C898" s="87">
        <v>2007</v>
      </c>
      <c r="D898" s="87" t="s">
        <v>15</v>
      </c>
      <c r="E898" s="116">
        <v>89</v>
      </c>
      <c r="F898" s="87" t="s">
        <v>967</v>
      </c>
      <c r="G898" s="87" t="s">
        <v>272</v>
      </c>
      <c r="H898" s="87" t="s">
        <v>967</v>
      </c>
      <c r="I898" s="87">
        <v>24</v>
      </c>
    </row>
    <row r="899" spans="1:9" ht="15" customHeight="1" x14ac:dyDescent="0.25">
      <c r="A899" s="87" t="s">
        <v>23</v>
      </c>
      <c r="B899" s="87" t="s">
        <v>223</v>
      </c>
      <c r="C899" s="87">
        <v>2008</v>
      </c>
      <c r="D899" s="87" t="s">
        <v>15</v>
      </c>
      <c r="E899" s="116">
        <v>5</v>
      </c>
      <c r="F899" s="87" t="s">
        <v>967</v>
      </c>
      <c r="G899" s="87" t="s">
        <v>272</v>
      </c>
      <c r="H899" s="87" t="s">
        <v>967</v>
      </c>
      <c r="I899" s="87">
        <v>24</v>
      </c>
    </row>
    <row r="900" spans="1:9" ht="15" customHeight="1" x14ac:dyDescent="0.25">
      <c r="A900" s="87" t="s">
        <v>23</v>
      </c>
      <c r="B900" s="87" t="s">
        <v>223</v>
      </c>
      <c r="C900" s="87">
        <v>2009</v>
      </c>
      <c r="D900" s="87" t="s">
        <v>15</v>
      </c>
      <c r="E900" s="116">
        <v>329</v>
      </c>
      <c r="F900" s="87" t="s">
        <v>967</v>
      </c>
      <c r="G900" s="87" t="s">
        <v>272</v>
      </c>
      <c r="H900" s="87" t="s">
        <v>967</v>
      </c>
      <c r="I900" s="87">
        <v>24</v>
      </c>
    </row>
    <row r="901" spans="1:9" ht="15" customHeight="1" x14ac:dyDescent="0.25">
      <c r="A901" s="87" t="s">
        <v>23</v>
      </c>
      <c r="B901" s="87" t="s">
        <v>223</v>
      </c>
      <c r="C901" s="87">
        <v>2010</v>
      </c>
      <c r="D901" s="87" t="s">
        <v>15</v>
      </c>
      <c r="E901" s="116">
        <v>326</v>
      </c>
      <c r="F901" s="87" t="s">
        <v>967</v>
      </c>
      <c r="G901" s="87" t="s">
        <v>272</v>
      </c>
      <c r="H901" s="87" t="s">
        <v>967</v>
      </c>
      <c r="I901" s="87">
        <v>24</v>
      </c>
    </row>
    <row r="902" spans="1:9" ht="15" customHeight="1" x14ac:dyDescent="0.25">
      <c r="A902" s="87" t="s">
        <v>23</v>
      </c>
      <c r="B902" s="87" t="s">
        <v>223</v>
      </c>
      <c r="C902" s="87">
        <v>2011</v>
      </c>
      <c r="D902" s="87" t="s">
        <v>15</v>
      </c>
      <c r="E902" s="116">
        <v>17</v>
      </c>
      <c r="F902" s="87" t="s">
        <v>967</v>
      </c>
      <c r="G902" s="87" t="s">
        <v>272</v>
      </c>
      <c r="H902" s="87" t="s">
        <v>967</v>
      </c>
      <c r="I902" s="87">
        <v>24</v>
      </c>
    </row>
    <row r="903" spans="1:9" ht="15" customHeight="1" x14ac:dyDescent="0.25">
      <c r="A903" s="87" t="s">
        <v>23</v>
      </c>
      <c r="B903" s="87" t="s">
        <v>223</v>
      </c>
      <c r="C903" s="87">
        <v>2012</v>
      </c>
      <c r="D903" s="87" t="s">
        <v>15</v>
      </c>
      <c r="E903" s="116">
        <v>20</v>
      </c>
      <c r="F903" s="87" t="s">
        <v>967</v>
      </c>
      <c r="G903" s="87" t="s">
        <v>272</v>
      </c>
      <c r="H903" s="87" t="s">
        <v>967</v>
      </c>
      <c r="I903" s="87">
        <v>24</v>
      </c>
    </row>
    <row r="904" spans="1:9" ht="15" customHeight="1" x14ac:dyDescent="0.25">
      <c r="A904" s="87" t="s">
        <v>23</v>
      </c>
      <c r="B904" s="87" t="s">
        <v>223</v>
      </c>
      <c r="C904" s="87">
        <v>2013</v>
      </c>
      <c r="D904" s="87" t="s">
        <v>15</v>
      </c>
      <c r="E904" s="116">
        <v>38</v>
      </c>
      <c r="F904" s="87" t="s">
        <v>967</v>
      </c>
      <c r="G904" s="87" t="s">
        <v>272</v>
      </c>
      <c r="H904" s="87" t="s">
        <v>967</v>
      </c>
      <c r="I904" s="87">
        <v>24</v>
      </c>
    </row>
    <row r="905" spans="1:9" ht="15" customHeight="1" x14ac:dyDescent="0.25">
      <c r="A905" s="87" t="s">
        <v>23</v>
      </c>
      <c r="B905" s="87" t="s">
        <v>223</v>
      </c>
      <c r="C905" s="87">
        <v>2014</v>
      </c>
      <c r="D905" s="87" t="s">
        <v>15</v>
      </c>
      <c r="E905" s="116">
        <v>31</v>
      </c>
      <c r="F905" s="87" t="s">
        <v>967</v>
      </c>
      <c r="G905" s="87" t="s">
        <v>272</v>
      </c>
      <c r="H905" s="87" t="s">
        <v>967</v>
      </c>
      <c r="I905" s="87">
        <v>24</v>
      </c>
    </row>
    <row r="906" spans="1:9" ht="15" customHeight="1" x14ac:dyDescent="0.25">
      <c r="A906" s="87" t="s">
        <v>23</v>
      </c>
      <c r="B906" s="87" t="s">
        <v>223</v>
      </c>
      <c r="C906" s="87">
        <v>2015</v>
      </c>
      <c r="D906" s="87" t="s">
        <v>15</v>
      </c>
      <c r="E906" s="116">
        <v>38</v>
      </c>
      <c r="F906" s="87" t="s">
        <v>967</v>
      </c>
      <c r="G906" s="87" t="s">
        <v>272</v>
      </c>
      <c r="H906" s="87" t="s">
        <v>606</v>
      </c>
      <c r="I906" s="87">
        <v>24</v>
      </c>
    </row>
    <row r="907" spans="1:9" ht="15" customHeight="1" x14ac:dyDescent="0.25">
      <c r="A907" s="87" t="s">
        <v>23</v>
      </c>
      <c r="B907" s="87" t="s">
        <v>223</v>
      </c>
      <c r="C907" s="87">
        <v>2016</v>
      </c>
      <c r="D907" s="87" t="s">
        <v>15</v>
      </c>
      <c r="E907" s="116">
        <v>3</v>
      </c>
      <c r="F907" s="87" t="s">
        <v>967</v>
      </c>
      <c r="G907" s="87" t="s">
        <v>272</v>
      </c>
      <c r="H907" s="87" t="s">
        <v>607</v>
      </c>
      <c r="I907" s="87">
        <v>24</v>
      </c>
    </row>
    <row r="908" spans="1:9" ht="15" customHeight="1" x14ac:dyDescent="0.25">
      <c r="A908" s="87" t="s">
        <v>23</v>
      </c>
      <c r="B908" s="87" t="s">
        <v>223</v>
      </c>
      <c r="C908" s="87">
        <v>2017</v>
      </c>
      <c r="D908" s="87" t="s">
        <v>15</v>
      </c>
      <c r="E908" s="116">
        <v>0</v>
      </c>
      <c r="F908" s="87" t="s">
        <v>967</v>
      </c>
      <c r="G908" s="87" t="s">
        <v>967</v>
      </c>
      <c r="H908" s="87" t="s">
        <v>967</v>
      </c>
      <c r="I908" s="87">
        <v>24</v>
      </c>
    </row>
    <row r="909" spans="1:9" ht="15" customHeight="1" x14ac:dyDescent="0.25">
      <c r="A909" s="87" t="s">
        <v>23</v>
      </c>
      <c r="B909" s="87" t="s">
        <v>223</v>
      </c>
      <c r="C909" s="87">
        <v>2018</v>
      </c>
      <c r="D909" s="87" t="s">
        <v>15</v>
      </c>
      <c r="E909" s="116">
        <v>0</v>
      </c>
      <c r="F909" s="87" t="s">
        <v>967</v>
      </c>
      <c r="G909" s="87" t="s">
        <v>272</v>
      </c>
      <c r="H909" s="87" t="s">
        <v>967</v>
      </c>
      <c r="I909" s="87">
        <v>24</v>
      </c>
    </row>
    <row r="910" spans="1:9" ht="15" customHeight="1" x14ac:dyDescent="0.25">
      <c r="A910" s="87" t="s">
        <v>23</v>
      </c>
      <c r="B910" s="87" t="s">
        <v>223</v>
      </c>
      <c r="C910" s="87">
        <v>2019</v>
      </c>
      <c r="D910" s="87" t="s">
        <v>15</v>
      </c>
      <c r="E910" s="116">
        <v>5</v>
      </c>
      <c r="F910" s="87" t="s">
        <v>967</v>
      </c>
      <c r="G910" s="87" t="s">
        <v>272</v>
      </c>
      <c r="H910" s="87" t="s">
        <v>967</v>
      </c>
      <c r="I910" s="87">
        <v>24</v>
      </c>
    </row>
    <row r="911" spans="1:9" ht="15" customHeight="1" x14ac:dyDescent="0.25">
      <c r="A911" s="87" t="s">
        <v>23</v>
      </c>
      <c r="B911" s="87" t="s">
        <v>223</v>
      </c>
      <c r="C911" s="87">
        <v>2020</v>
      </c>
      <c r="D911" s="87" t="s">
        <v>15</v>
      </c>
      <c r="E911" s="116">
        <v>66</v>
      </c>
      <c r="F911" s="87" t="s">
        <v>967</v>
      </c>
      <c r="G911" s="87" t="s">
        <v>272</v>
      </c>
      <c r="H911" s="87" t="s">
        <v>967</v>
      </c>
      <c r="I911" s="87">
        <v>24</v>
      </c>
    </row>
    <row r="912" spans="1:9" ht="15" customHeight="1" x14ac:dyDescent="0.25">
      <c r="A912" s="87" t="s">
        <v>23</v>
      </c>
      <c r="B912" s="87" t="s">
        <v>223</v>
      </c>
      <c r="C912" s="87">
        <v>2021</v>
      </c>
      <c r="D912" s="87" t="s">
        <v>15</v>
      </c>
      <c r="E912" s="116">
        <v>37</v>
      </c>
      <c r="F912" s="87" t="s">
        <v>967</v>
      </c>
      <c r="G912" s="87" t="s">
        <v>272</v>
      </c>
      <c r="H912" s="87" t="s">
        <v>967</v>
      </c>
      <c r="I912" s="87">
        <v>24</v>
      </c>
    </row>
    <row r="913" spans="1:9" ht="15" customHeight="1" x14ac:dyDescent="0.25">
      <c r="A913" s="87" t="s">
        <v>23</v>
      </c>
      <c r="B913" s="87" t="s">
        <v>223</v>
      </c>
      <c r="C913" s="87">
        <v>2022</v>
      </c>
      <c r="D913" s="87" t="s">
        <v>15</v>
      </c>
      <c r="E913" s="116">
        <v>9</v>
      </c>
      <c r="F913" s="87" t="s">
        <v>967</v>
      </c>
      <c r="G913" s="87" t="s">
        <v>272</v>
      </c>
      <c r="H913" s="87" t="s">
        <v>967</v>
      </c>
      <c r="I913" s="87">
        <v>24</v>
      </c>
    </row>
    <row r="914" spans="1:9" ht="15" customHeight="1" x14ac:dyDescent="0.25">
      <c r="A914" s="87" t="s">
        <v>23</v>
      </c>
      <c r="B914" s="87" t="s">
        <v>295</v>
      </c>
      <c r="C914" s="87">
        <v>1975</v>
      </c>
      <c r="D914" s="87" t="s">
        <v>15</v>
      </c>
      <c r="E914" s="116">
        <v>25</v>
      </c>
      <c r="F914" s="87" t="s">
        <v>508</v>
      </c>
      <c r="G914" s="87" t="s">
        <v>967</v>
      </c>
      <c r="H914" s="87" t="s">
        <v>508</v>
      </c>
      <c r="I914" s="87">
        <v>21</v>
      </c>
    </row>
    <row r="915" spans="1:9" ht="15" customHeight="1" x14ac:dyDescent="0.25">
      <c r="A915" s="87" t="s">
        <v>23</v>
      </c>
      <c r="B915" s="87" t="s">
        <v>295</v>
      </c>
      <c r="C915" s="87">
        <v>1976</v>
      </c>
      <c r="D915" s="87" t="s">
        <v>15</v>
      </c>
      <c r="E915" s="116">
        <v>25</v>
      </c>
      <c r="F915" s="87" t="s">
        <v>508</v>
      </c>
      <c r="G915" s="87" t="s">
        <v>967</v>
      </c>
      <c r="H915" s="87" t="s">
        <v>508</v>
      </c>
      <c r="I915" s="87">
        <v>21</v>
      </c>
    </row>
    <row r="916" spans="1:9" ht="15" customHeight="1" x14ac:dyDescent="0.25">
      <c r="A916" s="87" t="s">
        <v>23</v>
      </c>
      <c r="B916" s="87" t="s">
        <v>295</v>
      </c>
      <c r="C916" s="87">
        <v>1977</v>
      </c>
      <c r="D916" s="87" t="s">
        <v>15</v>
      </c>
      <c r="E916" s="116">
        <v>25</v>
      </c>
      <c r="F916" s="87" t="s">
        <v>508</v>
      </c>
      <c r="G916" s="87" t="s">
        <v>967</v>
      </c>
      <c r="H916" s="87" t="s">
        <v>508</v>
      </c>
      <c r="I916" s="87">
        <v>21</v>
      </c>
    </row>
    <row r="917" spans="1:9" ht="15" customHeight="1" x14ac:dyDescent="0.25">
      <c r="A917" s="87" t="s">
        <v>23</v>
      </c>
      <c r="B917" s="87" t="s">
        <v>295</v>
      </c>
      <c r="C917" s="87">
        <v>1978</v>
      </c>
      <c r="D917" s="87" t="s">
        <v>15</v>
      </c>
      <c r="E917" s="116">
        <v>25</v>
      </c>
      <c r="F917" s="87" t="s">
        <v>508</v>
      </c>
      <c r="G917" s="87" t="s">
        <v>967</v>
      </c>
      <c r="H917" s="87" t="s">
        <v>508</v>
      </c>
      <c r="I917" s="87">
        <v>21</v>
      </c>
    </row>
    <row r="918" spans="1:9" ht="15" customHeight="1" x14ac:dyDescent="0.25">
      <c r="A918" s="87" t="s">
        <v>23</v>
      </c>
      <c r="B918" s="87" t="s">
        <v>295</v>
      </c>
      <c r="C918" s="87">
        <v>1979</v>
      </c>
      <c r="D918" s="87" t="s">
        <v>15</v>
      </c>
      <c r="E918" s="116">
        <v>75</v>
      </c>
      <c r="F918" s="87" t="s">
        <v>508</v>
      </c>
      <c r="G918" s="87" t="s">
        <v>967</v>
      </c>
      <c r="H918" s="87" t="s">
        <v>508</v>
      </c>
      <c r="I918" s="87">
        <v>21</v>
      </c>
    </row>
    <row r="919" spans="1:9" ht="15" customHeight="1" x14ac:dyDescent="0.25">
      <c r="A919" s="87" t="s">
        <v>23</v>
      </c>
      <c r="B919" s="87" t="s">
        <v>295</v>
      </c>
      <c r="C919" s="87">
        <v>1980</v>
      </c>
      <c r="D919" s="87" t="s">
        <v>15</v>
      </c>
      <c r="E919" s="116">
        <v>50</v>
      </c>
      <c r="F919" s="87" t="s">
        <v>508</v>
      </c>
      <c r="G919" s="87" t="s">
        <v>967</v>
      </c>
      <c r="H919" s="87" t="s">
        <v>508</v>
      </c>
      <c r="I919" s="87">
        <v>21</v>
      </c>
    </row>
    <row r="920" spans="1:9" ht="15" customHeight="1" x14ac:dyDescent="0.25">
      <c r="A920" s="87" t="s">
        <v>23</v>
      </c>
      <c r="B920" s="87" t="s">
        <v>295</v>
      </c>
      <c r="C920" s="87">
        <v>1981</v>
      </c>
      <c r="D920" s="87" t="s">
        <v>15</v>
      </c>
      <c r="E920" s="116">
        <v>32</v>
      </c>
      <c r="F920" s="87" t="s">
        <v>508</v>
      </c>
      <c r="G920" s="87" t="s">
        <v>967</v>
      </c>
      <c r="H920" s="87" t="s">
        <v>508</v>
      </c>
      <c r="I920" s="87">
        <v>21</v>
      </c>
    </row>
    <row r="921" spans="1:9" ht="15" customHeight="1" x14ac:dyDescent="0.25">
      <c r="A921" s="87" t="s">
        <v>23</v>
      </c>
      <c r="B921" s="87" t="s">
        <v>295</v>
      </c>
      <c r="C921" s="87">
        <v>1982</v>
      </c>
      <c r="D921" s="87" t="s">
        <v>15</v>
      </c>
      <c r="E921" s="116">
        <v>65</v>
      </c>
      <c r="F921" s="87" t="s">
        <v>508</v>
      </c>
      <c r="G921" s="87" t="s">
        <v>967</v>
      </c>
      <c r="H921" s="87" t="s">
        <v>508</v>
      </c>
      <c r="I921" s="87">
        <v>21</v>
      </c>
    </row>
    <row r="922" spans="1:9" ht="15" customHeight="1" x14ac:dyDescent="0.25">
      <c r="A922" s="87" t="s">
        <v>23</v>
      </c>
      <c r="B922" s="87" t="s">
        <v>295</v>
      </c>
      <c r="C922" s="87">
        <v>1983</v>
      </c>
      <c r="D922" s="87" t="s">
        <v>15</v>
      </c>
      <c r="E922" s="116">
        <v>50</v>
      </c>
      <c r="F922" s="87" t="s">
        <v>508</v>
      </c>
      <c r="G922" s="87" t="s">
        <v>967</v>
      </c>
      <c r="H922" s="87" t="s">
        <v>508</v>
      </c>
      <c r="I922" s="87">
        <v>21</v>
      </c>
    </row>
    <row r="923" spans="1:9" ht="15" customHeight="1" x14ac:dyDescent="0.25">
      <c r="A923" s="87" t="s">
        <v>23</v>
      </c>
      <c r="B923" s="87" t="s">
        <v>295</v>
      </c>
      <c r="C923" s="87">
        <v>1984</v>
      </c>
      <c r="D923" s="87" t="s">
        <v>15</v>
      </c>
      <c r="E923" s="116">
        <v>300</v>
      </c>
      <c r="F923" s="87" t="s">
        <v>508</v>
      </c>
      <c r="G923" s="87" t="s">
        <v>967</v>
      </c>
      <c r="H923" s="87" t="s">
        <v>508</v>
      </c>
      <c r="I923" s="87">
        <v>21</v>
      </c>
    </row>
    <row r="924" spans="1:9" ht="15" customHeight="1" x14ac:dyDescent="0.25">
      <c r="A924" s="87" t="s">
        <v>23</v>
      </c>
      <c r="B924" s="87" t="s">
        <v>295</v>
      </c>
      <c r="C924" s="87">
        <v>1985</v>
      </c>
      <c r="D924" s="87" t="s">
        <v>15</v>
      </c>
      <c r="E924" s="116">
        <v>300</v>
      </c>
      <c r="F924" s="87" t="s">
        <v>508</v>
      </c>
      <c r="G924" s="87" t="s">
        <v>967</v>
      </c>
      <c r="H924" s="87" t="s">
        <v>508</v>
      </c>
      <c r="I924" s="87">
        <v>21</v>
      </c>
    </row>
    <row r="925" spans="1:9" ht="15" customHeight="1" x14ac:dyDescent="0.25">
      <c r="A925" s="87" t="s">
        <v>23</v>
      </c>
      <c r="B925" s="87" t="s">
        <v>295</v>
      </c>
      <c r="C925" s="87">
        <v>1986</v>
      </c>
      <c r="D925" s="87" t="s">
        <v>15</v>
      </c>
      <c r="E925" s="116">
        <v>300</v>
      </c>
      <c r="F925" s="87" t="s">
        <v>508</v>
      </c>
      <c r="G925" s="87" t="s">
        <v>967</v>
      </c>
      <c r="H925" s="87" t="s">
        <v>508</v>
      </c>
      <c r="I925" s="87">
        <v>21</v>
      </c>
    </row>
    <row r="926" spans="1:9" ht="15" customHeight="1" x14ac:dyDescent="0.25">
      <c r="A926" s="87" t="s">
        <v>23</v>
      </c>
      <c r="B926" s="87" t="s">
        <v>295</v>
      </c>
      <c r="C926" s="87">
        <v>1987</v>
      </c>
      <c r="D926" s="87" t="s">
        <v>15</v>
      </c>
      <c r="E926" s="116">
        <v>500</v>
      </c>
      <c r="F926" s="87" t="s">
        <v>508</v>
      </c>
      <c r="G926" s="87" t="s">
        <v>967</v>
      </c>
      <c r="H926" s="87" t="s">
        <v>508</v>
      </c>
      <c r="I926" s="87">
        <v>21</v>
      </c>
    </row>
    <row r="927" spans="1:9" ht="15" customHeight="1" x14ac:dyDescent="0.25">
      <c r="A927" s="87" t="s">
        <v>23</v>
      </c>
      <c r="B927" s="87" t="s">
        <v>295</v>
      </c>
      <c r="C927" s="87">
        <v>1988</v>
      </c>
      <c r="D927" s="87" t="s">
        <v>15</v>
      </c>
      <c r="E927" s="116">
        <v>300</v>
      </c>
      <c r="F927" s="87" t="s">
        <v>508</v>
      </c>
      <c r="G927" s="87" t="s">
        <v>967</v>
      </c>
      <c r="H927" s="87" t="s">
        <v>508</v>
      </c>
      <c r="I927" s="87">
        <v>21</v>
      </c>
    </row>
    <row r="928" spans="1:9" ht="15" customHeight="1" x14ac:dyDescent="0.25">
      <c r="A928" s="87" t="s">
        <v>23</v>
      </c>
      <c r="B928" s="87" t="s">
        <v>295</v>
      </c>
      <c r="C928" s="87">
        <v>1989</v>
      </c>
      <c r="D928" s="87" t="s">
        <v>15</v>
      </c>
      <c r="E928" s="116">
        <v>200</v>
      </c>
      <c r="F928" s="87" t="s">
        <v>508</v>
      </c>
      <c r="G928" s="87" t="s">
        <v>967</v>
      </c>
      <c r="H928" s="87" t="s">
        <v>508</v>
      </c>
      <c r="I928" s="87">
        <v>21</v>
      </c>
    </row>
    <row r="929" spans="1:9" ht="15" customHeight="1" x14ac:dyDescent="0.25">
      <c r="A929" s="87" t="s">
        <v>23</v>
      </c>
      <c r="B929" s="87" t="s">
        <v>295</v>
      </c>
      <c r="C929" s="87">
        <v>1990</v>
      </c>
      <c r="D929" s="87" t="s">
        <v>15</v>
      </c>
      <c r="E929" s="116">
        <v>75</v>
      </c>
      <c r="F929" s="87" t="s">
        <v>508</v>
      </c>
      <c r="G929" s="87" t="s">
        <v>967</v>
      </c>
      <c r="H929" s="87" t="s">
        <v>508</v>
      </c>
      <c r="I929" s="87">
        <v>21</v>
      </c>
    </row>
    <row r="930" spans="1:9" ht="15" customHeight="1" x14ac:dyDescent="0.25">
      <c r="A930" s="87" t="s">
        <v>23</v>
      </c>
      <c r="B930" s="87" t="s">
        <v>295</v>
      </c>
      <c r="C930" s="87">
        <v>1991</v>
      </c>
      <c r="D930" s="87" t="s">
        <v>15</v>
      </c>
      <c r="E930" s="116">
        <v>200</v>
      </c>
      <c r="F930" s="87" t="s">
        <v>508</v>
      </c>
      <c r="G930" s="87" t="s">
        <v>967</v>
      </c>
      <c r="H930" s="87" t="s">
        <v>508</v>
      </c>
      <c r="I930" s="87">
        <v>21</v>
      </c>
    </row>
    <row r="931" spans="1:9" ht="15" customHeight="1" x14ac:dyDescent="0.25">
      <c r="A931" s="87" t="s">
        <v>23</v>
      </c>
      <c r="B931" s="87" t="s">
        <v>295</v>
      </c>
      <c r="C931" s="87">
        <v>1992</v>
      </c>
      <c r="D931" s="87" t="s">
        <v>15</v>
      </c>
      <c r="E931" s="116">
        <v>10</v>
      </c>
      <c r="F931" s="87" t="s">
        <v>508</v>
      </c>
      <c r="G931" s="87" t="s">
        <v>967</v>
      </c>
      <c r="H931" s="87" t="s">
        <v>508</v>
      </c>
      <c r="I931" s="87">
        <v>21</v>
      </c>
    </row>
    <row r="932" spans="1:9" ht="15" customHeight="1" x14ac:dyDescent="0.25">
      <c r="A932" s="87" t="s">
        <v>23</v>
      </c>
      <c r="B932" s="87" t="s">
        <v>295</v>
      </c>
      <c r="C932" s="87">
        <v>1993</v>
      </c>
      <c r="D932" s="87" t="s">
        <v>15</v>
      </c>
      <c r="E932" s="116">
        <v>20</v>
      </c>
      <c r="F932" s="87" t="s">
        <v>508</v>
      </c>
      <c r="G932" s="87" t="s">
        <v>967</v>
      </c>
      <c r="H932" s="87" t="s">
        <v>508</v>
      </c>
      <c r="I932" s="87">
        <v>21</v>
      </c>
    </row>
    <row r="933" spans="1:9" ht="15" customHeight="1" x14ac:dyDescent="0.25">
      <c r="A933" s="87" t="s">
        <v>23</v>
      </c>
      <c r="B933" s="87" t="s">
        <v>295</v>
      </c>
      <c r="C933" s="87">
        <v>1994</v>
      </c>
      <c r="D933" s="87" t="s">
        <v>15</v>
      </c>
      <c r="E933" s="116">
        <v>200</v>
      </c>
      <c r="F933" s="87" t="s">
        <v>508</v>
      </c>
      <c r="G933" s="87" t="s">
        <v>967</v>
      </c>
      <c r="H933" s="87" t="s">
        <v>508</v>
      </c>
      <c r="I933" s="87">
        <v>21</v>
      </c>
    </row>
    <row r="934" spans="1:9" ht="15" customHeight="1" x14ac:dyDescent="0.25">
      <c r="A934" s="87" t="s">
        <v>23</v>
      </c>
      <c r="B934" s="87" t="s">
        <v>295</v>
      </c>
      <c r="C934" s="87">
        <v>1995</v>
      </c>
      <c r="D934" s="87" t="s">
        <v>15</v>
      </c>
      <c r="E934" s="116">
        <v>125</v>
      </c>
      <c r="F934" s="87" t="s">
        <v>508</v>
      </c>
      <c r="G934" s="87" t="s">
        <v>967</v>
      </c>
      <c r="H934" s="87" t="s">
        <v>508</v>
      </c>
      <c r="I934" s="87">
        <v>21</v>
      </c>
    </row>
    <row r="935" spans="1:9" ht="15" customHeight="1" x14ac:dyDescent="0.25">
      <c r="A935" s="87" t="s">
        <v>23</v>
      </c>
      <c r="B935" s="87" t="s">
        <v>295</v>
      </c>
      <c r="C935" s="87">
        <v>1996</v>
      </c>
      <c r="D935" s="87" t="s">
        <v>15</v>
      </c>
      <c r="E935" s="116">
        <v>167</v>
      </c>
      <c r="F935" s="87" t="s">
        <v>508</v>
      </c>
      <c r="G935" s="87" t="s">
        <v>967</v>
      </c>
      <c r="H935" s="87" t="s">
        <v>508</v>
      </c>
      <c r="I935" s="87">
        <v>21</v>
      </c>
    </row>
    <row r="936" spans="1:9" ht="15" customHeight="1" x14ac:dyDescent="0.25">
      <c r="A936" s="87" t="s">
        <v>23</v>
      </c>
      <c r="B936" s="87" t="s">
        <v>295</v>
      </c>
      <c r="C936" s="87">
        <v>1997</v>
      </c>
      <c r="D936" s="87" t="s">
        <v>15</v>
      </c>
      <c r="E936" s="116">
        <v>67</v>
      </c>
      <c r="F936" s="87" t="s">
        <v>508</v>
      </c>
      <c r="G936" s="87" t="s">
        <v>967</v>
      </c>
      <c r="H936" s="87" t="s">
        <v>508</v>
      </c>
      <c r="I936" s="87">
        <v>21</v>
      </c>
    </row>
    <row r="937" spans="1:9" ht="15" customHeight="1" x14ac:dyDescent="0.25">
      <c r="A937" s="87" t="s">
        <v>23</v>
      </c>
      <c r="B937" s="87" t="s">
        <v>295</v>
      </c>
      <c r="C937" s="87">
        <v>1998</v>
      </c>
      <c r="D937" s="87" t="s">
        <v>15</v>
      </c>
      <c r="E937" s="116">
        <v>191</v>
      </c>
      <c r="F937" s="87" t="s">
        <v>967</v>
      </c>
      <c r="G937" s="87" t="s">
        <v>272</v>
      </c>
      <c r="H937" s="87" t="s">
        <v>636</v>
      </c>
      <c r="I937" s="87">
        <v>21</v>
      </c>
    </row>
    <row r="938" spans="1:9" ht="15" customHeight="1" x14ac:dyDescent="0.25">
      <c r="A938" s="87" t="s">
        <v>23</v>
      </c>
      <c r="B938" s="87" t="s">
        <v>295</v>
      </c>
      <c r="C938" s="87">
        <v>1999</v>
      </c>
      <c r="D938" s="87" t="s">
        <v>15</v>
      </c>
      <c r="E938" s="116">
        <v>171</v>
      </c>
      <c r="F938" s="87" t="s">
        <v>967</v>
      </c>
      <c r="G938" s="87" t="s">
        <v>272</v>
      </c>
      <c r="H938" s="87" t="s">
        <v>637</v>
      </c>
      <c r="I938" s="87">
        <v>21</v>
      </c>
    </row>
    <row r="939" spans="1:9" ht="15" customHeight="1" x14ac:dyDescent="0.25">
      <c r="A939" s="87" t="s">
        <v>23</v>
      </c>
      <c r="B939" s="87" t="s">
        <v>295</v>
      </c>
      <c r="C939" s="87">
        <v>2000</v>
      </c>
      <c r="D939" s="87" t="s">
        <v>15</v>
      </c>
      <c r="E939" s="116">
        <v>160</v>
      </c>
      <c r="F939" s="87" t="s">
        <v>967</v>
      </c>
      <c r="G939" s="87" t="s">
        <v>289</v>
      </c>
      <c r="H939" s="87" t="s">
        <v>967</v>
      </c>
      <c r="I939" s="87">
        <v>21</v>
      </c>
    </row>
    <row r="940" spans="1:9" ht="15" customHeight="1" x14ac:dyDescent="0.25">
      <c r="A940" s="87" t="s">
        <v>23</v>
      </c>
      <c r="B940" s="87" t="s">
        <v>295</v>
      </c>
      <c r="C940" s="87">
        <v>2001</v>
      </c>
      <c r="D940" s="87" t="s">
        <v>15</v>
      </c>
      <c r="E940" s="116">
        <v>275</v>
      </c>
      <c r="F940" s="87" t="s">
        <v>967</v>
      </c>
      <c r="G940" s="87" t="s">
        <v>274</v>
      </c>
      <c r="H940" s="87" t="s">
        <v>638</v>
      </c>
      <c r="I940" s="87">
        <v>21</v>
      </c>
    </row>
    <row r="941" spans="1:9" ht="15" customHeight="1" x14ac:dyDescent="0.25">
      <c r="A941" s="87" t="s">
        <v>23</v>
      </c>
      <c r="B941" s="87" t="s">
        <v>295</v>
      </c>
      <c r="C941" s="87">
        <v>2002</v>
      </c>
      <c r="D941" s="87" t="s">
        <v>15</v>
      </c>
      <c r="E941" s="116">
        <v>292</v>
      </c>
      <c r="F941" s="87" t="s">
        <v>967</v>
      </c>
      <c r="G941" s="87" t="s">
        <v>967</v>
      </c>
      <c r="H941" s="87" t="s">
        <v>639</v>
      </c>
      <c r="I941" s="87">
        <v>21</v>
      </c>
    </row>
    <row r="942" spans="1:9" ht="15" customHeight="1" x14ac:dyDescent="0.25">
      <c r="A942" s="87" t="s">
        <v>23</v>
      </c>
      <c r="B942" s="87" t="s">
        <v>295</v>
      </c>
      <c r="C942" s="87">
        <v>2003</v>
      </c>
      <c r="D942" s="87" t="s">
        <v>15</v>
      </c>
      <c r="E942" s="116">
        <v>-1</v>
      </c>
      <c r="F942" s="87" t="s">
        <v>904</v>
      </c>
      <c r="G942" s="87" t="s">
        <v>272</v>
      </c>
      <c r="H942" s="87" t="s">
        <v>904</v>
      </c>
      <c r="I942" s="87">
        <v>21</v>
      </c>
    </row>
    <row r="943" spans="1:9" ht="15" customHeight="1" x14ac:dyDescent="0.25">
      <c r="A943" s="87" t="s">
        <v>23</v>
      </c>
      <c r="B943" s="87" t="s">
        <v>295</v>
      </c>
      <c r="C943" s="87">
        <v>2004</v>
      </c>
      <c r="D943" s="87" t="s">
        <v>15</v>
      </c>
      <c r="E943" s="116">
        <v>-1</v>
      </c>
      <c r="F943" s="87" t="s">
        <v>904</v>
      </c>
      <c r="G943" s="87" t="s">
        <v>272</v>
      </c>
      <c r="H943" s="87" t="s">
        <v>904</v>
      </c>
      <c r="I943" s="87">
        <v>21</v>
      </c>
    </row>
    <row r="944" spans="1:9" ht="15" customHeight="1" x14ac:dyDescent="0.25">
      <c r="A944" s="87" t="s">
        <v>23</v>
      </c>
      <c r="B944" s="87" t="s">
        <v>295</v>
      </c>
      <c r="C944" s="87">
        <v>2005</v>
      </c>
      <c r="D944" s="87" t="s">
        <v>15</v>
      </c>
      <c r="E944" s="116">
        <v>252</v>
      </c>
      <c r="F944" s="87" t="s">
        <v>967</v>
      </c>
      <c r="G944" s="87" t="s">
        <v>272</v>
      </c>
      <c r="H944" s="87" t="s">
        <v>640</v>
      </c>
      <c r="I944" s="87">
        <v>21</v>
      </c>
    </row>
    <row r="945" spans="1:9" ht="15" customHeight="1" x14ac:dyDescent="0.25">
      <c r="A945" s="87" t="s">
        <v>23</v>
      </c>
      <c r="B945" s="87" t="s">
        <v>295</v>
      </c>
      <c r="C945" s="87">
        <v>2006</v>
      </c>
      <c r="D945" s="87" t="s">
        <v>15</v>
      </c>
      <c r="E945" s="116">
        <v>118</v>
      </c>
      <c r="F945" s="87" t="s">
        <v>967</v>
      </c>
      <c r="G945" s="87" t="s">
        <v>272</v>
      </c>
      <c r="H945" s="87" t="s">
        <v>640</v>
      </c>
      <c r="I945" s="87">
        <v>21</v>
      </c>
    </row>
    <row r="946" spans="1:9" ht="15" customHeight="1" x14ac:dyDescent="0.25">
      <c r="A946" s="87" t="s">
        <v>23</v>
      </c>
      <c r="B946" s="87" t="s">
        <v>295</v>
      </c>
      <c r="C946" s="87">
        <v>2007</v>
      </c>
      <c r="D946" s="87" t="s">
        <v>15</v>
      </c>
      <c r="E946" s="116">
        <v>49</v>
      </c>
      <c r="F946" s="87" t="s">
        <v>967</v>
      </c>
      <c r="G946" s="87" t="s">
        <v>272</v>
      </c>
      <c r="H946" s="87" t="s">
        <v>967</v>
      </c>
      <c r="I946" s="87">
        <v>21</v>
      </c>
    </row>
    <row r="947" spans="1:9" ht="15" customHeight="1" x14ac:dyDescent="0.25">
      <c r="A947" s="87" t="s">
        <v>23</v>
      </c>
      <c r="B947" s="87" t="s">
        <v>295</v>
      </c>
      <c r="C947" s="87">
        <v>2008</v>
      </c>
      <c r="D947" s="87" t="s">
        <v>15</v>
      </c>
      <c r="E947" s="116">
        <v>295</v>
      </c>
      <c r="F947" s="87" t="s">
        <v>967</v>
      </c>
      <c r="G947" s="87" t="s">
        <v>272</v>
      </c>
      <c r="H947" s="87" t="s">
        <v>967</v>
      </c>
      <c r="I947" s="87">
        <v>21</v>
      </c>
    </row>
    <row r="948" spans="1:9" ht="15" customHeight="1" x14ac:dyDescent="0.25">
      <c r="A948" s="87" t="s">
        <v>23</v>
      </c>
      <c r="B948" s="87" t="s">
        <v>295</v>
      </c>
      <c r="C948" s="87">
        <v>2009</v>
      </c>
      <c r="D948" s="87" t="s">
        <v>15</v>
      </c>
      <c r="E948" s="116">
        <v>166</v>
      </c>
      <c r="F948" s="87" t="s">
        <v>967</v>
      </c>
      <c r="G948" s="87" t="s">
        <v>272</v>
      </c>
      <c r="H948" s="87" t="s">
        <v>967</v>
      </c>
      <c r="I948" s="87">
        <v>21</v>
      </c>
    </row>
    <row r="949" spans="1:9" ht="15" customHeight="1" x14ac:dyDescent="0.25">
      <c r="A949" s="87" t="s">
        <v>23</v>
      </c>
      <c r="B949" s="87" t="s">
        <v>295</v>
      </c>
      <c r="C949" s="87">
        <v>2010</v>
      </c>
      <c r="D949" s="87" t="s">
        <v>15</v>
      </c>
      <c r="E949" s="116">
        <v>274</v>
      </c>
      <c r="F949" s="87" t="s">
        <v>967</v>
      </c>
      <c r="G949" s="87" t="s">
        <v>272</v>
      </c>
      <c r="H949" s="87" t="s">
        <v>967</v>
      </c>
      <c r="I949" s="87">
        <v>21</v>
      </c>
    </row>
    <row r="950" spans="1:9" ht="15" customHeight="1" x14ac:dyDescent="0.25">
      <c r="A950" s="87" t="s">
        <v>23</v>
      </c>
      <c r="B950" s="87" t="s">
        <v>295</v>
      </c>
      <c r="C950" s="87">
        <v>2011</v>
      </c>
      <c r="D950" s="87" t="s">
        <v>15</v>
      </c>
      <c r="E950" s="116">
        <v>114</v>
      </c>
      <c r="F950" s="87" t="s">
        <v>967</v>
      </c>
      <c r="G950" s="87" t="s">
        <v>274</v>
      </c>
      <c r="H950" s="87" t="s">
        <v>641</v>
      </c>
      <c r="I950" s="87">
        <v>21</v>
      </c>
    </row>
    <row r="951" spans="1:9" ht="15" customHeight="1" x14ac:dyDescent="0.25">
      <c r="A951" s="87" t="s">
        <v>23</v>
      </c>
      <c r="B951" s="87" t="s">
        <v>295</v>
      </c>
      <c r="C951" s="87">
        <v>2012</v>
      </c>
      <c r="D951" s="87" t="s">
        <v>15</v>
      </c>
      <c r="E951" s="116">
        <v>77</v>
      </c>
      <c r="F951" s="87" t="s">
        <v>967</v>
      </c>
      <c r="G951" s="87" t="s">
        <v>274</v>
      </c>
      <c r="H951" s="87" t="s">
        <v>642</v>
      </c>
      <c r="I951" s="87">
        <v>21</v>
      </c>
    </row>
    <row r="952" spans="1:9" ht="15" customHeight="1" x14ac:dyDescent="0.25">
      <c r="A952" s="87" t="s">
        <v>23</v>
      </c>
      <c r="B952" s="87" t="s">
        <v>295</v>
      </c>
      <c r="C952" s="87">
        <v>2013</v>
      </c>
      <c r="D952" s="87" t="s">
        <v>15</v>
      </c>
      <c r="E952" s="116">
        <v>158</v>
      </c>
      <c r="F952" s="87" t="s">
        <v>967</v>
      </c>
      <c r="G952" s="87" t="s">
        <v>272</v>
      </c>
      <c r="H952" s="87" t="s">
        <v>967</v>
      </c>
      <c r="I952" s="87">
        <v>21</v>
      </c>
    </row>
    <row r="953" spans="1:9" ht="15" customHeight="1" x14ac:dyDescent="0.25">
      <c r="A953" s="87" t="s">
        <v>23</v>
      </c>
      <c r="B953" s="87" t="s">
        <v>295</v>
      </c>
      <c r="C953" s="87">
        <v>2014</v>
      </c>
      <c r="D953" s="87" t="s">
        <v>15</v>
      </c>
      <c r="E953" s="116">
        <v>125</v>
      </c>
      <c r="F953" s="87" t="s">
        <v>967</v>
      </c>
      <c r="G953" s="87" t="s">
        <v>272</v>
      </c>
      <c r="H953" s="87" t="s">
        <v>967</v>
      </c>
      <c r="I953" s="87">
        <v>21</v>
      </c>
    </row>
    <row r="954" spans="1:9" ht="15" customHeight="1" x14ac:dyDescent="0.25">
      <c r="A954" s="87" t="s">
        <v>23</v>
      </c>
      <c r="B954" s="87" t="s">
        <v>295</v>
      </c>
      <c r="C954" s="87">
        <v>2015</v>
      </c>
      <c r="D954" s="87" t="s">
        <v>15</v>
      </c>
      <c r="E954" s="116">
        <v>117</v>
      </c>
      <c r="F954" s="87" t="s">
        <v>967</v>
      </c>
      <c r="G954" s="87" t="s">
        <v>274</v>
      </c>
      <c r="H954" s="87" t="s">
        <v>967</v>
      </c>
      <c r="I954" s="87">
        <v>21</v>
      </c>
    </row>
    <row r="955" spans="1:9" ht="15" customHeight="1" x14ac:dyDescent="0.25">
      <c r="A955" s="87" t="s">
        <v>23</v>
      </c>
      <c r="B955" s="87" t="s">
        <v>295</v>
      </c>
      <c r="C955" s="87">
        <v>2016</v>
      </c>
      <c r="D955" s="87" t="s">
        <v>15</v>
      </c>
      <c r="E955" s="116">
        <v>49</v>
      </c>
      <c r="F955" s="87" t="s">
        <v>967</v>
      </c>
      <c r="G955" s="87" t="s">
        <v>274</v>
      </c>
      <c r="H955" s="87" t="s">
        <v>967</v>
      </c>
      <c r="I955" s="87">
        <v>21</v>
      </c>
    </row>
    <row r="956" spans="1:9" ht="15" customHeight="1" x14ac:dyDescent="0.25">
      <c r="A956" s="87" t="s">
        <v>23</v>
      </c>
      <c r="B956" s="87" t="s">
        <v>295</v>
      </c>
      <c r="C956" s="87">
        <v>2017</v>
      </c>
      <c r="D956" s="87" t="s">
        <v>15</v>
      </c>
      <c r="E956" s="116">
        <v>31</v>
      </c>
      <c r="F956" s="87" t="s">
        <v>967</v>
      </c>
      <c r="G956" s="87" t="s">
        <v>274</v>
      </c>
      <c r="H956" s="87" t="s">
        <v>643</v>
      </c>
      <c r="I956" s="87">
        <v>21</v>
      </c>
    </row>
    <row r="957" spans="1:9" ht="15" customHeight="1" x14ac:dyDescent="0.25">
      <c r="A957" s="87" t="s">
        <v>23</v>
      </c>
      <c r="B957" s="87" t="s">
        <v>295</v>
      </c>
      <c r="C957" s="87">
        <v>2018</v>
      </c>
      <c r="D957" s="87" t="s">
        <v>15</v>
      </c>
      <c r="E957" s="116">
        <v>63</v>
      </c>
      <c r="F957" s="87" t="s">
        <v>967</v>
      </c>
      <c r="G957" s="87" t="s">
        <v>274</v>
      </c>
      <c r="H957" s="87" t="s">
        <v>955</v>
      </c>
      <c r="I957" s="87">
        <v>21</v>
      </c>
    </row>
    <row r="958" spans="1:9" ht="15" customHeight="1" x14ac:dyDescent="0.25">
      <c r="A958" s="87" t="s">
        <v>23</v>
      </c>
      <c r="B958" s="87" t="s">
        <v>295</v>
      </c>
      <c r="C958" s="87">
        <v>2019</v>
      </c>
      <c r="D958" s="87" t="s">
        <v>15</v>
      </c>
      <c r="E958" s="116">
        <v>30</v>
      </c>
      <c r="F958" s="87" t="s">
        <v>967</v>
      </c>
      <c r="G958" s="87" t="s">
        <v>274</v>
      </c>
      <c r="H958" s="87" t="s">
        <v>977</v>
      </c>
      <c r="I958" s="87">
        <v>21</v>
      </c>
    </row>
    <row r="959" spans="1:9" ht="15" customHeight="1" x14ac:dyDescent="0.25">
      <c r="A959" s="87" t="s">
        <v>23</v>
      </c>
      <c r="B959" s="87" t="s">
        <v>295</v>
      </c>
      <c r="C959" s="87">
        <v>2020</v>
      </c>
      <c r="D959" s="87" t="s">
        <v>15</v>
      </c>
      <c r="E959" s="116">
        <v>-1</v>
      </c>
      <c r="F959" s="87" t="s">
        <v>967</v>
      </c>
      <c r="G959" s="87" t="s">
        <v>272</v>
      </c>
      <c r="H959" s="87" t="s">
        <v>1017</v>
      </c>
      <c r="I959" s="87">
        <v>21</v>
      </c>
    </row>
    <row r="960" spans="1:9" ht="15" customHeight="1" x14ac:dyDescent="0.25">
      <c r="A960" s="87" t="s">
        <v>23</v>
      </c>
      <c r="B960" s="87" t="s">
        <v>295</v>
      </c>
      <c r="C960" s="87">
        <v>2021</v>
      </c>
      <c r="D960" s="87" t="s">
        <v>15</v>
      </c>
      <c r="E960" s="116">
        <v>69</v>
      </c>
      <c r="F960" s="87" t="s">
        <v>967</v>
      </c>
      <c r="G960" s="87" t="s">
        <v>272</v>
      </c>
      <c r="H960" s="87" t="s">
        <v>967</v>
      </c>
      <c r="I960" s="87">
        <v>21</v>
      </c>
    </row>
    <row r="961" spans="1:9" ht="15" customHeight="1" x14ac:dyDescent="0.25">
      <c r="A961" s="87" t="s">
        <v>23</v>
      </c>
      <c r="B961" s="87" t="s">
        <v>295</v>
      </c>
      <c r="C961" s="87">
        <v>2022</v>
      </c>
      <c r="D961" s="87" t="s">
        <v>15</v>
      </c>
      <c r="E961" s="116">
        <v>142</v>
      </c>
      <c r="F961" s="87" t="s">
        <v>967</v>
      </c>
      <c r="G961" s="87" t="s">
        <v>272</v>
      </c>
      <c r="H961" s="87" t="s">
        <v>967</v>
      </c>
      <c r="I961" s="87">
        <v>21</v>
      </c>
    </row>
    <row r="962" spans="1:9" ht="15" customHeight="1" x14ac:dyDescent="0.25">
      <c r="A962" s="87" t="s">
        <v>23</v>
      </c>
      <c r="B962" s="87" t="s">
        <v>231</v>
      </c>
      <c r="C962" s="87">
        <v>1975</v>
      </c>
      <c r="D962" s="87" t="s">
        <v>15</v>
      </c>
      <c r="E962" s="116">
        <v>200</v>
      </c>
      <c r="F962" s="87" t="s">
        <v>508</v>
      </c>
      <c r="G962" s="87" t="s">
        <v>967</v>
      </c>
      <c r="H962" s="87" t="s">
        <v>508</v>
      </c>
      <c r="I962" s="87">
        <v>27</v>
      </c>
    </row>
    <row r="963" spans="1:9" ht="15" customHeight="1" x14ac:dyDescent="0.25">
      <c r="A963" s="87" t="s">
        <v>23</v>
      </c>
      <c r="B963" s="87" t="s">
        <v>231</v>
      </c>
      <c r="C963" s="87">
        <v>1976</v>
      </c>
      <c r="D963" s="87" t="s">
        <v>15</v>
      </c>
      <c r="E963" s="116">
        <v>300</v>
      </c>
      <c r="F963" s="87" t="s">
        <v>508</v>
      </c>
      <c r="G963" s="87" t="s">
        <v>967</v>
      </c>
      <c r="H963" s="87" t="s">
        <v>508</v>
      </c>
      <c r="I963" s="87">
        <v>27</v>
      </c>
    </row>
    <row r="964" spans="1:9" ht="15" customHeight="1" x14ac:dyDescent="0.25">
      <c r="A964" s="87" t="s">
        <v>23</v>
      </c>
      <c r="B964" s="87" t="s">
        <v>231</v>
      </c>
      <c r="C964" s="87">
        <v>1977</v>
      </c>
      <c r="D964" s="87" t="s">
        <v>15</v>
      </c>
      <c r="E964" s="116">
        <v>200</v>
      </c>
      <c r="F964" s="87" t="s">
        <v>508</v>
      </c>
      <c r="G964" s="87" t="s">
        <v>967</v>
      </c>
      <c r="H964" s="87" t="s">
        <v>508</v>
      </c>
      <c r="I964" s="87">
        <v>27</v>
      </c>
    </row>
    <row r="965" spans="1:9" ht="15" customHeight="1" x14ac:dyDescent="0.25">
      <c r="A965" s="87" t="s">
        <v>23</v>
      </c>
      <c r="B965" s="87" t="s">
        <v>231</v>
      </c>
      <c r="C965" s="87">
        <v>1978</v>
      </c>
      <c r="D965" s="87" t="s">
        <v>15</v>
      </c>
      <c r="E965" s="116">
        <v>300</v>
      </c>
      <c r="F965" s="87" t="s">
        <v>508</v>
      </c>
      <c r="G965" s="87" t="s">
        <v>967</v>
      </c>
      <c r="H965" s="87" t="s">
        <v>508</v>
      </c>
      <c r="I965" s="87">
        <v>27</v>
      </c>
    </row>
    <row r="966" spans="1:9" ht="15" customHeight="1" x14ac:dyDescent="0.25">
      <c r="A966" s="87" t="s">
        <v>23</v>
      </c>
      <c r="B966" s="87" t="s">
        <v>231</v>
      </c>
      <c r="C966" s="87">
        <v>1979</v>
      </c>
      <c r="D966" s="87" t="s">
        <v>15</v>
      </c>
      <c r="E966" s="116">
        <v>350</v>
      </c>
      <c r="F966" s="87" t="s">
        <v>508</v>
      </c>
      <c r="G966" s="87" t="s">
        <v>967</v>
      </c>
      <c r="H966" s="87" t="s">
        <v>508</v>
      </c>
      <c r="I966" s="87">
        <v>27</v>
      </c>
    </row>
    <row r="967" spans="1:9" ht="15" customHeight="1" x14ac:dyDescent="0.25">
      <c r="A967" s="87" t="s">
        <v>23</v>
      </c>
      <c r="B967" s="87" t="s">
        <v>231</v>
      </c>
      <c r="C967" s="87">
        <v>1980</v>
      </c>
      <c r="D967" s="87" t="s">
        <v>15</v>
      </c>
      <c r="E967" s="116">
        <v>350</v>
      </c>
      <c r="F967" s="87" t="s">
        <v>508</v>
      </c>
      <c r="G967" s="87" t="s">
        <v>967</v>
      </c>
      <c r="H967" s="87" t="s">
        <v>508</v>
      </c>
      <c r="I967" s="87">
        <v>27</v>
      </c>
    </row>
    <row r="968" spans="1:9" ht="15" customHeight="1" x14ac:dyDescent="0.25">
      <c r="A968" s="87" t="s">
        <v>23</v>
      </c>
      <c r="B968" s="87" t="s">
        <v>231</v>
      </c>
      <c r="C968" s="87">
        <v>1981</v>
      </c>
      <c r="D968" s="87" t="s">
        <v>15</v>
      </c>
      <c r="E968" s="116">
        <v>200</v>
      </c>
      <c r="F968" s="87" t="s">
        <v>508</v>
      </c>
      <c r="G968" s="87" t="s">
        <v>967</v>
      </c>
      <c r="H968" s="87" t="s">
        <v>508</v>
      </c>
      <c r="I968" s="87">
        <v>27</v>
      </c>
    </row>
    <row r="969" spans="1:9" ht="15" customHeight="1" x14ac:dyDescent="0.25">
      <c r="A969" s="87" t="s">
        <v>23</v>
      </c>
      <c r="B969" s="87" t="s">
        <v>231</v>
      </c>
      <c r="C969" s="87">
        <v>1982</v>
      </c>
      <c r="D969" s="87" t="s">
        <v>15</v>
      </c>
      <c r="E969" s="116">
        <v>365</v>
      </c>
      <c r="F969" s="87" t="s">
        <v>508</v>
      </c>
      <c r="G969" s="87" t="s">
        <v>967</v>
      </c>
      <c r="H969" s="87" t="s">
        <v>508</v>
      </c>
      <c r="I969" s="87">
        <v>27</v>
      </c>
    </row>
    <row r="970" spans="1:9" ht="15" customHeight="1" x14ac:dyDescent="0.25">
      <c r="A970" s="87" t="s">
        <v>23</v>
      </c>
      <c r="B970" s="87" t="s">
        <v>231</v>
      </c>
      <c r="C970" s="87">
        <v>1983</v>
      </c>
      <c r="D970" s="87" t="s">
        <v>15</v>
      </c>
      <c r="E970" s="116">
        <v>300</v>
      </c>
      <c r="F970" s="87" t="s">
        <v>508</v>
      </c>
      <c r="G970" s="87" t="s">
        <v>967</v>
      </c>
      <c r="H970" s="87" t="s">
        <v>508</v>
      </c>
      <c r="I970" s="87">
        <v>27</v>
      </c>
    </row>
    <row r="971" spans="1:9" ht="15" customHeight="1" x14ac:dyDescent="0.25">
      <c r="A971" s="87" t="s">
        <v>23</v>
      </c>
      <c r="B971" s="87" t="s">
        <v>231</v>
      </c>
      <c r="C971" s="87">
        <v>1984</v>
      </c>
      <c r="D971" s="87" t="s">
        <v>15</v>
      </c>
      <c r="E971" s="116">
        <v>250</v>
      </c>
      <c r="F971" s="87" t="s">
        <v>508</v>
      </c>
      <c r="G971" s="87" t="s">
        <v>967</v>
      </c>
      <c r="H971" s="87" t="s">
        <v>508</v>
      </c>
      <c r="I971" s="87">
        <v>27</v>
      </c>
    </row>
    <row r="972" spans="1:9" ht="15" customHeight="1" x14ac:dyDescent="0.25">
      <c r="A972" s="87" t="s">
        <v>23</v>
      </c>
      <c r="B972" s="87" t="s">
        <v>231</v>
      </c>
      <c r="C972" s="87">
        <v>1985</v>
      </c>
      <c r="D972" s="87" t="s">
        <v>15</v>
      </c>
      <c r="E972" s="116">
        <v>250</v>
      </c>
      <c r="F972" s="87" t="s">
        <v>508</v>
      </c>
      <c r="G972" s="87" t="s">
        <v>967</v>
      </c>
      <c r="H972" s="87" t="s">
        <v>508</v>
      </c>
      <c r="I972" s="87">
        <v>27</v>
      </c>
    </row>
    <row r="973" spans="1:9" ht="15" customHeight="1" x14ac:dyDescent="0.25">
      <c r="A973" s="87" t="s">
        <v>23</v>
      </c>
      <c r="B973" s="87" t="s">
        <v>231</v>
      </c>
      <c r="C973" s="87">
        <v>1986</v>
      </c>
      <c r="D973" s="87" t="s">
        <v>15</v>
      </c>
      <c r="E973" s="116">
        <v>250</v>
      </c>
      <c r="F973" s="87" t="s">
        <v>508</v>
      </c>
      <c r="G973" s="87" t="s">
        <v>967</v>
      </c>
      <c r="H973" s="87" t="s">
        <v>508</v>
      </c>
      <c r="I973" s="87">
        <v>27</v>
      </c>
    </row>
    <row r="974" spans="1:9" ht="15" customHeight="1" x14ac:dyDescent="0.25">
      <c r="A974" s="87" t="s">
        <v>23</v>
      </c>
      <c r="B974" s="87" t="s">
        <v>231</v>
      </c>
      <c r="C974" s="87">
        <v>1987</v>
      </c>
      <c r="D974" s="87" t="s">
        <v>15</v>
      </c>
      <c r="E974" s="116">
        <v>250</v>
      </c>
      <c r="F974" s="87" t="s">
        <v>508</v>
      </c>
      <c r="G974" s="87" t="s">
        <v>967</v>
      </c>
      <c r="H974" s="87" t="s">
        <v>508</v>
      </c>
      <c r="I974" s="87">
        <v>27</v>
      </c>
    </row>
    <row r="975" spans="1:9" ht="15" customHeight="1" x14ac:dyDescent="0.25">
      <c r="A975" s="87" t="s">
        <v>23</v>
      </c>
      <c r="B975" s="87" t="s">
        <v>231</v>
      </c>
      <c r="C975" s="87">
        <v>1988</v>
      </c>
      <c r="D975" s="87" t="s">
        <v>15</v>
      </c>
      <c r="E975" s="116">
        <v>250</v>
      </c>
      <c r="F975" s="87" t="s">
        <v>508</v>
      </c>
      <c r="G975" s="87" t="s">
        <v>967</v>
      </c>
      <c r="H975" s="87" t="s">
        <v>508</v>
      </c>
      <c r="I975" s="87">
        <v>27</v>
      </c>
    </row>
    <row r="976" spans="1:9" ht="15" customHeight="1" x14ac:dyDescent="0.25">
      <c r="A976" s="87" t="s">
        <v>23</v>
      </c>
      <c r="B976" s="87" t="s">
        <v>231</v>
      </c>
      <c r="C976" s="87">
        <v>1989</v>
      </c>
      <c r="D976" s="87" t="s">
        <v>15</v>
      </c>
      <c r="E976" s="116">
        <v>400</v>
      </c>
      <c r="F976" s="87" t="s">
        <v>508</v>
      </c>
      <c r="G976" s="87" t="s">
        <v>967</v>
      </c>
      <c r="H976" s="87" t="s">
        <v>508</v>
      </c>
      <c r="I976" s="87">
        <v>27</v>
      </c>
    </row>
    <row r="977" spans="1:9" ht="15" customHeight="1" x14ac:dyDescent="0.25">
      <c r="A977" s="87" t="s">
        <v>23</v>
      </c>
      <c r="B977" s="87" t="s">
        <v>231</v>
      </c>
      <c r="C977" s="87">
        <v>1990</v>
      </c>
      <c r="D977" s="87" t="s">
        <v>15</v>
      </c>
      <c r="E977" s="116">
        <v>1000</v>
      </c>
      <c r="F977" s="87" t="s">
        <v>508</v>
      </c>
      <c r="G977" s="87" t="s">
        <v>967</v>
      </c>
      <c r="H977" s="87" t="s">
        <v>508</v>
      </c>
      <c r="I977" s="87">
        <v>27</v>
      </c>
    </row>
    <row r="978" spans="1:9" ht="15" customHeight="1" x14ac:dyDescent="0.25">
      <c r="A978" s="87" t="s">
        <v>23</v>
      </c>
      <c r="B978" s="87" t="s">
        <v>231</v>
      </c>
      <c r="C978" s="87">
        <v>1991</v>
      </c>
      <c r="D978" s="87" t="s">
        <v>15</v>
      </c>
      <c r="E978" s="116">
        <v>500</v>
      </c>
      <c r="F978" s="87" t="s">
        <v>508</v>
      </c>
      <c r="G978" s="87" t="s">
        <v>967</v>
      </c>
      <c r="H978" s="87" t="s">
        <v>508</v>
      </c>
      <c r="I978" s="87">
        <v>27</v>
      </c>
    </row>
    <row r="979" spans="1:9" ht="15" customHeight="1" x14ac:dyDescent="0.25">
      <c r="A979" s="87" t="s">
        <v>23</v>
      </c>
      <c r="B979" s="87" t="s">
        <v>231</v>
      </c>
      <c r="C979" s="87">
        <v>1992</v>
      </c>
      <c r="D979" s="87" t="s">
        <v>15</v>
      </c>
      <c r="E979" s="116">
        <v>400</v>
      </c>
      <c r="F979" s="87" t="s">
        <v>508</v>
      </c>
      <c r="G979" s="87" t="s">
        <v>967</v>
      </c>
      <c r="H979" s="87" t="s">
        <v>508</v>
      </c>
      <c r="I979" s="87">
        <v>27</v>
      </c>
    </row>
    <row r="980" spans="1:9" ht="15" customHeight="1" x14ac:dyDescent="0.25">
      <c r="A980" s="87" t="s">
        <v>23</v>
      </c>
      <c r="B980" s="87" t="s">
        <v>231</v>
      </c>
      <c r="C980" s="87">
        <v>1993</v>
      </c>
      <c r="D980" s="87" t="s">
        <v>15</v>
      </c>
      <c r="E980" s="116">
        <v>200</v>
      </c>
      <c r="F980" s="87" t="s">
        <v>508</v>
      </c>
      <c r="G980" s="87" t="s">
        <v>967</v>
      </c>
      <c r="H980" s="87" t="s">
        <v>508</v>
      </c>
      <c r="I980" s="87">
        <v>27</v>
      </c>
    </row>
    <row r="981" spans="1:9" ht="15" customHeight="1" x14ac:dyDescent="0.25">
      <c r="A981" s="87" t="s">
        <v>23</v>
      </c>
      <c r="B981" s="87" t="s">
        <v>231</v>
      </c>
      <c r="C981" s="87">
        <v>1994</v>
      </c>
      <c r="D981" s="87" t="s">
        <v>15</v>
      </c>
      <c r="E981" s="116">
        <v>4154</v>
      </c>
      <c r="F981" s="87" t="s">
        <v>508</v>
      </c>
      <c r="G981" s="87" t="s">
        <v>967</v>
      </c>
      <c r="H981" s="87" t="s">
        <v>508</v>
      </c>
      <c r="I981" s="87">
        <v>27</v>
      </c>
    </row>
    <row r="982" spans="1:9" ht="15" customHeight="1" x14ac:dyDescent="0.25">
      <c r="A982" s="87" t="s">
        <v>23</v>
      </c>
      <c r="B982" s="87" t="s">
        <v>231</v>
      </c>
      <c r="C982" s="87">
        <v>1995</v>
      </c>
      <c r="D982" s="87" t="s">
        <v>15</v>
      </c>
      <c r="E982" s="116">
        <v>185</v>
      </c>
      <c r="F982" s="87" t="s">
        <v>508</v>
      </c>
      <c r="G982" s="87" t="s">
        <v>967</v>
      </c>
      <c r="H982" s="87" t="s">
        <v>508</v>
      </c>
      <c r="I982" s="87">
        <v>27</v>
      </c>
    </row>
    <row r="983" spans="1:9" ht="15" customHeight="1" x14ac:dyDescent="0.25">
      <c r="A983" s="87" t="s">
        <v>23</v>
      </c>
      <c r="B983" s="87" t="s">
        <v>231</v>
      </c>
      <c r="C983" s="87">
        <v>1996</v>
      </c>
      <c r="D983" s="87" t="s">
        <v>15</v>
      </c>
      <c r="E983" s="116">
        <v>400</v>
      </c>
      <c r="F983" s="87" t="s">
        <v>508</v>
      </c>
      <c r="G983" s="87" t="s">
        <v>967</v>
      </c>
      <c r="H983" s="87" t="s">
        <v>508</v>
      </c>
      <c r="I983" s="87">
        <v>27</v>
      </c>
    </row>
    <row r="984" spans="1:9" ht="15" customHeight="1" x14ac:dyDescent="0.25">
      <c r="A984" s="87" t="s">
        <v>23</v>
      </c>
      <c r="B984" s="87" t="s">
        <v>231</v>
      </c>
      <c r="C984" s="87">
        <v>1997</v>
      </c>
      <c r="D984" s="87" t="s">
        <v>15</v>
      </c>
      <c r="E984" s="116">
        <v>115</v>
      </c>
      <c r="F984" s="87" t="s">
        <v>508</v>
      </c>
      <c r="G984" s="87" t="s">
        <v>967</v>
      </c>
      <c r="H984" s="87" t="s">
        <v>508</v>
      </c>
      <c r="I984" s="87">
        <v>27</v>
      </c>
    </row>
    <row r="985" spans="1:9" ht="15" customHeight="1" x14ac:dyDescent="0.25">
      <c r="A985" s="87" t="s">
        <v>23</v>
      </c>
      <c r="B985" s="87" t="s">
        <v>231</v>
      </c>
      <c r="C985" s="87">
        <v>1998</v>
      </c>
      <c r="D985" s="87" t="s">
        <v>15</v>
      </c>
      <c r="E985" s="116">
        <v>22</v>
      </c>
      <c r="F985" s="87" t="s">
        <v>967</v>
      </c>
      <c r="G985" s="87" t="s">
        <v>272</v>
      </c>
      <c r="H985" s="87" t="s">
        <v>967</v>
      </c>
      <c r="I985" s="87">
        <v>27</v>
      </c>
    </row>
    <row r="986" spans="1:9" ht="15" customHeight="1" x14ac:dyDescent="0.25">
      <c r="A986" s="87" t="s">
        <v>23</v>
      </c>
      <c r="B986" s="87" t="s">
        <v>231</v>
      </c>
      <c r="C986" s="87">
        <v>1999</v>
      </c>
      <c r="D986" s="87" t="s">
        <v>15</v>
      </c>
      <c r="E986" s="116">
        <v>22</v>
      </c>
      <c r="F986" s="87" t="s">
        <v>967</v>
      </c>
      <c r="G986" s="87" t="s">
        <v>272</v>
      </c>
      <c r="H986" s="87" t="s">
        <v>967</v>
      </c>
      <c r="I986" s="87">
        <v>27</v>
      </c>
    </row>
    <row r="987" spans="1:9" ht="15" customHeight="1" x14ac:dyDescent="0.25">
      <c r="A987" s="87" t="s">
        <v>23</v>
      </c>
      <c r="B987" s="87" t="s">
        <v>231</v>
      </c>
      <c r="C987" s="87">
        <v>2000</v>
      </c>
      <c r="D987" s="87" t="s">
        <v>15</v>
      </c>
      <c r="E987" s="116">
        <v>174</v>
      </c>
      <c r="F987" s="87" t="s">
        <v>967</v>
      </c>
      <c r="G987" s="87" t="s">
        <v>272</v>
      </c>
      <c r="H987" s="87" t="s">
        <v>967</v>
      </c>
      <c r="I987" s="87">
        <v>27</v>
      </c>
    </row>
    <row r="988" spans="1:9" ht="15" customHeight="1" x14ac:dyDescent="0.25">
      <c r="A988" s="87" t="s">
        <v>23</v>
      </c>
      <c r="B988" s="87" t="s">
        <v>231</v>
      </c>
      <c r="C988" s="87">
        <v>2001</v>
      </c>
      <c r="D988" s="87" t="s">
        <v>15</v>
      </c>
      <c r="E988" s="116">
        <v>281</v>
      </c>
      <c r="F988" s="87" t="s">
        <v>967</v>
      </c>
      <c r="G988" s="87" t="s">
        <v>272</v>
      </c>
      <c r="H988" s="87" t="s">
        <v>967</v>
      </c>
      <c r="I988" s="87">
        <v>27</v>
      </c>
    </row>
    <row r="989" spans="1:9" ht="15" customHeight="1" x14ac:dyDescent="0.25">
      <c r="A989" s="87" t="s">
        <v>23</v>
      </c>
      <c r="B989" s="87" t="s">
        <v>231</v>
      </c>
      <c r="C989" s="87">
        <v>2002</v>
      </c>
      <c r="D989" s="87" t="s">
        <v>15</v>
      </c>
      <c r="E989" s="116">
        <v>380</v>
      </c>
      <c r="F989" s="87" t="s">
        <v>967</v>
      </c>
      <c r="G989" s="87" t="s">
        <v>272</v>
      </c>
      <c r="H989" s="87" t="s">
        <v>967</v>
      </c>
      <c r="I989" s="87">
        <v>27</v>
      </c>
    </row>
    <row r="990" spans="1:9" ht="15" customHeight="1" x14ac:dyDescent="0.25">
      <c r="A990" s="87" t="s">
        <v>23</v>
      </c>
      <c r="B990" s="87" t="s">
        <v>231</v>
      </c>
      <c r="C990" s="87">
        <v>2003</v>
      </c>
      <c r="D990" s="87" t="s">
        <v>15</v>
      </c>
      <c r="E990" s="116">
        <v>245</v>
      </c>
      <c r="F990" s="87" t="s">
        <v>967</v>
      </c>
      <c r="G990" s="87" t="s">
        <v>272</v>
      </c>
      <c r="H990" s="87" t="s">
        <v>967</v>
      </c>
      <c r="I990" s="87">
        <v>27</v>
      </c>
    </row>
    <row r="991" spans="1:9" ht="15" customHeight="1" x14ac:dyDescent="0.25">
      <c r="A991" s="87" t="s">
        <v>23</v>
      </c>
      <c r="B991" s="87" t="s">
        <v>231</v>
      </c>
      <c r="C991" s="87">
        <v>2004</v>
      </c>
      <c r="D991" s="87" t="s">
        <v>15</v>
      </c>
      <c r="E991" s="116">
        <v>375</v>
      </c>
      <c r="F991" s="87" t="s">
        <v>967</v>
      </c>
      <c r="G991" s="87" t="s">
        <v>272</v>
      </c>
      <c r="H991" s="87" t="s">
        <v>967</v>
      </c>
      <c r="I991" s="87">
        <v>27</v>
      </c>
    </row>
    <row r="992" spans="1:9" ht="15" customHeight="1" x14ac:dyDescent="0.25">
      <c r="A992" s="87" t="s">
        <v>23</v>
      </c>
      <c r="B992" s="87" t="s">
        <v>231</v>
      </c>
      <c r="C992" s="87">
        <v>2005</v>
      </c>
      <c r="D992" s="87" t="s">
        <v>15</v>
      </c>
      <c r="E992" s="116">
        <v>509</v>
      </c>
      <c r="F992" s="87" t="s">
        <v>967</v>
      </c>
      <c r="G992" s="87" t="s">
        <v>272</v>
      </c>
      <c r="H992" s="87" t="s">
        <v>967</v>
      </c>
      <c r="I992" s="87">
        <v>27</v>
      </c>
    </row>
    <row r="993" spans="1:9" ht="15" customHeight="1" x14ac:dyDescent="0.25">
      <c r="A993" s="87" t="s">
        <v>23</v>
      </c>
      <c r="B993" s="87" t="s">
        <v>231</v>
      </c>
      <c r="C993" s="87">
        <v>2006</v>
      </c>
      <c r="D993" s="87" t="s">
        <v>15</v>
      </c>
      <c r="E993" s="116">
        <v>344</v>
      </c>
      <c r="F993" s="87" t="s">
        <v>967</v>
      </c>
      <c r="G993" s="87" t="s">
        <v>272</v>
      </c>
      <c r="H993" s="87" t="s">
        <v>967</v>
      </c>
      <c r="I993" s="87">
        <v>27</v>
      </c>
    </row>
    <row r="994" spans="1:9" ht="15" customHeight="1" x14ac:dyDescent="0.25">
      <c r="A994" s="87" t="s">
        <v>23</v>
      </c>
      <c r="B994" s="87" t="s">
        <v>231</v>
      </c>
      <c r="C994" s="87">
        <v>2007</v>
      </c>
      <c r="D994" s="87" t="s">
        <v>15</v>
      </c>
      <c r="E994" s="116">
        <v>51</v>
      </c>
      <c r="F994" s="87" t="s">
        <v>967</v>
      </c>
      <c r="G994" s="87" t="s">
        <v>272</v>
      </c>
      <c r="H994" s="87" t="s">
        <v>967</v>
      </c>
      <c r="I994" s="87">
        <v>27</v>
      </c>
    </row>
    <row r="995" spans="1:9" ht="15" customHeight="1" x14ac:dyDescent="0.25">
      <c r="A995" s="87" t="s">
        <v>23</v>
      </c>
      <c r="B995" s="87" t="s">
        <v>231</v>
      </c>
      <c r="C995" s="87">
        <v>2008</v>
      </c>
      <c r="D995" s="87" t="s">
        <v>15</v>
      </c>
      <c r="E995" s="116">
        <v>102</v>
      </c>
      <c r="F995" s="87" t="s">
        <v>967</v>
      </c>
      <c r="G995" s="87" t="s">
        <v>272</v>
      </c>
      <c r="H995" s="87" t="s">
        <v>967</v>
      </c>
      <c r="I995" s="87">
        <v>27</v>
      </c>
    </row>
    <row r="996" spans="1:9" ht="15" customHeight="1" x14ac:dyDescent="0.25">
      <c r="A996" s="87" t="s">
        <v>23</v>
      </c>
      <c r="B996" s="87" t="s">
        <v>231</v>
      </c>
      <c r="C996" s="87">
        <v>2009</v>
      </c>
      <c r="D996" s="87" t="s">
        <v>15</v>
      </c>
      <c r="E996" s="116">
        <v>209</v>
      </c>
      <c r="F996" s="87" t="s">
        <v>967</v>
      </c>
      <c r="G996" s="87" t="s">
        <v>272</v>
      </c>
      <c r="H996" s="87" t="s">
        <v>967</v>
      </c>
      <c r="I996" s="87">
        <v>27</v>
      </c>
    </row>
    <row r="997" spans="1:9" ht="15" customHeight="1" x14ac:dyDescent="0.25">
      <c r="A997" s="87" t="s">
        <v>23</v>
      </c>
      <c r="B997" s="87" t="s">
        <v>231</v>
      </c>
      <c r="C997" s="87">
        <v>2010</v>
      </c>
      <c r="D997" s="87" t="s">
        <v>15</v>
      </c>
      <c r="E997" s="116">
        <v>237</v>
      </c>
      <c r="F997" s="87" t="s">
        <v>967</v>
      </c>
      <c r="G997" s="87" t="s">
        <v>272</v>
      </c>
      <c r="H997" s="87" t="s">
        <v>669</v>
      </c>
      <c r="I997" s="87">
        <v>27</v>
      </c>
    </row>
    <row r="998" spans="1:9" ht="15" customHeight="1" x14ac:dyDescent="0.25">
      <c r="A998" s="87" t="s">
        <v>23</v>
      </c>
      <c r="B998" s="87" t="s">
        <v>231</v>
      </c>
      <c r="C998" s="87">
        <v>2011</v>
      </c>
      <c r="D998" s="87" t="s">
        <v>15</v>
      </c>
      <c r="E998" s="116">
        <v>143</v>
      </c>
      <c r="F998" s="87" t="s">
        <v>967</v>
      </c>
      <c r="G998" s="87" t="s">
        <v>272</v>
      </c>
      <c r="H998" s="87" t="s">
        <v>967</v>
      </c>
      <c r="I998" s="87">
        <v>27</v>
      </c>
    </row>
    <row r="999" spans="1:9" ht="15" customHeight="1" x14ac:dyDescent="0.25">
      <c r="A999" s="87" t="s">
        <v>23</v>
      </c>
      <c r="B999" s="87" t="s">
        <v>231</v>
      </c>
      <c r="C999" s="87">
        <v>2012</v>
      </c>
      <c r="D999" s="87" t="s">
        <v>15</v>
      </c>
      <c r="E999" s="116">
        <v>46</v>
      </c>
      <c r="F999" s="87" t="s">
        <v>967</v>
      </c>
      <c r="G999" s="87" t="s">
        <v>272</v>
      </c>
      <c r="H999" s="87" t="s">
        <v>967</v>
      </c>
      <c r="I999" s="87">
        <v>27</v>
      </c>
    </row>
    <row r="1000" spans="1:9" ht="15" customHeight="1" x14ac:dyDescent="0.25">
      <c r="A1000" s="87" t="s">
        <v>23</v>
      </c>
      <c r="B1000" s="87" t="s">
        <v>231</v>
      </c>
      <c r="C1000" s="87">
        <v>2013</v>
      </c>
      <c r="D1000" s="87" t="s">
        <v>15</v>
      </c>
      <c r="E1000" s="116">
        <v>268</v>
      </c>
      <c r="F1000" s="87" t="s">
        <v>967</v>
      </c>
      <c r="G1000" s="87" t="s">
        <v>272</v>
      </c>
      <c r="H1000" s="87" t="s">
        <v>967</v>
      </c>
      <c r="I1000" s="87">
        <v>27</v>
      </c>
    </row>
    <row r="1001" spans="1:9" ht="15" customHeight="1" x14ac:dyDescent="0.25">
      <c r="A1001" s="87" t="s">
        <v>23</v>
      </c>
      <c r="B1001" s="87" t="s">
        <v>231</v>
      </c>
      <c r="C1001" s="87">
        <v>2014</v>
      </c>
      <c r="D1001" s="87" t="s">
        <v>15</v>
      </c>
      <c r="E1001" s="116">
        <v>192</v>
      </c>
      <c r="F1001" s="87" t="s">
        <v>967</v>
      </c>
      <c r="G1001" s="87" t="s">
        <v>272</v>
      </c>
      <c r="H1001" s="87" t="s">
        <v>967</v>
      </c>
      <c r="I1001" s="87">
        <v>27</v>
      </c>
    </row>
    <row r="1002" spans="1:9" ht="15" customHeight="1" x14ac:dyDescent="0.25">
      <c r="A1002" s="87" t="s">
        <v>23</v>
      </c>
      <c r="B1002" s="87" t="s">
        <v>231</v>
      </c>
      <c r="C1002" s="87">
        <v>2015</v>
      </c>
      <c r="D1002" s="87" t="s">
        <v>15</v>
      </c>
      <c r="E1002" s="116">
        <v>334</v>
      </c>
      <c r="F1002" s="87" t="s">
        <v>967</v>
      </c>
      <c r="G1002" s="87" t="s">
        <v>274</v>
      </c>
      <c r="H1002" s="87" t="s">
        <v>967</v>
      </c>
      <c r="I1002" s="87">
        <v>27</v>
      </c>
    </row>
    <row r="1003" spans="1:9" ht="15" customHeight="1" x14ac:dyDescent="0.25">
      <c r="A1003" s="87" t="s">
        <v>23</v>
      </c>
      <c r="B1003" s="87" t="s">
        <v>231</v>
      </c>
      <c r="C1003" s="87">
        <v>2016</v>
      </c>
      <c r="D1003" s="87" t="s">
        <v>15</v>
      </c>
      <c r="E1003" s="116">
        <v>225</v>
      </c>
      <c r="F1003" s="87" t="s">
        <v>967</v>
      </c>
      <c r="G1003" s="87" t="s">
        <v>274</v>
      </c>
      <c r="H1003" s="87" t="s">
        <v>967</v>
      </c>
      <c r="I1003" s="87">
        <v>27</v>
      </c>
    </row>
    <row r="1004" spans="1:9" ht="15" customHeight="1" x14ac:dyDescent="0.25">
      <c r="A1004" s="87" t="s">
        <v>23</v>
      </c>
      <c r="B1004" s="87" t="s">
        <v>231</v>
      </c>
      <c r="C1004" s="87">
        <v>2017</v>
      </c>
      <c r="D1004" s="87" t="s">
        <v>15</v>
      </c>
      <c r="E1004" s="116">
        <v>71</v>
      </c>
      <c r="F1004" s="87" t="s">
        <v>967</v>
      </c>
      <c r="G1004" s="87" t="s">
        <v>274</v>
      </c>
      <c r="H1004" s="87" t="s">
        <v>967</v>
      </c>
      <c r="I1004" s="87">
        <v>27</v>
      </c>
    </row>
    <row r="1005" spans="1:9" ht="15" customHeight="1" x14ac:dyDescent="0.25">
      <c r="A1005" s="87" t="s">
        <v>23</v>
      </c>
      <c r="B1005" s="87" t="s">
        <v>231</v>
      </c>
      <c r="C1005" s="87">
        <v>2018</v>
      </c>
      <c r="D1005" s="87" t="s">
        <v>15</v>
      </c>
      <c r="E1005" s="116">
        <v>25</v>
      </c>
      <c r="F1005" s="87" t="s">
        <v>967</v>
      </c>
      <c r="G1005" s="87" t="s">
        <v>272</v>
      </c>
      <c r="H1005" s="87" t="s">
        <v>967</v>
      </c>
      <c r="I1005" s="87">
        <v>27</v>
      </c>
    </row>
    <row r="1006" spans="1:9" ht="15" customHeight="1" x14ac:dyDescent="0.25">
      <c r="A1006" s="87" t="s">
        <v>23</v>
      </c>
      <c r="B1006" s="87" t="s">
        <v>231</v>
      </c>
      <c r="C1006" s="87">
        <v>2019</v>
      </c>
      <c r="D1006" s="87" t="s">
        <v>15</v>
      </c>
      <c r="E1006" s="116">
        <v>34</v>
      </c>
      <c r="F1006" s="87" t="s">
        <v>967</v>
      </c>
      <c r="G1006" s="87" t="s">
        <v>274</v>
      </c>
      <c r="H1006" s="87" t="s">
        <v>978</v>
      </c>
      <c r="I1006" s="87">
        <v>27</v>
      </c>
    </row>
    <row r="1007" spans="1:9" ht="15" customHeight="1" x14ac:dyDescent="0.25">
      <c r="A1007" s="87" t="s">
        <v>23</v>
      </c>
      <c r="B1007" s="87" t="s">
        <v>231</v>
      </c>
      <c r="C1007" s="87">
        <v>2020</v>
      </c>
      <c r="D1007" s="87" t="s">
        <v>15</v>
      </c>
      <c r="E1007" s="116">
        <v>168</v>
      </c>
      <c r="F1007" s="87" t="s">
        <v>967</v>
      </c>
      <c r="G1007" s="87" t="s">
        <v>272</v>
      </c>
      <c r="H1007" s="87" t="s">
        <v>967</v>
      </c>
      <c r="I1007" s="87">
        <v>27</v>
      </c>
    </row>
    <row r="1008" spans="1:9" ht="15" customHeight="1" x14ac:dyDescent="0.25">
      <c r="A1008" s="87" t="s">
        <v>23</v>
      </c>
      <c r="B1008" s="87" t="s">
        <v>231</v>
      </c>
      <c r="C1008" s="87">
        <v>2021</v>
      </c>
      <c r="D1008" s="87" t="s">
        <v>15</v>
      </c>
      <c r="E1008" s="116">
        <v>231</v>
      </c>
      <c r="F1008" s="87" t="s">
        <v>1058</v>
      </c>
      <c r="G1008" s="87" t="s">
        <v>272</v>
      </c>
      <c r="H1008" s="87" t="s">
        <v>967</v>
      </c>
      <c r="I1008" s="87">
        <v>27</v>
      </c>
    </row>
    <row r="1009" spans="1:9" ht="15" customHeight="1" x14ac:dyDescent="0.25">
      <c r="A1009" s="87" t="s">
        <v>23</v>
      </c>
      <c r="B1009" s="87" t="s">
        <v>231</v>
      </c>
      <c r="C1009" s="87">
        <v>2022</v>
      </c>
      <c r="D1009" s="87" t="s">
        <v>15</v>
      </c>
      <c r="E1009" s="116">
        <v>31</v>
      </c>
      <c r="F1009" s="87" t="s">
        <v>967</v>
      </c>
      <c r="G1009" s="87" t="s">
        <v>272</v>
      </c>
      <c r="H1009" s="87" t="s">
        <v>967</v>
      </c>
      <c r="I1009" s="87">
        <v>27</v>
      </c>
    </row>
    <row r="1010" spans="1:9" ht="15" customHeight="1" x14ac:dyDescent="0.25">
      <c r="A1010" s="87" t="s">
        <v>23</v>
      </c>
      <c r="B1010" s="87" t="s">
        <v>296</v>
      </c>
      <c r="C1010" s="87">
        <v>1975</v>
      </c>
      <c r="D1010" s="87" t="s">
        <v>15</v>
      </c>
      <c r="E1010" s="116">
        <v>-1</v>
      </c>
      <c r="F1010" s="87" t="s">
        <v>481</v>
      </c>
      <c r="G1010" s="87" t="s">
        <v>967</v>
      </c>
      <c r="H1010" s="87" t="s">
        <v>481</v>
      </c>
      <c r="I1010" s="87">
        <v>24</v>
      </c>
    </row>
    <row r="1011" spans="1:9" ht="15" customHeight="1" x14ac:dyDescent="0.25">
      <c r="A1011" s="87" t="s">
        <v>23</v>
      </c>
      <c r="B1011" s="87" t="s">
        <v>296</v>
      </c>
      <c r="C1011" s="87">
        <v>1976</v>
      </c>
      <c r="D1011" s="87" t="s">
        <v>15</v>
      </c>
      <c r="E1011" s="116">
        <v>-1</v>
      </c>
      <c r="F1011" s="87" t="s">
        <v>481</v>
      </c>
      <c r="G1011" s="87" t="s">
        <v>967</v>
      </c>
      <c r="H1011" s="87" t="s">
        <v>481</v>
      </c>
      <c r="I1011" s="87">
        <v>24</v>
      </c>
    </row>
    <row r="1012" spans="1:9" ht="15" customHeight="1" x14ac:dyDescent="0.25">
      <c r="A1012" s="87" t="s">
        <v>23</v>
      </c>
      <c r="B1012" s="87" t="s">
        <v>296</v>
      </c>
      <c r="C1012" s="87">
        <v>1977</v>
      </c>
      <c r="D1012" s="87" t="s">
        <v>15</v>
      </c>
      <c r="E1012" s="116">
        <v>-1</v>
      </c>
      <c r="F1012" s="87" t="s">
        <v>481</v>
      </c>
      <c r="G1012" s="87" t="s">
        <v>967</v>
      </c>
      <c r="H1012" s="87" t="s">
        <v>481</v>
      </c>
      <c r="I1012" s="87">
        <v>24</v>
      </c>
    </row>
    <row r="1013" spans="1:9" ht="15" customHeight="1" x14ac:dyDescent="0.25">
      <c r="A1013" s="87" t="s">
        <v>23</v>
      </c>
      <c r="B1013" s="87" t="s">
        <v>296</v>
      </c>
      <c r="C1013" s="87">
        <v>1978</v>
      </c>
      <c r="D1013" s="87" t="s">
        <v>15</v>
      </c>
      <c r="E1013" s="116">
        <v>-1</v>
      </c>
      <c r="F1013" s="87" t="s">
        <v>481</v>
      </c>
      <c r="G1013" s="87" t="s">
        <v>967</v>
      </c>
      <c r="H1013" s="87" t="s">
        <v>481</v>
      </c>
      <c r="I1013" s="87">
        <v>24</v>
      </c>
    </row>
    <row r="1014" spans="1:9" ht="15" customHeight="1" x14ac:dyDescent="0.25">
      <c r="A1014" s="87" t="s">
        <v>23</v>
      </c>
      <c r="B1014" s="87" t="s">
        <v>296</v>
      </c>
      <c r="C1014" s="87">
        <v>1979</v>
      </c>
      <c r="D1014" s="87" t="s">
        <v>15</v>
      </c>
      <c r="E1014" s="116">
        <v>-1</v>
      </c>
      <c r="F1014" s="87" t="s">
        <v>481</v>
      </c>
      <c r="G1014" s="87" t="s">
        <v>967</v>
      </c>
      <c r="H1014" s="87" t="s">
        <v>481</v>
      </c>
      <c r="I1014" s="87">
        <v>24</v>
      </c>
    </row>
    <row r="1015" spans="1:9" ht="15" customHeight="1" x14ac:dyDescent="0.25">
      <c r="A1015" s="87" t="s">
        <v>23</v>
      </c>
      <c r="B1015" s="87" t="s">
        <v>296</v>
      </c>
      <c r="C1015" s="87">
        <v>1980</v>
      </c>
      <c r="D1015" s="87" t="s">
        <v>15</v>
      </c>
      <c r="E1015" s="116">
        <v>-1</v>
      </c>
      <c r="F1015" s="87" t="s">
        <v>481</v>
      </c>
      <c r="G1015" s="87" t="s">
        <v>967</v>
      </c>
      <c r="H1015" s="87" t="s">
        <v>481</v>
      </c>
      <c r="I1015" s="87">
        <v>24</v>
      </c>
    </row>
    <row r="1016" spans="1:9" ht="15" customHeight="1" x14ac:dyDescent="0.25">
      <c r="A1016" s="87" t="s">
        <v>23</v>
      </c>
      <c r="B1016" s="87" t="s">
        <v>296</v>
      </c>
      <c r="C1016" s="87">
        <v>1981</v>
      </c>
      <c r="D1016" s="87" t="s">
        <v>15</v>
      </c>
      <c r="E1016" s="116">
        <v>-1</v>
      </c>
      <c r="F1016" s="87" t="s">
        <v>481</v>
      </c>
      <c r="G1016" s="87" t="s">
        <v>967</v>
      </c>
      <c r="H1016" s="87" t="s">
        <v>481</v>
      </c>
      <c r="I1016" s="87">
        <v>24</v>
      </c>
    </row>
    <row r="1017" spans="1:9" ht="15" customHeight="1" x14ac:dyDescent="0.25">
      <c r="A1017" s="87" t="s">
        <v>23</v>
      </c>
      <c r="B1017" s="87" t="s">
        <v>296</v>
      </c>
      <c r="C1017" s="87">
        <v>1982</v>
      </c>
      <c r="D1017" s="87" t="s">
        <v>15</v>
      </c>
      <c r="E1017" s="116">
        <v>-1</v>
      </c>
      <c r="F1017" s="87" t="s">
        <v>481</v>
      </c>
      <c r="G1017" s="87" t="s">
        <v>967</v>
      </c>
      <c r="H1017" s="87" t="s">
        <v>481</v>
      </c>
      <c r="I1017" s="87">
        <v>24</v>
      </c>
    </row>
    <row r="1018" spans="1:9" ht="15" customHeight="1" x14ac:dyDescent="0.25">
      <c r="A1018" s="87" t="s">
        <v>23</v>
      </c>
      <c r="B1018" s="87" t="s">
        <v>296</v>
      </c>
      <c r="C1018" s="87">
        <v>1983</v>
      </c>
      <c r="D1018" s="87" t="s">
        <v>15</v>
      </c>
      <c r="E1018" s="116">
        <v>-1</v>
      </c>
      <c r="F1018" s="87" t="s">
        <v>481</v>
      </c>
      <c r="G1018" s="87" t="s">
        <v>967</v>
      </c>
      <c r="H1018" s="87" t="s">
        <v>481</v>
      </c>
      <c r="I1018" s="87">
        <v>24</v>
      </c>
    </row>
    <row r="1019" spans="1:9" ht="15" customHeight="1" x14ac:dyDescent="0.25">
      <c r="A1019" s="87" t="s">
        <v>23</v>
      </c>
      <c r="B1019" s="87" t="s">
        <v>296</v>
      </c>
      <c r="C1019" s="87">
        <v>1984</v>
      </c>
      <c r="D1019" s="87" t="s">
        <v>15</v>
      </c>
      <c r="E1019" s="116">
        <v>-1</v>
      </c>
      <c r="F1019" s="87" t="s">
        <v>481</v>
      </c>
      <c r="G1019" s="87" t="s">
        <v>967</v>
      </c>
      <c r="H1019" s="87" t="s">
        <v>481</v>
      </c>
      <c r="I1019" s="87">
        <v>24</v>
      </c>
    </row>
    <row r="1020" spans="1:9" ht="15" customHeight="1" x14ac:dyDescent="0.25">
      <c r="A1020" s="87" t="s">
        <v>23</v>
      </c>
      <c r="B1020" s="87" t="s">
        <v>296</v>
      </c>
      <c r="C1020" s="87">
        <v>1985</v>
      </c>
      <c r="D1020" s="87" t="s">
        <v>15</v>
      </c>
      <c r="E1020" s="116">
        <v>-1</v>
      </c>
      <c r="F1020" s="87" t="s">
        <v>481</v>
      </c>
      <c r="G1020" s="87" t="s">
        <v>967</v>
      </c>
      <c r="H1020" s="87" t="s">
        <v>481</v>
      </c>
      <c r="I1020" s="87">
        <v>24</v>
      </c>
    </row>
    <row r="1021" spans="1:9" ht="15" customHeight="1" x14ac:dyDescent="0.25">
      <c r="A1021" s="87" t="s">
        <v>23</v>
      </c>
      <c r="B1021" s="87" t="s">
        <v>296</v>
      </c>
      <c r="C1021" s="87">
        <v>1986</v>
      </c>
      <c r="D1021" s="87" t="s">
        <v>15</v>
      </c>
      <c r="E1021" s="116">
        <v>-1</v>
      </c>
      <c r="F1021" s="87" t="s">
        <v>481</v>
      </c>
      <c r="G1021" s="87" t="s">
        <v>967</v>
      </c>
      <c r="H1021" s="87" t="s">
        <v>481</v>
      </c>
      <c r="I1021" s="87">
        <v>24</v>
      </c>
    </row>
    <row r="1022" spans="1:9" ht="15" customHeight="1" x14ac:dyDescent="0.25">
      <c r="A1022" s="87" t="s">
        <v>23</v>
      </c>
      <c r="B1022" s="87" t="s">
        <v>296</v>
      </c>
      <c r="C1022" s="87">
        <v>1987</v>
      </c>
      <c r="D1022" s="87" t="s">
        <v>15</v>
      </c>
      <c r="E1022" s="116">
        <v>-1</v>
      </c>
      <c r="F1022" s="87" t="s">
        <v>481</v>
      </c>
      <c r="G1022" s="87" t="s">
        <v>967</v>
      </c>
      <c r="H1022" s="87" t="s">
        <v>481</v>
      </c>
      <c r="I1022" s="87">
        <v>24</v>
      </c>
    </row>
    <row r="1023" spans="1:9" ht="15" customHeight="1" x14ac:dyDescent="0.25">
      <c r="A1023" s="87" t="s">
        <v>23</v>
      </c>
      <c r="B1023" s="87" t="s">
        <v>296</v>
      </c>
      <c r="C1023" s="87">
        <v>1988</v>
      </c>
      <c r="D1023" s="87" t="s">
        <v>15</v>
      </c>
      <c r="E1023" s="116">
        <v>-1</v>
      </c>
      <c r="F1023" s="87" t="s">
        <v>481</v>
      </c>
      <c r="G1023" s="87" t="s">
        <v>967</v>
      </c>
      <c r="H1023" s="87" t="s">
        <v>481</v>
      </c>
      <c r="I1023" s="87">
        <v>24</v>
      </c>
    </row>
    <row r="1024" spans="1:9" ht="15" customHeight="1" x14ac:dyDescent="0.25">
      <c r="A1024" s="87" t="s">
        <v>23</v>
      </c>
      <c r="B1024" s="87" t="s">
        <v>296</v>
      </c>
      <c r="C1024" s="87">
        <v>1989</v>
      </c>
      <c r="D1024" s="87" t="s">
        <v>15</v>
      </c>
      <c r="E1024" s="116">
        <v>-1</v>
      </c>
      <c r="F1024" s="87" t="s">
        <v>481</v>
      </c>
      <c r="G1024" s="87" t="s">
        <v>967</v>
      </c>
      <c r="H1024" s="87" t="s">
        <v>481</v>
      </c>
      <c r="I1024" s="87">
        <v>24</v>
      </c>
    </row>
    <row r="1025" spans="1:9" ht="15" customHeight="1" x14ac:dyDescent="0.25">
      <c r="A1025" s="87" t="s">
        <v>23</v>
      </c>
      <c r="B1025" s="87" t="s">
        <v>296</v>
      </c>
      <c r="C1025" s="87">
        <v>1990</v>
      </c>
      <c r="D1025" s="87" t="s">
        <v>15</v>
      </c>
      <c r="E1025" s="116">
        <v>-1</v>
      </c>
      <c r="F1025" s="87" t="s">
        <v>481</v>
      </c>
      <c r="G1025" s="87" t="s">
        <v>967</v>
      </c>
      <c r="H1025" s="87" t="s">
        <v>481</v>
      </c>
      <c r="I1025" s="87">
        <v>24</v>
      </c>
    </row>
    <row r="1026" spans="1:9" ht="15" customHeight="1" x14ac:dyDescent="0.25">
      <c r="A1026" s="87" t="s">
        <v>23</v>
      </c>
      <c r="B1026" s="87" t="s">
        <v>296</v>
      </c>
      <c r="C1026" s="87">
        <v>1991</v>
      </c>
      <c r="D1026" s="87" t="s">
        <v>15</v>
      </c>
      <c r="E1026" s="116">
        <v>-1</v>
      </c>
      <c r="F1026" s="87" t="s">
        <v>481</v>
      </c>
      <c r="G1026" s="87" t="s">
        <v>967</v>
      </c>
      <c r="H1026" s="87" t="s">
        <v>481</v>
      </c>
      <c r="I1026" s="87">
        <v>24</v>
      </c>
    </row>
    <row r="1027" spans="1:9" ht="15" customHeight="1" x14ac:dyDescent="0.25">
      <c r="A1027" s="87" t="s">
        <v>23</v>
      </c>
      <c r="B1027" s="87" t="s">
        <v>296</v>
      </c>
      <c r="C1027" s="87">
        <v>1992</v>
      </c>
      <c r="D1027" s="87" t="s">
        <v>15</v>
      </c>
      <c r="E1027" s="116">
        <v>-1</v>
      </c>
      <c r="F1027" s="87" t="s">
        <v>481</v>
      </c>
      <c r="G1027" s="87" t="s">
        <v>967</v>
      </c>
      <c r="H1027" s="87" t="s">
        <v>481</v>
      </c>
      <c r="I1027" s="87">
        <v>24</v>
      </c>
    </row>
    <row r="1028" spans="1:9" ht="15" customHeight="1" x14ac:dyDescent="0.25">
      <c r="A1028" s="87" t="s">
        <v>23</v>
      </c>
      <c r="B1028" s="87" t="s">
        <v>296</v>
      </c>
      <c r="C1028" s="87">
        <v>1993</v>
      </c>
      <c r="D1028" s="87" t="s">
        <v>15</v>
      </c>
      <c r="E1028" s="116">
        <v>-1</v>
      </c>
      <c r="F1028" s="87" t="s">
        <v>481</v>
      </c>
      <c r="G1028" s="87" t="s">
        <v>967</v>
      </c>
      <c r="H1028" s="87" t="s">
        <v>481</v>
      </c>
      <c r="I1028" s="87">
        <v>24</v>
      </c>
    </row>
    <row r="1029" spans="1:9" ht="15" customHeight="1" x14ac:dyDescent="0.25">
      <c r="A1029" s="87" t="s">
        <v>23</v>
      </c>
      <c r="B1029" s="87" t="s">
        <v>296</v>
      </c>
      <c r="C1029" s="87">
        <v>1994</v>
      </c>
      <c r="D1029" s="87" t="s">
        <v>15</v>
      </c>
      <c r="E1029" s="116">
        <v>-1</v>
      </c>
      <c r="F1029" s="87" t="s">
        <v>481</v>
      </c>
      <c r="G1029" s="87" t="s">
        <v>967</v>
      </c>
      <c r="H1029" s="87" t="s">
        <v>481</v>
      </c>
      <c r="I1029" s="87">
        <v>24</v>
      </c>
    </row>
    <row r="1030" spans="1:9" ht="15" customHeight="1" x14ac:dyDescent="0.25">
      <c r="A1030" s="87" t="s">
        <v>23</v>
      </c>
      <c r="B1030" s="87" t="s">
        <v>296</v>
      </c>
      <c r="C1030" s="87">
        <v>1995</v>
      </c>
      <c r="D1030" s="87" t="s">
        <v>15</v>
      </c>
      <c r="E1030" s="116">
        <v>-1</v>
      </c>
      <c r="F1030" s="87" t="s">
        <v>481</v>
      </c>
      <c r="G1030" s="87" t="s">
        <v>967</v>
      </c>
      <c r="H1030" s="87" t="s">
        <v>481</v>
      </c>
      <c r="I1030" s="87">
        <v>24</v>
      </c>
    </row>
    <row r="1031" spans="1:9" ht="15" customHeight="1" x14ac:dyDescent="0.25">
      <c r="A1031" s="87" t="s">
        <v>23</v>
      </c>
      <c r="B1031" s="87" t="s">
        <v>296</v>
      </c>
      <c r="C1031" s="87">
        <v>1996</v>
      </c>
      <c r="D1031" s="87" t="s">
        <v>15</v>
      </c>
      <c r="E1031" s="116">
        <v>-1</v>
      </c>
      <c r="F1031" s="87" t="s">
        <v>481</v>
      </c>
      <c r="G1031" s="87" t="s">
        <v>967</v>
      </c>
      <c r="H1031" s="87" t="s">
        <v>481</v>
      </c>
      <c r="I1031" s="87">
        <v>24</v>
      </c>
    </row>
    <row r="1032" spans="1:9" ht="15" customHeight="1" x14ac:dyDescent="0.25">
      <c r="A1032" s="87" t="s">
        <v>23</v>
      </c>
      <c r="B1032" s="87" t="s">
        <v>296</v>
      </c>
      <c r="C1032" s="87">
        <v>1997</v>
      </c>
      <c r="D1032" s="87" t="s">
        <v>15</v>
      </c>
      <c r="E1032" s="116">
        <v>-1</v>
      </c>
      <c r="F1032" s="87" t="s">
        <v>481</v>
      </c>
      <c r="G1032" s="87" t="s">
        <v>967</v>
      </c>
      <c r="H1032" s="87" t="s">
        <v>481</v>
      </c>
      <c r="I1032" s="87">
        <v>24</v>
      </c>
    </row>
    <row r="1033" spans="1:9" ht="15" customHeight="1" x14ac:dyDescent="0.25">
      <c r="A1033" s="87" t="s">
        <v>23</v>
      </c>
      <c r="B1033" s="87" t="s">
        <v>296</v>
      </c>
      <c r="C1033" s="87">
        <v>1998</v>
      </c>
      <c r="D1033" s="87" t="s">
        <v>15</v>
      </c>
      <c r="E1033" s="116">
        <v>251</v>
      </c>
      <c r="F1033" s="87" t="s">
        <v>297</v>
      </c>
      <c r="G1033" s="87" t="s">
        <v>272</v>
      </c>
      <c r="H1033" s="87" t="s">
        <v>967</v>
      </c>
      <c r="I1033" s="87">
        <v>24</v>
      </c>
    </row>
    <row r="1034" spans="1:9" ht="15" customHeight="1" x14ac:dyDescent="0.25">
      <c r="A1034" s="87" t="s">
        <v>23</v>
      </c>
      <c r="B1034" s="87" t="s">
        <v>296</v>
      </c>
      <c r="C1034" s="87">
        <v>1999</v>
      </c>
      <c r="D1034" s="87" t="s">
        <v>15</v>
      </c>
      <c r="E1034" s="116">
        <v>137</v>
      </c>
      <c r="F1034" s="87" t="s">
        <v>967</v>
      </c>
      <c r="G1034" s="87" t="s">
        <v>272</v>
      </c>
      <c r="H1034" s="87" t="s">
        <v>967</v>
      </c>
      <c r="I1034" s="87">
        <v>24</v>
      </c>
    </row>
    <row r="1035" spans="1:9" ht="15" customHeight="1" x14ac:dyDescent="0.25">
      <c r="A1035" s="87" t="s">
        <v>23</v>
      </c>
      <c r="B1035" s="87" t="s">
        <v>296</v>
      </c>
      <c r="C1035" s="87">
        <v>2000</v>
      </c>
      <c r="D1035" s="87" t="s">
        <v>15</v>
      </c>
      <c r="E1035" s="116">
        <v>83</v>
      </c>
      <c r="F1035" s="87" t="s">
        <v>967</v>
      </c>
      <c r="G1035" s="87" t="s">
        <v>272</v>
      </c>
      <c r="H1035" s="87" t="s">
        <v>967</v>
      </c>
      <c r="I1035" s="87">
        <v>24</v>
      </c>
    </row>
    <row r="1036" spans="1:9" ht="15" customHeight="1" x14ac:dyDescent="0.25">
      <c r="A1036" s="87" t="s">
        <v>23</v>
      </c>
      <c r="B1036" s="87" t="s">
        <v>296</v>
      </c>
      <c r="C1036" s="87">
        <v>2001</v>
      </c>
      <c r="D1036" s="87" t="s">
        <v>15</v>
      </c>
      <c r="E1036" s="116">
        <v>123</v>
      </c>
      <c r="F1036" s="87" t="s">
        <v>298</v>
      </c>
      <c r="G1036" s="87" t="s">
        <v>272</v>
      </c>
      <c r="H1036" s="87" t="s">
        <v>967</v>
      </c>
      <c r="I1036" s="87">
        <v>24</v>
      </c>
    </row>
    <row r="1037" spans="1:9" ht="15" customHeight="1" x14ac:dyDescent="0.25">
      <c r="A1037" s="87" t="s">
        <v>23</v>
      </c>
      <c r="B1037" s="87" t="s">
        <v>296</v>
      </c>
      <c r="C1037" s="87">
        <v>2002</v>
      </c>
      <c r="D1037" s="87" t="s">
        <v>15</v>
      </c>
      <c r="E1037" s="116">
        <v>143</v>
      </c>
      <c r="F1037" s="87" t="s">
        <v>967</v>
      </c>
      <c r="G1037" s="87" t="s">
        <v>272</v>
      </c>
      <c r="H1037" s="87" t="s">
        <v>967</v>
      </c>
      <c r="I1037" s="87">
        <v>24</v>
      </c>
    </row>
    <row r="1038" spans="1:9" ht="15" customHeight="1" x14ac:dyDescent="0.25">
      <c r="A1038" s="87" t="s">
        <v>23</v>
      </c>
      <c r="B1038" s="87" t="s">
        <v>296</v>
      </c>
      <c r="C1038" s="87">
        <v>2003</v>
      </c>
      <c r="D1038" s="87" t="s">
        <v>15</v>
      </c>
      <c r="E1038" s="116">
        <v>226</v>
      </c>
      <c r="F1038" s="87" t="s">
        <v>967</v>
      </c>
      <c r="G1038" s="87" t="s">
        <v>272</v>
      </c>
      <c r="H1038" s="87" t="s">
        <v>967</v>
      </c>
      <c r="I1038" s="87">
        <v>24</v>
      </c>
    </row>
    <row r="1039" spans="1:9" ht="15" customHeight="1" x14ac:dyDescent="0.25">
      <c r="A1039" s="87" t="s">
        <v>23</v>
      </c>
      <c r="B1039" s="87" t="s">
        <v>296</v>
      </c>
      <c r="C1039" s="87">
        <v>2004</v>
      </c>
      <c r="D1039" s="87" t="s">
        <v>15</v>
      </c>
      <c r="E1039" s="116">
        <v>122</v>
      </c>
      <c r="F1039" s="87" t="s">
        <v>299</v>
      </c>
      <c r="G1039" s="87" t="s">
        <v>272</v>
      </c>
      <c r="H1039" s="87" t="s">
        <v>967</v>
      </c>
      <c r="I1039" s="87">
        <v>24</v>
      </c>
    </row>
    <row r="1040" spans="1:9" ht="15" customHeight="1" x14ac:dyDescent="0.25">
      <c r="A1040" s="87" t="s">
        <v>23</v>
      </c>
      <c r="B1040" s="87" t="s">
        <v>296</v>
      </c>
      <c r="C1040" s="87">
        <v>2005</v>
      </c>
      <c r="D1040" s="87" t="s">
        <v>15</v>
      </c>
      <c r="E1040" s="116">
        <v>26</v>
      </c>
      <c r="F1040" s="87" t="s">
        <v>300</v>
      </c>
      <c r="G1040" s="87" t="s">
        <v>272</v>
      </c>
      <c r="H1040" s="87" t="s">
        <v>967</v>
      </c>
      <c r="I1040" s="87">
        <v>24</v>
      </c>
    </row>
    <row r="1041" spans="1:9" ht="15" customHeight="1" x14ac:dyDescent="0.25">
      <c r="A1041" s="87" t="s">
        <v>23</v>
      </c>
      <c r="B1041" s="87" t="s">
        <v>296</v>
      </c>
      <c r="C1041" s="87">
        <v>2006</v>
      </c>
      <c r="D1041" s="87" t="s">
        <v>15</v>
      </c>
      <c r="E1041" s="116">
        <v>30</v>
      </c>
      <c r="F1041" s="87" t="s">
        <v>967</v>
      </c>
      <c r="G1041" s="87" t="s">
        <v>272</v>
      </c>
      <c r="H1041" s="87" t="s">
        <v>967</v>
      </c>
      <c r="I1041" s="87">
        <v>24</v>
      </c>
    </row>
    <row r="1042" spans="1:9" ht="15" customHeight="1" x14ac:dyDescent="0.25">
      <c r="A1042" s="87" t="s">
        <v>23</v>
      </c>
      <c r="B1042" s="87" t="s">
        <v>296</v>
      </c>
      <c r="C1042" s="87">
        <v>2007</v>
      </c>
      <c r="D1042" s="87" t="s">
        <v>15</v>
      </c>
      <c r="E1042" s="116">
        <v>23</v>
      </c>
      <c r="F1042" s="87" t="s">
        <v>967</v>
      </c>
      <c r="G1042" s="87" t="s">
        <v>272</v>
      </c>
      <c r="H1042" s="87" t="s">
        <v>967</v>
      </c>
      <c r="I1042" s="87">
        <v>24</v>
      </c>
    </row>
    <row r="1043" spans="1:9" ht="15" customHeight="1" x14ac:dyDescent="0.25">
      <c r="A1043" s="87" t="s">
        <v>23</v>
      </c>
      <c r="B1043" s="87" t="s">
        <v>296</v>
      </c>
      <c r="C1043" s="87">
        <v>2008</v>
      </c>
      <c r="D1043" s="87" t="s">
        <v>15</v>
      </c>
      <c r="E1043" s="116">
        <v>15</v>
      </c>
      <c r="F1043" s="87" t="s">
        <v>967</v>
      </c>
      <c r="G1043" s="87" t="s">
        <v>272</v>
      </c>
      <c r="H1043" s="87" t="s">
        <v>692</v>
      </c>
      <c r="I1043" s="87">
        <v>24</v>
      </c>
    </row>
    <row r="1044" spans="1:9" ht="15" customHeight="1" x14ac:dyDescent="0.25">
      <c r="A1044" s="87" t="s">
        <v>23</v>
      </c>
      <c r="B1044" s="87" t="s">
        <v>296</v>
      </c>
      <c r="C1044" s="87">
        <v>2009</v>
      </c>
      <c r="D1044" s="87" t="s">
        <v>15</v>
      </c>
      <c r="E1044" s="116">
        <v>60</v>
      </c>
      <c r="F1044" s="87" t="s">
        <v>967</v>
      </c>
      <c r="G1044" s="87" t="s">
        <v>272</v>
      </c>
      <c r="H1044" s="87" t="s">
        <v>693</v>
      </c>
      <c r="I1044" s="87">
        <v>24</v>
      </c>
    </row>
    <row r="1045" spans="1:9" ht="15" customHeight="1" x14ac:dyDescent="0.25">
      <c r="A1045" s="87" t="s">
        <v>23</v>
      </c>
      <c r="B1045" s="87" t="s">
        <v>296</v>
      </c>
      <c r="C1045" s="87">
        <v>2010</v>
      </c>
      <c r="D1045" s="87" t="s">
        <v>15</v>
      </c>
      <c r="E1045" s="116">
        <v>103</v>
      </c>
      <c r="F1045" s="87" t="s">
        <v>967</v>
      </c>
      <c r="G1045" s="87" t="s">
        <v>272</v>
      </c>
      <c r="H1045" s="87" t="s">
        <v>967</v>
      </c>
      <c r="I1045" s="87">
        <v>24</v>
      </c>
    </row>
    <row r="1046" spans="1:9" ht="15" customHeight="1" x14ac:dyDescent="0.25">
      <c r="A1046" s="87" t="s">
        <v>23</v>
      </c>
      <c r="B1046" s="87" t="s">
        <v>296</v>
      </c>
      <c r="C1046" s="87">
        <v>2011</v>
      </c>
      <c r="D1046" s="87" t="s">
        <v>15</v>
      </c>
      <c r="E1046" s="116">
        <v>34</v>
      </c>
      <c r="F1046" s="87" t="s">
        <v>967</v>
      </c>
      <c r="G1046" s="87" t="s">
        <v>272</v>
      </c>
      <c r="H1046" s="87" t="s">
        <v>967</v>
      </c>
      <c r="I1046" s="87">
        <v>24</v>
      </c>
    </row>
    <row r="1047" spans="1:9" ht="15" customHeight="1" x14ac:dyDescent="0.25">
      <c r="A1047" s="87" t="s">
        <v>23</v>
      </c>
      <c r="B1047" s="87" t="s">
        <v>296</v>
      </c>
      <c r="C1047" s="87">
        <v>2012</v>
      </c>
      <c r="D1047" s="87" t="s">
        <v>15</v>
      </c>
      <c r="E1047" s="116">
        <v>28</v>
      </c>
      <c r="F1047" s="87" t="s">
        <v>967</v>
      </c>
      <c r="G1047" s="87" t="s">
        <v>272</v>
      </c>
      <c r="H1047" s="87" t="s">
        <v>967</v>
      </c>
      <c r="I1047" s="87">
        <v>24</v>
      </c>
    </row>
    <row r="1048" spans="1:9" ht="15" customHeight="1" x14ac:dyDescent="0.25">
      <c r="A1048" s="87" t="s">
        <v>23</v>
      </c>
      <c r="B1048" s="87" t="s">
        <v>296</v>
      </c>
      <c r="C1048" s="87">
        <v>2013</v>
      </c>
      <c r="D1048" s="87" t="s">
        <v>15</v>
      </c>
      <c r="E1048" s="116">
        <v>69</v>
      </c>
      <c r="F1048" s="87" t="s">
        <v>967</v>
      </c>
      <c r="G1048" s="87" t="s">
        <v>272</v>
      </c>
      <c r="H1048" s="87" t="s">
        <v>967</v>
      </c>
      <c r="I1048" s="87">
        <v>24</v>
      </c>
    </row>
    <row r="1049" spans="1:9" ht="15" customHeight="1" x14ac:dyDescent="0.25">
      <c r="A1049" s="87" t="s">
        <v>23</v>
      </c>
      <c r="B1049" s="87" t="s">
        <v>296</v>
      </c>
      <c r="C1049" s="87">
        <v>2014</v>
      </c>
      <c r="D1049" s="87" t="s">
        <v>15</v>
      </c>
      <c r="E1049" s="116">
        <v>98</v>
      </c>
      <c r="F1049" s="87" t="s">
        <v>967</v>
      </c>
      <c r="G1049" s="87" t="s">
        <v>272</v>
      </c>
      <c r="H1049" s="87" t="s">
        <v>967</v>
      </c>
      <c r="I1049" s="87">
        <v>24</v>
      </c>
    </row>
    <row r="1050" spans="1:9" ht="15" customHeight="1" x14ac:dyDescent="0.25">
      <c r="A1050" s="87" t="s">
        <v>23</v>
      </c>
      <c r="B1050" s="87" t="s">
        <v>296</v>
      </c>
      <c r="C1050" s="87">
        <v>2015</v>
      </c>
      <c r="D1050" s="87" t="s">
        <v>15</v>
      </c>
      <c r="E1050" s="116">
        <v>6</v>
      </c>
      <c r="F1050" s="87" t="s">
        <v>967</v>
      </c>
      <c r="G1050" s="87" t="s">
        <v>272</v>
      </c>
      <c r="H1050" s="87" t="s">
        <v>694</v>
      </c>
      <c r="I1050" s="87">
        <v>24</v>
      </c>
    </row>
    <row r="1051" spans="1:9" ht="15" customHeight="1" x14ac:dyDescent="0.25">
      <c r="A1051" s="87" t="s">
        <v>23</v>
      </c>
      <c r="B1051" s="87" t="s">
        <v>296</v>
      </c>
      <c r="C1051" s="87">
        <v>2016</v>
      </c>
      <c r="D1051" s="87" t="s">
        <v>15</v>
      </c>
      <c r="E1051" s="116">
        <v>23</v>
      </c>
      <c r="F1051" s="87" t="s">
        <v>967</v>
      </c>
      <c r="G1051" s="87" t="s">
        <v>272</v>
      </c>
      <c r="H1051" s="87" t="s">
        <v>695</v>
      </c>
      <c r="I1051" s="87">
        <v>24</v>
      </c>
    </row>
    <row r="1052" spans="1:9" ht="15" customHeight="1" x14ac:dyDescent="0.25">
      <c r="A1052" s="87" t="s">
        <v>23</v>
      </c>
      <c r="B1052" s="87" t="s">
        <v>296</v>
      </c>
      <c r="C1052" s="87">
        <v>2017</v>
      </c>
      <c r="D1052" s="87" t="s">
        <v>15</v>
      </c>
      <c r="E1052" s="116">
        <v>8</v>
      </c>
      <c r="F1052" s="87" t="s">
        <v>967</v>
      </c>
      <c r="G1052" s="87" t="s">
        <v>272</v>
      </c>
      <c r="H1052" s="87" t="s">
        <v>967</v>
      </c>
      <c r="I1052" s="87">
        <v>24</v>
      </c>
    </row>
    <row r="1053" spans="1:9" ht="15" customHeight="1" x14ac:dyDescent="0.25">
      <c r="A1053" s="87" t="s">
        <v>23</v>
      </c>
      <c r="B1053" s="87" t="s">
        <v>296</v>
      </c>
      <c r="C1053" s="87">
        <v>2018</v>
      </c>
      <c r="D1053" s="87" t="s">
        <v>15</v>
      </c>
      <c r="E1053" s="116">
        <v>58</v>
      </c>
      <c r="F1053" s="87" t="s">
        <v>967</v>
      </c>
      <c r="G1053" s="87" t="s">
        <v>272</v>
      </c>
      <c r="H1053" s="87" t="s">
        <v>967</v>
      </c>
      <c r="I1053" s="87">
        <v>24</v>
      </c>
    </row>
    <row r="1054" spans="1:9" ht="15" customHeight="1" x14ac:dyDescent="0.25">
      <c r="A1054" s="87" t="s">
        <v>23</v>
      </c>
      <c r="B1054" s="87" t="s">
        <v>296</v>
      </c>
      <c r="C1054" s="87">
        <v>2019</v>
      </c>
      <c r="D1054" s="87" t="s">
        <v>15</v>
      </c>
      <c r="E1054" s="116">
        <v>11</v>
      </c>
      <c r="F1054" s="87" t="s">
        <v>967</v>
      </c>
      <c r="G1054" s="87" t="s">
        <v>272</v>
      </c>
      <c r="H1054" s="87" t="s">
        <v>967</v>
      </c>
      <c r="I1054" s="87">
        <v>24</v>
      </c>
    </row>
    <row r="1055" spans="1:9" ht="15" customHeight="1" x14ac:dyDescent="0.25">
      <c r="A1055" s="87" t="s">
        <v>23</v>
      </c>
      <c r="B1055" s="87" t="s">
        <v>296</v>
      </c>
      <c r="C1055" s="87">
        <v>2020</v>
      </c>
      <c r="D1055" s="87" t="s">
        <v>15</v>
      </c>
      <c r="E1055" s="116">
        <v>8</v>
      </c>
      <c r="F1055" s="87" t="s">
        <v>967</v>
      </c>
      <c r="G1055" s="87" t="s">
        <v>272</v>
      </c>
      <c r="H1055" s="87" t="s">
        <v>967</v>
      </c>
      <c r="I1055" s="87">
        <v>24</v>
      </c>
    </row>
    <row r="1056" spans="1:9" ht="15" customHeight="1" x14ac:dyDescent="0.25">
      <c r="A1056" s="87" t="s">
        <v>23</v>
      </c>
      <c r="B1056" s="87" t="s">
        <v>296</v>
      </c>
      <c r="C1056" s="87">
        <v>2021</v>
      </c>
      <c r="D1056" s="87" t="s">
        <v>15</v>
      </c>
      <c r="E1056" s="116">
        <v>40</v>
      </c>
      <c r="F1056" s="87" t="s">
        <v>967</v>
      </c>
      <c r="G1056" s="87" t="s">
        <v>272</v>
      </c>
      <c r="H1056" s="87" t="s">
        <v>967</v>
      </c>
      <c r="I1056" s="87">
        <v>24</v>
      </c>
    </row>
    <row r="1057" spans="1:9" ht="15" customHeight="1" x14ac:dyDescent="0.25">
      <c r="A1057" s="87" t="s">
        <v>23</v>
      </c>
      <c r="B1057" s="87" t="s">
        <v>296</v>
      </c>
      <c r="C1057" s="87">
        <v>2022</v>
      </c>
      <c r="D1057" s="87" t="s">
        <v>15</v>
      </c>
      <c r="E1057" s="116">
        <v>31</v>
      </c>
      <c r="F1057" s="87" t="s">
        <v>967</v>
      </c>
      <c r="G1057" s="87" t="s">
        <v>272</v>
      </c>
      <c r="H1057" s="87" t="s">
        <v>967</v>
      </c>
      <c r="I1057" s="87">
        <v>24</v>
      </c>
    </row>
    <row r="1058" spans="1:9" ht="15" customHeight="1" x14ac:dyDescent="0.25">
      <c r="A1058" s="87" t="s">
        <v>23</v>
      </c>
      <c r="B1058" s="87" t="s">
        <v>233</v>
      </c>
      <c r="C1058" s="87">
        <v>1975</v>
      </c>
      <c r="D1058" s="87" t="s">
        <v>15</v>
      </c>
      <c r="E1058" s="116">
        <v>-1</v>
      </c>
      <c r="F1058" s="87" t="s">
        <v>710</v>
      </c>
      <c r="G1058" s="87" t="s">
        <v>332</v>
      </c>
      <c r="H1058" s="87" t="s">
        <v>710</v>
      </c>
      <c r="I1058" s="87">
        <v>83</v>
      </c>
    </row>
    <row r="1059" spans="1:9" ht="15" customHeight="1" x14ac:dyDescent="0.25">
      <c r="A1059" s="87" t="s">
        <v>23</v>
      </c>
      <c r="B1059" s="87" t="s">
        <v>233</v>
      </c>
      <c r="C1059" s="87">
        <v>1976</v>
      </c>
      <c r="D1059" s="87" t="s">
        <v>15</v>
      </c>
      <c r="E1059" s="116">
        <v>-1</v>
      </c>
      <c r="F1059" s="87" t="s">
        <v>710</v>
      </c>
      <c r="G1059" s="87" t="s">
        <v>332</v>
      </c>
      <c r="H1059" s="87" t="s">
        <v>710</v>
      </c>
      <c r="I1059" s="87">
        <v>83</v>
      </c>
    </row>
    <row r="1060" spans="1:9" ht="15" customHeight="1" x14ac:dyDescent="0.25">
      <c r="A1060" s="87" t="s">
        <v>23</v>
      </c>
      <c r="B1060" s="87" t="s">
        <v>233</v>
      </c>
      <c r="C1060" s="87">
        <v>1977</v>
      </c>
      <c r="D1060" s="87" t="s">
        <v>15</v>
      </c>
      <c r="E1060" s="116">
        <v>-1</v>
      </c>
      <c r="F1060" s="87" t="s">
        <v>710</v>
      </c>
      <c r="G1060" s="87" t="s">
        <v>332</v>
      </c>
      <c r="H1060" s="87" t="s">
        <v>710</v>
      </c>
      <c r="I1060" s="87">
        <v>83</v>
      </c>
    </row>
    <row r="1061" spans="1:9" ht="15" customHeight="1" x14ac:dyDescent="0.25">
      <c r="A1061" s="87" t="s">
        <v>23</v>
      </c>
      <c r="B1061" s="87" t="s">
        <v>233</v>
      </c>
      <c r="C1061" s="87">
        <v>1978</v>
      </c>
      <c r="D1061" s="87" t="s">
        <v>15</v>
      </c>
      <c r="E1061" s="116">
        <v>-1</v>
      </c>
      <c r="F1061" s="87" t="s">
        <v>710</v>
      </c>
      <c r="G1061" s="87" t="s">
        <v>332</v>
      </c>
      <c r="H1061" s="87" t="s">
        <v>710</v>
      </c>
      <c r="I1061" s="87">
        <v>83</v>
      </c>
    </row>
    <row r="1062" spans="1:9" ht="15" customHeight="1" x14ac:dyDescent="0.25">
      <c r="A1062" s="87" t="s">
        <v>23</v>
      </c>
      <c r="B1062" s="87" t="s">
        <v>233</v>
      </c>
      <c r="C1062" s="87">
        <v>1979</v>
      </c>
      <c r="D1062" s="87" t="s">
        <v>15</v>
      </c>
      <c r="E1062" s="116">
        <v>-1</v>
      </c>
      <c r="F1062" s="87" t="s">
        <v>710</v>
      </c>
      <c r="G1062" s="87" t="s">
        <v>332</v>
      </c>
      <c r="H1062" s="87" t="s">
        <v>710</v>
      </c>
      <c r="I1062" s="87">
        <v>83</v>
      </c>
    </row>
    <row r="1063" spans="1:9" ht="15" customHeight="1" x14ac:dyDescent="0.25">
      <c r="A1063" s="87" t="s">
        <v>23</v>
      </c>
      <c r="B1063" s="87" t="s">
        <v>233</v>
      </c>
      <c r="C1063" s="87">
        <v>1980</v>
      </c>
      <c r="D1063" s="87" t="s">
        <v>15</v>
      </c>
      <c r="E1063" s="116">
        <v>-1</v>
      </c>
      <c r="F1063" s="87" t="s">
        <v>710</v>
      </c>
      <c r="G1063" s="87" t="s">
        <v>332</v>
      </c>
      <c r="H1063" s="87" t="s">
        <v>710</v>
      </c>
      <c r="I1063" s="87">
        <v>83</v>
      </c>
    </row>
    <row r="1064" spans="1:9" ht="15" customHeight="1" x14ac:dyDescent="0.25">
      <c r="A1064" s="87" t="s">
        <v>23</v>
      </c>
      <c r="B1064" s="87" t="s">
        <v>233</v>
      </c>
      <c r="C1064" s="87">
        <v>1981</v>
      </c>
      <c r="D1064" s="87" t="s">
        <v>15</v>
      </c>
      <c r="E1064" s="116">
        <v>-1</v>
      </c>
      <c r="F1064" s="87" t="s">
        <v>710</v>
      </c>
      <c r="G1064" s="87" t="s">
        <v>332</v>
      </c>
      <c r="H1064" s="87" t="s">
        <v>710</v>
      </c>
      <c r="I1064" s="87">
        <v>83</v>
      </c>
    </row>
    <row r="1065" spans="1:9" ht="15" customHeight="1" x14ac:dyDescent="0.25">
      <c r="A1065" s="87" t="s">
        <v>23</v>
      </c>
      <c r="B1065" s="87" t="s">
        <v>233</v>
      </c>
      <c r="C1065" s="87">
        <v>1982</v>
      </c>
      <c r="D1065" s="87" t="s">
        <v>15</v>
      </c>
      <c r="E1065" s="116">
        <v>-1</v>
      </c>
      <c r="F1065" s="87" t="s">
        <v>710</v>
      </c>
      <c r="G1065" s="87" t="s">
        <v>332</v>
      </c>
      <c r="H1065" s="87" t="s">
        <v>710</v>
      </c>
      <c r="I1065" s="87">
        <v>83</v>
      </c>
    </row>
    <row r="1066" spans="1:9" ht="15" customHeight="1" x14ac:dyDescent="0.25">
      <c r="A1066" s="87" t="s">
        <v>23</v>
      </c>
      <c r="B1066" s="87" t="s">
        <v>233</v>
      </c>
      <c r="C1066" s="87">
        <v>1983</v>
      </c>
      <c r="D1066" s="87" t="s">
        <v>15</v>
      </c>
      <c r="E1066" s="116">
        <v>-1</v>
      </c>
      <c r="F1066" s="87" t="s">
        <v>710</v>
      </c>
      <c r="G1066" s="87" t="s">
        <v>332</v>
      </c>
      <c r="H1066" s="87" t="s">
        <v>710</v>
      </c>
      <c r="I1066" s="87">
        <v>83</v>
      </c>
    </row>
    <row r="1067" spans="1:9" ht="15" customHeight="1" x14ac:dyDescent="0.25">
      <c r="A1067" s="87" t="s">
        <v>23</v>
      </c>
      <c r="B1067" s="87" t="s">
        <v>233</v>
      </c>
      <c r="C1067" s="87">
        <v>1984</v>
      </c>
      <c r="D1067" s="87" t="s">
        <v>15</v>
      </c>
      <c r="E1067" s="116">
        <v>-1</v>
      </c>
      <c r="F1067" s="87" t="s">
        <v>710</v>
      </c>
      <c r="G1067" s="87" t="s">
        <v>332</v>
      </c>
      <c r="H1067" s="87" t="s">
        <v>710</v>
      </c>
      <c r="I1067" s="87">
        <v>83</v>
      </c>
    </row>
    <row r="1068" spans="1:9" ht="15" customHeight="1" x14ac:dyDescent="0.25">
      <c r="A1068" s="87" t="s">
        <v>23</v>
      </c>
      <c r="B1068" s="87" t="s">
        <v>233</v>
      </c>
      <c r="C1068" s="87">
        <v>1985</v>
      </c>
      <c r="D1068" s="87" t="s">
        <v>15</v>
      </c>
      <c r="E1068" s="116">
        <v>-1</v>
      </c>
      <c r="F1068" s="87" t="s">
        <v>710</v>
      </c>
      <c r="G1068" s="87" t="s">
        <v>332</v>
      </c>
      <c r="H1068" s="87" t="s">
        <v>710</v>
      </c>
      <c r="I1068" s="87">
        <v>83</v>
      </c>
    </row>
    <row r="1069" spans="1:9" ht="15" customHeight="1" x14ac:dyDescent="0.25">
      <c r="A1069" s="87" t="s">
        <v>23</v>
      </c>
      <c r="B1069" s="87" t="s">
        <v>233</v>
      </c>
      <c r="C1069" s="87">
        <v>1986</v>
      </c>
      <c r="D1069" s="87" t="s">
        <v>15</v>
      </c>
      <c r="E1069" s="116">
        <v>100</v>
      </c>
      <c r="F1069" s="87" t="s">
        <v>710</v>
      </c>
      <c r="G1069" s="87" t="s">
        <v>332</v>
      </c>
      <c r="H1069" s="87" t="s">
        <v>927</v>
      </c>
      <c r="I1069" s="87">
        <v>83</v>
      </c>
    </row>
    <row r="1070" spans="1:9" ht="15" customHeight="1" x14ac:dyDescent="0.25">
      <c r="A1070" s="87" t="s">
        <v>23</v>
      </c>
      <c r="B1070" s="87" t="s">
        <v>233</v>
      </c>
      <c r="C1070" s="87">
        <v>1987</v>
      </c>
      <c r="D1070" s="87" t="s">
        <v>15</v>
      </c>
      <c r="E1070" s="116">
        <v>-1</v>
      </c>
      <c r="F1070" s="87" t="s">
        <v>710</v>
      </c>
      <c r="G1070" s="87" t="s">
        <v>332</v>
      </c>
      <c r="H1070" s="87" t="s">
        <v>710</v>
      </c>
      <c r="I1070" s="87">
        <v>83</v>
      </c>
    </row>
    <row r="1071" spans="1:9" ht="15" customHeight="1" x14ac:dyDescent="0.25">
      <c r="A1071" s="87" t="s">
        <v>23</v>
      </c>
      <c r="B1071" s="87" t="s">
        <v>233</v>
      </c>
      <c r="C1071" s="87">
        <v>1988</v>
      </c>
      <c r="D1071" s="87" t="s">
        <v>15</v>
      </c>
      <c r="E1071" s="116">
        <v>-1</v>
      </c>
      <c r="F1071" s="87" t="s">
        <v>710</v>
      </c>
      <c r="G1071" s="87" t="s">
        <v>332</v>
      </c>
      <c r="H1071" s="87" t="s">
        <v>710</v>
      </c>
      <c r="I1071" s="87">
        <v>83</v>
      </c>
    </row>
    <row r="1072" spans="1:9" ht="15" customHeight="1" x14ac:dyDescent="0.25">
      <c r="A1072" s="87" t="s">
        <v>23</v>
      </c>
      <c r="B1072" s="87" t="s">
        <v>233</v>
      </c>
      <c r="C1072" s="87">
        <v>1989</v>
      </c>
      <c r="D1072" s="87" t="s">
        <v>15</v>
      </c>
      <c r="E1072" s="116">
        <v>-1</v>
      </c>
      <c r="F1072" s="87" t="s">
        <v>710</v>
      </c>
      <c r="G1072" s="87" t="s">
        <v>332</v>
      </c>
      <c r="H1072" s="87" t="s">
        <v>710</v>
      </c>
      <c r="I1072" s="87">
        <v>83</v>
      </c>
    </row>
    <row r="1073" spans="1:9" ht="15" customHeight="1" x14ac:dyDescent="0.25">
      <c r="A1073" s="87" t="s">
        <v>23</v>
      </c>
      <c r="B1073" s="87" t="s">
        <v>233</v>
      </c>
      <c r="C1073" s="87">
        <v>1990</v>
      </c>
      <c r="D1073" s="87" t="s">
        <v>15</v>
      </c>
      <c r="E1073" s="116">
        <v>279</v>
      </c>
      <c r="F1073" s="87" t="s">
        <v>710</v>
      </c>
      <c r="G1073" s="87" t="s">
        <v>272</v>
      </c>
      <c r="H1073" s="87" t="s">
        <v>710</v>
      </c>
      <c r="I1073" s="87">
        <v>83</v>
      </c>
    </row>
    <row r="1074" spans="1:9" ht="15" customHeight="1" x14ac:dyDescent="0.25">
      <c r="A1074" s="87" t="s">
        <v>23</v>
      </c>
      <c r="B1074" s="87" t="s">
        <v>233</v>
      </c>
      <c r="C1074" s="87">
        <v>1991</v>
      </c>
      <c r="D1074" s="87" t="s">
        <v>15</v>
      </c>
      <c r="E1074" s="116">
        <v>-1</v>
      </c>
      <c r="F1074" s="87" t="s">
        <v>710</v>
      </c>
      <c r="G1074" s="87" t="s">
        <v>332</v>
      </c>
      <c r="H1074" s="87" t="s">
        <v>710</v>
      </c>
      <c r="I1074" s="87">
        <v>83</v>
      </c>
    </row>
    <row r="1075" spans="1:9" ht="15" customHeight="1" x14ac:dyDescent="0.25">
      <c r="A1075" s="87" t="s">
        <v>23</v>
      </c>
      <c r="B1075" s="87" t="s">
        <v>233</v>
      </c>
      <c r="C1075" s="87">
        <v>1992</v>
      </c>
      <c r="D1075" s="87" t="s">
        <v>15</v>
      </c>
      <c r="E1075" s="116">
        <v>-1</v>
      </c>
      <c r="F1075" s="87" t="s">
        <v>710</v>
      </c>
      <c r="G1075" s="87" t="s">
        <v>332</v>
      </c>
      <c r="H1075" s="87" t="s">
        <v>710</v>
      </c>
      <c r="I1075" s="87">
        <v>83</v>
      </c>
    </row>
    <row r="1076" spans="1:9" ht="15" customHeight="1" x14ac:dyDescent="0.25">
      <c r="A1076" s="87" t="s">
        <v>23</v>
      </c>
      <c r="B1076" s="87" t="s">
        <v>233</v>
      </c>
      <c r="C1076" s="87">
        <v>1993</v>
      </c>
      <c r="D1076" s="87" t="s">
        <v>15</v>
      </c>
      <c r="E1076" s="116">
        <v>101</v>
      </c>
      <c r="F1076" s="87" t="s">
        <v>710</v>
      </c>
      <c r="G1076" s="87" t="s">
        <v>272</v>
      </c>
      <c r="H1076" s="87" t="s">
        <v>710</v>
      </c>
      <c r="I1076" s="87">
        <v>83</v>
      </c>
    </row>
    <row r="1077" spans="1:9" ht="15" customHeight="1" x14ac:dyDescent="0.25">
      <c r="A1077" s="87" t="s">
        <v>23</v>
      </c>
      <c r="B1077" s="87" t="s">
        <v>233</v>
      </c>
      <c r="C1077" s="87">
        <v>1994</v>
      </c>
      <c r="D1077" s="87" t="s">
        <v>15</v>
      </c>
      <c r="E1077" s="116">
        <v>218</v>
      </c>
      <c r="F1077" s="87" t="s">
        <v>710</v>
      </c>
      <c r="G1077" s="87" t="s">
        <v>272</v>
      </c>
      <c r="H1077" s="87" t="s">
        <v>710</v>
      </c>
      <c r="I1077" s="87">
        <v>83</v>
      </c>
    </row>
    <row r="1078" spans="1:9" ht="15" customHeight="1" x14ac:dyDescent="0.25">
      <c r="A1078" s="87" t="s">
        <v>23</v>
      </c>
      <c r="B1078" s="87" t="s">
        <v>233</v>
      </c>
      <c r="C1078" s="87">
        <v>1995</v>
      </c>
      <c r="D1078" s="87" t="s">
        <v>15</v>
      </c>
      <c r="E1078" s="116">
        <v>-1</v>
      </c>
      <c r="F1078" s="87" t="s">
        <v>967</v>
      </c>
      <c r="G1078" s="87" t="s">
        <v>332</v>
      </c>
      <c r="H1078" s="87" t="s">
        <v>710</v>
      </c>
      <c r="I1078" s="87">
        <v>83</v>
      </c>
    </row>
    <row r="1079" spans="1:9" ht="15" customHeight="1" x14ac:dyDescent="0.25">
      <c r="A1079" s="87" t="s">
        <v>23</v>
      </c>
      <c r="B1079" s="87" t="s">
        <v>233</v>
      </c>
      <c r="C1079" s="87">
        <v>1996</v>
      </c>
      <c r="D1079" s="87" t="s">
        <v>15</v>
      </c>
      <c r="E1079" s="116">
        <v>-1</v>
      </c>
      <c r="F1079" s="87" t="s">
        <v>967</v>
      </c>
      <c r="G1079" s="87" t="s">
        <v>332</v>
      </c>
      <c r="H1079" s="87" t="s">
        <v>710</v>
      </c>
      <c r="I1079" s="87">
        <v>83</v>
      </c>
    </row>
    <row r="1080" spans="1:9" ht="15" customHeight="1" x14ac:dyDescent="0.25">
      <c r="A1080" s="87" t="s">
        <v>23</v>
      </c>
      <c r="B1080" s="87" t="s">
        <v>233</v>
      </c>
      <c r="C1080" s="87">
        <v>1997</v>
      </c>
      <c r="D1080" s="87" t="s">
        <v>15</v>
      </c>
      <c r="E1080" s="116">
        <v>90</v>
      </c>
      <c r="F1080" s="87" t="s">
        <v>967</v>
      </c>
      <c r="G1080" s="87" t="s">
        <v>272</v>
      </c>
      <c r="H1080" s="87" t="s">
        <v>710</v>
      </c>
      <c r="I1080" s="87">
        <v>83</v>
      </c>
    </row>
    <row r="1081" spans="1:9" ht="15" customHeight="1" x14ac:dyDescent="0.25">
      <c r="A1081" s="87" t="s">
        <v>23</v>
      </c>
      <c r="B1081" s="87" t="s">
        <v>233</v>
      </c>
      <c r="C1081" s="87">
        <v>1998</v>
      </c>
      <c r="D1081" s="87" t="s">
        <v>15</v>
      </c>
      <c r="E1081" s="116">
        <v>18</v>
      </c>
      <c r="F1081" s="87" t="s">
        <v>967</v>
      </c>
      <c r="G1081" s="87" t="s">
        <v>967</v>
      </c>
      <c r="H1081" s="87" t="s">
        <v>710</v>
      </c>
      <c r="I1081" s="87">
        <v>83</v>
      </c>
    </row>
    <row r="1082" spans="1:9" ht="15" customHeight="1" x14ac:dyDescent="0.25">
      <c r="A1082" s="87" t="s">
        <v>23</v>
      </c>
      <c r="B1082" s="87" t="s">
        <v>233</v>
      </c>
      <c r="C1082" s="87">
        <v>1999</v>
      </c>
      <c r="D1082" s="87" t="s">
        <v>15</v>
      </c>
      <c r="E1082" s="116">
        <v>115</v>
      </c>
      <c r="F1082" s="87" t="s">
        <v>967</v>
      </c>
      <c r="G1082" s="87" t="s">
        <v>967</v>
      </c>
      <c r="H1082" s="87" t="s">
        <v>967</v>
      </c>
      <c r="I1082" s="87">
        <v>83</v>
      </c>
    </row>
    <row r="1083" spans="1:9" ht="15" customHeight="1" x14ac:dyDescent="0.25">
      <c r="A1083" s="87" t="s">
        <v>23</v>
      </c>
      <c r="B1083" s="87" t="s">
        <v>233</v>
      </c>
      <c r="C1083" s="87">
        <v>2000</v>
      </c>
      <c r="D1083" s="87" t="s">
        <v>15</v>
      </c>
      <c r="E1083" s="116">
        <v>31</v>
      </c>
      <c r="F1083" s="87" t="s">
        <v>967</v>
      </c>
      <c r="G1083" s="87" t="s">
        <v>967</v>
      </c>
      <c r="H1083" s="87" t="s">
        <v>967</v>
      </c>
      <c r="I1083" s="87">
        <v>83</v>
      </c>
    </row>
    <row r="1084" spans="1:9" ht="15" customHeight="1" x14ac:dyDescent="0.25">
      <c r="A1084" s="87" t="s">
        <v>23</v>
      </c>
      <c r="B1084" s="87" t="s">
        <v>233</v>
      </c>
      <c r="C1084" s="87">
        <v>2001</v>
      </c>
      <c r="D1084" s="87" t="s">
        <v>15</v>
      </c>
      <c r="E1084" s="116">
        <v>199</v>
      </c>
      <c r="F1084" s="87" t="s">
        <v>967</v>
      </c>
      <c r="G1084" s="87" t="s">
        <v>272</v>
      </c>
      <c r="H1084" s="87" t="s">
        <v>710</v>
      </c>
      <c r="I1084" s="87">
        <v>83</v>
      </c>
    </row>
    <row r="1085" spans="1:9" ht="15" customHeight="1" x14ac:dyDescent="0.25">
      <c r="A1085" s="87" t="s">
        <v>23</v>
      </c>
      <c r="B1085" s="87" t="s">
        <v>233</v>
      </c>
      <c r="C1085" s="87">
        <v>2002</v>
      </c>
      <c r="D1085" s="87" t="s">
        <v>15</v>
      </c>
      <c r="E1085" s="116">
        <v>-1</v>
      </c>
      <c r="F1085" s="87" t="s">
        <v>967</v>
      </c>
      <c r="G1085" s="87" t="s">
        <v>332</v>
      </c>
      <c r="H1085" s="87" t="s">
        <v>710</v>
      </c>
      <c r="I1085" s="87">
        <v>83</v>
      </c>
    </row>
    <row r="1086" spans="1:9" ht="15" customHeight="1" x14ac:dyDescent="0.25">
      <c r="A1086" s="87" t="s">
        <v>23</v>
      </c>
      <c r="B1086" s="87" t="s">
        <v>233</v>
      </c>
      <c r="C1086" s="87">
        <v>2003</v>
      </c>
      <c r="D1086" s="87" t="s">
        <v>15</v>
      </c>
      <c r="E1086" s="116">
        <v>17</v>
      </c>
      <c r="F1086" s="87" t="s">
        <v>967</v>
      </c>
      <c r="G1086" s="87" t="s">
        <v>272</v>
      </c>
      <c r="H1086" s="87" t="s">
        <v>710</v>
      </c>
      <c r="I1086" s="87">
        <v>83</v>
      </c>
    </row>
    <row r="1087" spans="1:9" ht="15" customHeight="1" x14ac:dyDescent="0.25">
      <c r="A1087" s="87" t="s">
        <v>23</v>
      </c>
      <c r="B1087" s="87" t="s">
        <v>233</v>
      </c>
      <c r="C1087" s="87">
        <v>2004</v>
      </c>
      <c r="D1087" s="87" t="s">
        <v>15</v>
      </c>
      <c r="E1087" s="116">
        <v>-1</v>
      </c>
      <c r="F1087" s="87" t="s">
        <v>967</v>
      </c>
      <c r="G1087" s="87" t="s">
        <v>332</v>
      </c>
      <c r="H1087" s="87" t="s">
        <v>710</v>
      </c>
      <c r="I1087" s="87">
        <v>83</v>
      </c>
    </row>
    <row r="1088" spans="1:9" ht="15" customHeight="1" x14ac:dyDescent="0.25">
      <c r="A1088" s="87" t="s">
        <v>23</v>
      </c>
      <c r="B1088" s="87" t="s">
        <v>233</v>
      </c>
      <c r="C1088" s="87">
        <v>2005</v>
      </c>
      <c r="D1088" s="87" t="s">
        <v>15</v>
      </c>
      <c r="E1088" s="116">
        <v>-1</v>
      </c>
      <c r="F1088" s="87" t="s">
        <v>967</v>
      </c>
      <c r="G1088" s="87" t="s">
        <v>332</v>
      </c>
      <c r="H1088" s="87" t="s">
        <v>710</v>
      </c>
      <c r="I1088" s="87">
        <v>83</v>
      </c>
    </row>
    <row r="1089" spans="1:9" ht="15" customHeight="1" x14ac:dyDescent="0.25">
      <c r="A1089" s="87" t="s">
        <v>23</v>
      </c>
      <c r="B1089" s="87" t="s">
        <v>233</v>
      </c>
      <c r="C1089" s="87">
        <v>2006</v>
      </c>
      <c r="D1089" s="87" t="s">
        <v>15</v>
      </c>
      <c r="E1089" s="116">
        <v>-1</v>
      </c>
      <c r="F1089" s="87" t="s">
        <v>967</v>
      </c>
      <c r="G1089" s="87" t="s">
        <v>332</v>
      </c>
      <c r="H1089" s="87" t="s">
        <v>710</v>
      </c>
      <c r="I1089" s="87">
        <v>83</v>
      </c>
    </row>
    <row r="1090" spans="1:9" ht="15" customHeight="1" x14ac:dyDescent="0.25">
      <c r="A1090" s="87" t="s">
        <v>23</v>
      </c>
      <c r="B1090" s="87" t="s">
        <v>233</v>
      </c>
      <c r="C1090" s="87">
        <v>2007</v>
      </c>
      <c r="D1090" s="87" t="s">
        <v>15</v>
      </c>
      <c r="E1090" s="116">
        <v>-1</v>
      </c>
      <c r="F1090" s="87" t="s">
        <v>967</v>
      </c>
      <c r="G1090" s="87" t="s">
        <v>332</v>
      </c>
      <c r="H1090" s="87" t="s">
        <v>710</v>
      </c>
      <c r="I1090" s="87">
        <v>83</v>
      </c>
    </row>
    <row r="1091" spans="1:9" ht="15" customHeight="1" x14ac:dyDescent="0.25">
      <c r="A1091" s="87" t="s">
        <v>23</v>
      </c>
      <c r="B1091" s="87" t="s">
        <v>233</v>
      </c>
      <c r="C1091" s="87">
        <v>2008</v>
      </c>
      <c r="D1091" s="87" t="s">
        <v>15</v>
      </c>
      <c r="E1091" s="116">
        <v>22</v>
      </c>
      <c r="F1091" s="87" t="s">
        <v>967</v>
      </c>
      <c r="G1091" s="87" t="s">
        <v>967</v>
      </c>
      <c r="H1091" s="87" t="s">
        <v>967</v>
      </c>
      <c r="I1091" s="87">
        <v>83</v>
      </c>
    </row>
    <row r="1092" spans="1:9" ht="15" customHeight="1" x14ac:dyDescent="0.25">
      <c r="A1092" s="87" t="s">
        <v>23</v>
      </c>
      <c r="B1092" s="87" t="s">
        <v>233</v>
      </c>
      <c r="C1092" s="87">
        <v>2009</v>
      </c>
      <c r="D1092" s="87" t="s">
        <v>15</v>
      </c>
      <c r="E1092" s="116">
        <v>9</v>
      </c>
      <c r="F1092" s="87" t="s">
        <v>967</v>
      </c>
      <c r="G1092" s="87" t="s">
        <v>967</v>
      </c>
      <c r="H1092" s="87" t="s">
        <v>967</v>
      </c>
      <c r="I1092" s="87">
        <v>83</v>
      </c>
    </row>
    <row r="1093" spans="1:9" ht="15" customHeight="1" x14ac:dyDescent="0.25">
      <c r="A1093" s="87" t="s">
        <v>23</v>
      </c>
      <c r="B1093" s="87" t="s">
        <v>233</v>
      </c>
      <c r="C1093" s="87">
        <v>2010</v>
      </c>
      <c r="D1093" s="87" t="s">
        <v>15</v>
      </c>
      <c r="E1093" s="116">
        <v>1E-3</v>
      </c>
      <c r="F1093" s="87" t="s">
        <v>967</v>
      </c>
      <c r="G1093" s="87" t="s">
        <v>967</v>
      </c>
      <c r="H1093" s="87" t="s">
        <v>710</v>
      </c>
      <c r="I1093" s="87">
        <v>83</v>
      </c>
    </row>
    <row r="1094" spans="1:9" ht="15" customHeight="1" x14ac:dyDescent="0.25">
      <c r="A1094" s="87" t="s">
        <v>23</v>
      </c>
      <c r="B1094" s="87" t="s">
        <v>233</v>
      </c>
      <c r="C1094" s="87">
        <v>2011</v>
      </c>
      <c r="D1094" s="87" t="s">
        <v>15</v>
      </c>
      <c r="E1094" s="116">
        <v>3</v>
      </c>
      <c r="F1094" s="87" t="s">
        <v>967</v>
      </c>
      <c r="G1094" s="87" t="s">
        <v>967</v>
      </c>
      <c r="H1094" s="87" t="s">
        <v>967</v>
      </c>
      <c r="I1094" s="87">
        <v>83</v>
      </c>
    </row>
    <row r="1095" spans="1:9" ht="15" customHeight="1" x14ac:dyDescent="0.25">
      <c r="A1095" s="87" t="s">
        <v>23</v>
      </c>
      <c r="B1095" s="87" t="s">
        <v>233</v>
      </c>
      <c r="C1095" s="87">
        <v>2012</v>
      </c>
      <c r="D1095" s="87" t="s">
        <v>15</v>
      </c>
      <c r="E1095" s="116">
        <v>2</v>
      </c>
      <c r="F1095" s="87" t="s">
        <v>967</v>
      </c>
      <c r="G1095" s="87" t="s">
        <v>967</v>
      </c>
      <c r="H1095" s="87" t="s">
        <v>967</v>
      </c>
      <c r="I1095" s="87">
        <v>83</v>
      </c>
    </row>
    <row r="1096" spans="1:9" ht="15" customHeight="1" x14ac:dyDescent="0.25">
      <c r="A1096" s="87" t="s">
        <v>23</v>
      </c>
      <c r="B1096" s="87" t="s">
        <v>233</v>
      </c>
      <c r="C1096" s="87">
        <v>2013</v>
      </c>
      <c r="D1096" s="87" t="s">
        <v>15</v>
      </c>
      <c r="E1096" s="116">
        <v>12</v>
      </c>
      <c r="F1096" s="87" t="s">
        <v>967</v>
      </c>
      <c r="G1096" s="87" t="s">
        <v>967</v>
      </c>
      <c r="H1096" s="87" t="s">
        <v>967</v>
      </c>
      <c r="I1096" s="87">
        <v>83</v>
      </c>
    </row>
    <row r="1097" spans="1:9" ht="15" customHeight="1" x14ac:dyDescent="0.25">
      <c r="A1097" s="87" t="s">
        <v>23</v>
      </c>
      <c r="B1097" s="87" t="s">
        <v>233</v>
      </c>
      <c r="C1097" s="87">
        <v>2014</v>
      </c>
      <c r="D1097" s="87" t="s">
        <v>15</v>
      </c>
      <c r="E1097" s="116">
        <v>42</v>
      </c>
      <c r="F1097" s="87" t="s">
        <v>967</v>
      </c>
      <c r="G1097" s="87" t="s">
        <v>967</v>
      </c>
      <c r="H1097" s="87" t="s">
        <v>967</v>
      </c>
      <c r="I1097" s="87">
        <v>83</v>
      </c>
    </row>
    <row r="1098" spans="1:9" ht="15" customHeight="1" x14ac:dyDescent="0.25">
      <c r="A1098" s="87" t="s">
        <v>23</v>
      </c>
      <c r="B1098" s="87" t="s">
        <v>233</v>
      </c>
      <c r="C1098" s="87">
        <v>2015</v>
      </c>
      <c r="D1098" s="87" t="s">
        <v>15</v>
      </c>
      <c r="E1098" s="116">
        <v>0</v>
      </c>
      <c r="F1098" s="87" t="s">
        <v>967</v>
      </c>
      <c r="G1098" s="87" t="s">
        <v>967</v>
      </c>
      <c r="H1098" s="87" t="s">
        <v>967</v>
      </c>
      <c r="I1098" s="87">
        <v>83</v>
      </c>
    </row>
    <row r="1099" spans="1:9" ht="15" customHeight="1" x14ac:dyDescent="0.25">
      <c r="A1099" s="87" t="s">
        <v>23</v>
      </c>
      <c r="B1099" s="87" t="s">
        <v>233</v>
      </c>
      <c r="C1099" s="87">
        <v>2016</v>
      </c>
      <c r="D1099" s="87" t="s">
        <v>15</v>
      </c>
      <c r="E1099" s="116">
        <v>11</v>
      </c>
      <c r="F1099" s="87" t="s">
        <v>967</v>
      </c>
      <c r="G1099" s="87" t="s">
        <v>272</v>
      </c>
      <c r="H1099" s="87" t="s">
        <v>711</v>
      </c>
      <c r="I1099" s="87">
        <v>83</v>
      </c>
    </row>
    <row r="1100" spans="1:9" ht="15" customHeight="1" x14ac:dyDescent="0.25">
      <c r="A1100" s="87" t="s">
        <v>23</v>
      </c>
      <c r="B1100" s="87" t="s">
        <v>233</v>
      </c>
      <c r="C1100" s="87">
        <v>2017</v>
      </c>
      <c r="D1100" s="87" t="s">
        <v>15</v>
      </c>
      <c r="E1100" s="116">
        <v>0</v>
      </c>
      <c r="F1100" s="87" t="s">
        <v>967</v>
      </c>
      <c r="G1100" s="87" t="s">
        <v>967</v>
      </c>
      <c r="H1100" s="87" t="s">
        <v>967</v>
      </c>
      <c r="I1100" s="87">
        <v>83</v>
      </c>
    </row>
    <row r="1101" spans="1:9" ht="15" customHeight="1" x14ac:dyDescent="0.25">
      <c r="A1101" s="87" t="s">
        <v>23</v>
      </c>
      <c r="B1101" s="87" t="s">
        <v>233</v>
      </c>
      <c r="C1101" s="87">
        <v>2018</v>
      </c>
      <c r="D1101" s="87" t="s">
        <v>15</v>
      </c>
      <c r="E1101" s="116">
        <v>0</v>
      </c>
      <c r="F1101" s="87" t="s">
        <v>967</v>
      </c>
      <c r="G1101" s="87" t="s">
        <v>274</v>
      </c>
      <c r="H1101" s="87" t="s">
        <v>967</v>
      </c>
      <c r="I1101" s="87">
        <v>83</v>
      </c>
    </row>
    <row r="1102" spans="1:9" ht="15" customHeight="1" x14ac:dyDescent="0.25">
      <c r="A1102" s="87" t="s">
        <v>23</v>
      </c>
      <c r="B1102" s="87" t="s">
        <v>233</v>
      </c>
      <c r="C1102" s="87">
        <v>2019</v>
      </c>
      <c r="D1102" s="87" t="s">
        <v>15</v>
      </c>
      <c r="E1102" s="116">
        <v>0</v>
      </c>
      <c r="F1102" s="87" t="s">
        <v>967</v>
      </c>
      <c r="G1102" s="87" t="s">
        <v>274</v>
      </c>
      <c r="H1102" s="87" t="s">
        <v>979</v>
      </c>
      <c r="I1102" s="87">
        <v>83</v>
      </c>
    </row>
    <row r="1103" spans="1:9" ht="15" customHeight="1" x14ac:dyDescent="0.25">
      <c r="A1103" s="87" t="s">
        <v>23</v>
      </c>
      <c r="B1103" s="87" t="s">
        <v>233</v>
      </c>
      <c r="C1103" s="87">
        <v>2020</v>
      </c>
      <c r="D1103" s="87" t="s">
        <v>15</v>
      </c>
      <c r="E1103" s="116">
        <v>-1</v>
      </c>
      <c r="F1103" s="87" t="s">
        <v>967</v>
      </c>
      <c r="G1103" s="87" t="s">
        <v>967</v>
      </c>
      <c r="H1103" s="87" t="s">
        <v>967</v>
      </c>
      <c r="I1103" s="87">
        <v>83</v>
      </c>
    </row>
    <row r="1104" spans="1:9" ht="15" customHeight="1" x14ac:dyDescent="0.25">
      <c r="A1104" s="87" t="s">
        <v>23</v>
      </c>
      <c r="B1104" s="87" t="s">
        <v>233</v>
      </c>
      <c r="C1104" s="87">
        <v>2021</v>
      </c>
      <c r="D1104" s="87" t="s">
        <v>15</v>
      </c>
      <c r="E1104" s="116">
        <v>0</v>
      </c>
      <c r="F1104" s="87" t="s">
        <v>967</v>
      </c>
      <c r="G1104" s="87" t="s">
        <v>272</v>
      </c>
      <c r="H1104" s="87" t="s">
        <v>967</v>
      </c>
      <c r="I1104" s="87">
        <v>83</v>
      </c>
    </row>
    <row r="1105" spans="1:9" ht="15" customHeight="1" x14ac:dyDescent="0.25">
      <c r="A1105" s="87" t="s">
        <v>23</v>
      </c>
      <c r="B1105" s="87" t="s">
        <v>233</v>
      </c>
      <c r="C1105" s="87">
        <v>2022</v>
      </c>
      <c r="D1105" s="87" t="s">
        <v>15</v>
      </c>
      <c r="E1105" s="116">
        <v>5</v>
      </c>
      <c r="F1105" s="87" t="s">
        <v>967</v>
      </c>
      <c r="G1105" s="87" t="s">
        <v>272</v>
      </c>
      <c r="H1105" s="87" t="s">
        <v>967</v>
      </c>
      <c r="I1105" s="87">
        <v>83</v>
      </c>
    </row>
    <row r="1106" spans="1:9" ht="15" customHeight="1" x14ac:dyDescent="0.25">
      <c r="A1106" s="87" t="s">
        <v>23</v>
      </c>
      <c r="B1106" s="87" t="s">
        <v>301</v>
      </c>
      <c r="C1106" s="87">
        <v>1975</v>
      </c>
      <c r="D1106" s="87" t="s">
        <v>15</v>
      </c>
      <c r="E1106" s="116">
        <v>-1</v>
      </c>
      <c r="F1106" s="87" t="s">
        <v>508</v>
      </c>
      <c r="G1106" s="87" t="s">
        <v>967</v>
      </c>
      <c r="H1106" s="87" t="s">
        <v>508</v>
      </c>
      <c r="I1106" s="87">
        <v>76</v>
      </c>
    </row>
    <row r="1107" spans="1:9" ht="15" customHeight="1" x14ac:dyDescent="0.25">
      <c r="A1107" s="87" t="s">
        <v>23</v>
      </c>
      <c r="B1107" s="87" t="s">
        <v>301</v>
      </c>
      <c r="C1107" s="87">
        <v>1976</v>
      </c>
      <c r="D1107" s="87" t="s">
        <v>15</v>
      </c>
      <c r="E1107" s="116">
        <v>-1</v>
      </c>
      <c r="F1107" s="87" t="s">
        <v>508</v>
      </c>
      <c r="G1107" s="87" t="s">
        <v>967</v>
      </c>
      <c r="H1107" s="87" t="s">
        <v>508</v>
      </c>
      <c r="I1107" s="87">
        <v>76</v>
      </c>
    </row>
    <row r="1108" spans="1:9" ht="15" customHeight="1" x14ac:dyDescent="0.25">
      <c r="A1108" s="87" t="s">
        <v>23</v>
      </c>
      <c r="B1108" s="87" t="s">
        <v>301</v>
      </c>
      <c r="C1108" s="87">
        <v>1977</v>
      </c>
      <c r="D1108" s="87" t="s">
        <v>15</v>
      </c>
      <c r="E1108" s="116">
        <v>-1</v>
      </c>
      <c r="F1108" s="87" t="s">
        <v>508</v>
      </c>
      <c r="G1108" s="87" t="s">
        <v>967</v>
      </c>
      <c r="H1108" s="87" t="s">
        <v>508</v>
      </c>
      <c r="I1108" s="87">
        <v>76</v>
      </c>
    </row>
    <row r="1109" spans="1:9" ht="15" customHeight="1" x14ac:dyDescent="0.25">
      <c r="A1109" s="87" t="s">
        <v>23</v>
      </c>
      <c r="B1109" s="87" t="s">
        <v>301</v>
      </c>
      <c r="C1109" s="87">
        <v>1978</v>
      </c>
      <c r="D1109" s="87" t="s">
        <v>15</v>
      </c>
      <c r="E1109" s="116">
        <v>-1</v>
      </c>
      <c r="F1109" s="87" t="s">
        <v>508</v>
      </c>
      <c r="G1109" s="87" t="s">
        <v>967</v>
      </c>
      <c r="H1109" s="87" t="s">
        <v>508</v>
      </c>
      <c r="I1109" s="87">
        <v>76</v>
      </c>
    </row>
    <row r="1110" spans="1:9" ht="15" customHeight="1" x14ac:dyDescent="0.25">
      <c r="A1110" s="87" t="s">
        <v>23</v>
      </c>
      <c r="B1110" s="87" t="s">
        <v>301</v>
      </c>
      <c r="C1110" s="87">
        <v>1979</v>
      </c>
      <c r="D1110" s="87" t="s">
        <v>15</v>
      </c>
      <c r="E1110" s="116">
        <v>-1</v>
      </c>
      <c r="F1110" s="87" t="s">
        <v>508</v>
      </c>
      <c r="G1110" s="87" t="s">
        <v>967</v>
      </c>
      <c r="H1110" s="87" t="s">
        <v>508</v>
      </c>
      <c r="I1110" s="87">
        <v>76</v>
      </c>
    </row>
    <row r="1111" spans="1:9" ht="15" customHeight="1" x14ac:dyDescent="0.25">
      <c r="A1111" s="87" t="s">
        <v>23</v>
      </c>
      <c r="B1111" s="87" t="s">
        <v>301</v>
      </c>
      <c r="C1111" s="87">
        <v>1980</v>
      </c>
      <c r="D1111" s="87" t="s">
        <v>15</v>
      </c>
      <c r="E1111" s="116">
        <v>-1</v>
      </c>
      <c r="F1111" s="87" t="s">
        <v>508</v>
      </c>
      <c r="G1111" s="87" t="s">
        <v>967</v>
      </c>
      <c r="H1111" s="87" t="s">
        <v>508</v>
      </c>
      <c r="I1111" s="87">
        <v>76</v>
      </c>
    </row>
    <row r="1112" spans="1:9" ht="15" customHeight="1" x14ac:dyDescent="0.25">
      <c r="A1112" s="87" t="s">
        <v>23</v>
      </c>
      <c r="B1112" s="87" t="s">
        <v>301</v>
      </c>
      <c r="C1112" s="87">
        <v>1981</v>
      </c>
      <c r="D1112" s="87" t="s">
        <v>15</v>
      </c>
      <c r="E1112" s="116">
        <v>-1</v>
      </c>
      <c r="F1112" s="87" t="s">
        <v>508</v>
      </c>
      <c r="G1112" s="87" t="s">
        <v>967</v>
      </c>
      <c r="H1112" s="87" t="s">
        <v>508</v>
      </c>
      <c r="I1112" s="87">
        <v>76</v>
      </c>
    </row>
    <row r="1113" spans="1:9" ht="15" customHeight="1" x14ac:dyDescent="0.25">
      <c r="A1113" s="87" t="s">
        <v>23</v>
      </c>
      <c r="B1113" s="87" t="s">
        <v>301</v>
      </c>
      <c r="C1113" s="87">
        <v>1982</v>
      </c>
      <c r="D1113" s="87" t="s">
        <v>15</v>
      </c>
      <c r="E1113" s="116">
        <v>-1</v>
      </c>
      <c r="F1113" s="87" t="s">
        <v>508</v>
      </c>
      <c r="G1113" s="87" t="s">
        <v>967</v>
      </c>
      <c r="H1113" s="87" t="s">
        <v>508</v>
      </c>
      <c r="I1113" s="87">
        <v>76</v>
      </c>
    </row>
    <row r="1114" spans="1:9" ht="15" customHeight="1" x14ac:dyDescent="0.25">
      <c r="A1114" s="87" t="s">
        <v>23</v>
      </c>
      <c r="B1114" s="87" t="s">
        <v>301</v>
      </c>
      <c r="C1114" s="87">
        <v>1983</v>
      </c>
      <c r="D1114" s="87" t="s">
        <v>15</v>
      </c>
      <c r="E1114" s="116">
        <v>-1</v>
      </c>
      <c r="F1114" s="87" t="s">
        <v>508</v>
      </c>
      <c r="G1114" s="87" t="s">
        <v>967</v>
      </c>
      <c r="H1114" s="87" t="s">
        <v>508</v>
      </c>
      <c r="I1114" s="87">
        <v>76</v>
      </c>
    </row>
    <row r="1115" spans="1:9" ht="15" customHeight="1" x14ac:dyDescent="0.25">
      <c r="A1115" s="87" t="s">
        <v>23</v>
      </c>
      <c r="B1115" s="87" t="s">
        <v>301</v>
      </c>
      <c r="C1115" s="87">
        <v>1984</v>
      </c>
      <c r="D1115" s="87" t="s">
        <v>15</v>
      </c>
      <c r="E1115" s="116">
        <v>-1</v>
      </c>
      <c r="F1115" s="87" t="s">
        <v>508</v>
      </c>
      <c r="G1115" s="87" t="s">
        <v>967</v>
      </c>
      <c r="H1115" s="87" t="s">
        <v>508</v>
      </c>
      <c r="I1115" s="87">
        <v>76</v>
      </c>
    </row>
    <row r="1116" spans="1:9" ht="15" customHeight="1" x14ac:dyDescent="0.25">
      <c r="A1116" s="87" t="s">
        <v>23</v>
      </c>
      <c r="B1116" s="87" t="s">
        <v>301</v>
      </c>
      <c r="C1116" s="87">
        <v>1985</v>
      </c>
      <c r="D1116" s="87" t="s">
        <v>15</v>
      </c>
      <c r="E1116" s="116">
        <v>-1</v>
      </c>
      <c r="F1116" s="87" t="s">
        <v>508</v>
      </c>
      <c r="G1116" s="87" t="s">
        <v>967</v>
      </c>
      <c r="H1116" s="87" t="s">
        <v>508</v>
      </c>
      <c r="I1116" s="87">
        <v>76</v>
      </c>
    </row>
    <row r="1117" spans="1:9" ht="15" customHeight="1" x14ac:dyDescent="0.25">
      <c r="A1117" s="87" t="s">
        <v>23</v>
      </c>
      <c r="B1117" s="87" t="s">
        <v>301</v>
      </c>
      <c r="C1117" s="87">
        <v>1986</v>
      </c>
      <c r="D1117" s="87" t="s">
        <v>15</v>
      </c>
      <c r="E1117" s="116">
        <v>-1</v>
      </c>
      <c r="F1117" s="87" t="s">
        <v>508</v>
      </c>
      <c r="G1117" s="87" t="s">
        <v>967</v>
      </c>
      <c r="H1117" s="87" t="s">
        <v>508</v>
      </c>
      <c r="I1117" s="87">
        <v>76</v>
      </c>
    </row>
    <row r="1118" spans="1:9" ht="15" customHeight="1" x14ac:dyDescent="0.25">
      <c r="A1118" s="87" t="s">
        <v>23</v>
      </c>
      <c r="B1118" s="87" t="s">
        <v>301</v>
      </c>
      <c r="C1118" s="87">
        <v>1987</v>
      </c>
      <c r="D1118" s="87" t="s">
        <v>15</v>
      </c>
      <c r="E1118" s="116">
        <v>150</v>
      </c>
      <c r="F1118" s="87" t="s">
        <v>508</v>
      </c>
      <c r="G1118" s="87" t="s">
        <v>277</v>
      </c>
      <c r="H1118" s="87" t="s">
        <v>508</v>
      </c>
      <c r="I1118" s="87">
        <v>76</v>
      </c>
    </row>
    <row r="1119" spans="1:9" ht="15" customHeight="1" x14ac:dyDescent="0.25">
      <c r="A1119" s="87" t="s">
        <v>23</v>
      </c>
      <c r="B1119" s="87" t="s">
        <v>301</v>
      </c>
      <c r="C1119" s="87">
        <v>1988</v>
      </c>
      <c r="D1119" s="87" t="s">
        <v>15</v>
      </c>
      <c r="E1119" s="116">
        <v>-1</v>
      </c>
      <c r="F1119" s="87" t="s">
        <v>508</v>
      </c>
      <c r="G1119" s="87" t="s">
        <v>967</v>
      </c>
      <c r="H1119" s="87" t="s">
        <v>508</v>
      </c>
      <c r="I1119" s="87">
        <v>76</v>
      </c>
    </row>
    <row r="1120" spans="1:9" ht="15" customHeight="1" x14ac:dyDescent="0.25">
      <c r="A1120" s="87" t="s">
        <v>23</v>
      </c>
      <c r="B1120" s="87" t="s">
        <v>301</v>
      </c>
      <c r="C1120" s="87">
        <v>1989</v>
      </c>
      <c r="D1120" s="87" t="s">
        <v>15</v>
      </c>
      <c r="E1120" s="116">
        <v>25</v>
      </c>
      <c r="F1120" s="87" t="s">
        <v>508</v>
      </c>
      <c r="G1120" s="87" t="s">
        <v>277</v>
      </c>
      <c r="H1120" s="87" t="s">
        <v>508</v>
      </c>
      <c r="I1120" s="87">
        <v>76</v>
      </c>
    </row>
    <row r="1121" spans="1:9" ht="15" customHeight="1" x14ac:dyDescent="0.25">
      <c r="A1121" s="87" t="s">
        <v>23</v>
      </c>
      <c r="B1121" s="87" t="s">
        <v>301</v>
      </c>
      <c r="C1121" s="87">
        <v>1990</v>
      </c>
      <c r="D1121" s="87" t="s">
        <v>15</v>
      </c>
      <c r="E1121" s="116">
        <v>300</v>
      </c>
      <c r="F1121" s="87" t="s">
        <v>508</v>
      </c>
      <c r="G1121" s="87" t="s">
        <v>277</v>
      </c>
      <c r="H1121" s="87" t="s">
        <v>508</v>
      </c>
      <c r="I1121" s="87">
        <v>76</v>
      </c>
    </row>
    <row r="1122" spans="1:9" ht="15" customHeight="1" x14ac:dyDescent="0.25">
      <c r="A1122" s="87" t="s">
        <v>23</v>
      </c>
      <c r="B1122" s="87" t="s">
        <v>301</v>
      </c>
      <c r="C1122" s="87">
        <v>1991</v>
      </c>
      <c r="D1122" s="87" t="s">
        <v>15</v>
      </c>
      <c r="E1122" s="116">
        <v>300</v>
      </c>
      <c r="F1122" s="87" t="s">
        <v>508</v>
      </c>
      <c r="G1122" s="87" t="s">
        <v>277</v>
      </c>
      <c r="H1122" s="87" t="s">
        <v>508</v>
      </c>
      <c r="I1122" s="87">
        <v>76</v>
      </c>
    </row>
    <row r="1123" spans="1:9" ht="15" customHeight="1" x14ac:dyDescent="0.25">
      <c r="A1123" s="87" t="s">
        <v>23</v>
      </c>
      <c r="B1123" s="87" t="s">
        <v>301</v>
      </c>
      <c r="C1123" s="87">
        <v>1992</v>
      </c>
      <c r="D1123" s="87" t="s">
        <v>15</v>
      </c>
      <c r="E1123" s="116">
        <v>200</v>
      </c>
      <c r="F1123" s="87" t="s">
        <v>508</v>
      </c>
      <c r="G1123" s="87" t="s">
        <v>277</v>
      </c>
      <c r="H1123" s="87" t="s">
        <v>508</v>
      </c>
      <c r="I1123" s="87">
        <v>76</v>
      </c>
    </row>
    <row r="1124" spans="1:9" ht="15" customHeight="1" x14ac:dyDescent="0.25">
      <c r="A1124" s="87" t="s">
        <v>23</v>
      </c>
      <c r="B1124" s="87" t="s">
        <v>301</v>
      </c>
      <c r="C1124" s="87">
        <v>1993</v>
      </c>
      <c r="D1124" s="87" t="s">
        <v>15</v>
      </c>
      <c r="E1124" s="116">
        <v>250</v>
      </c>
      <c r="F1124" s="87" t="s">
        <v>508</v>
      </c>
      <c r="G1124" s="87" t="s">
        <v>277</v>
      </c>
      <c r="H1124" s="87" t="s">
        <v>508</v>
      </c>
      <c r="I1124" s="87">
        <v>76</v>
      </c>
    </row>
    <row r="1125" spans="1:9" ht="15" customHeight="1" x14ac:dyDescent="0.25">
      <c r="A1125" s="87" t="s">
        <v>23</v>
      </c>
      <c r="B1125" s="87" t="s">
        <v>301</v>
      </c>
      <c r="C1125" s="87">
        <v>1994</v>
      </c>
      <c r="D1125" s="87" t="s">
        <v>15</v>
      </c>
      <c r="E1125" s="116">
        <v>350</v>
      </c>
      <c r="F1125" s="87" t="s">
        <v>508</v>
      </c>
      <c r="G1125" s="87" t="s">
        <v>967</v>
      </c>
      <c r="H1125" s="87" t="s">
        <v>508</v>
      </c>
      <c r="I1125" s="87">
        <v>76</v>
      </c>
    </row>
    <row r="1126" spans="1:9" ht="15" customHeight="1" x14ac:dyDescent="0.25">
      <c r="A1126" s="87" t="s">
        <v>23</v>
      </c>
      <c r="B1126" s="87" t="s">
        <v>301</v>
      </c>
      <c r="C1126" s="87">
        <v>1995</v>
      </c>
      <c r="D1126" s="87" t="s">
        <v>15</v>
      </c>
      <c r="E1126" s="116">
        <v>250</v>
      </c>
      <c r="F1126" s="87" t="s">
        <v>967</v>
      </c>
      <c r="G1126" s="87" t="s">
        <v>967</v>
      </c>
      <c r="H1126" s="87" t="s">
        <v>725</v>
      </c>
      <c r="I1126" s="87">
        <v>76</v>
      </c>
    </row>
    <row r="1127" spans="1:9" ht="15" customHeight="1" x14ac:dyDescent="0.25">
      <c r="A1127" s="87" t="s">
        <v>23</v>
      </c>
      <c r="B1127" s="87" t="s">
        <v>301</v>
      </c>
      <c r="C1127" s="87">
        <v>1996</v>
      </c>
      <c r="D1127" s="87" t="s">
        <v>15</v>
      </c>
      <c r="E1127" s="116">
        <v>150</v>
      </c>
      <c r="F1127" s="87" t="s">
        <v>967</v>
      </c>
      <c r="G1127" s="87" t="s">
        <v>277</v>
      </c>
      <c r="H1127" s="87" t="s">
        <v>726</v>
      </c>
      <c r="I1127" s="87">
        <v>76</v>
      </c>
    </row>
    <row r="1128" spans="1:9" ht="15" customHeight="1" x14ac:dyDescent="0.25">
      <c r="A1128" s="87" t="s">
        <v>23</v>
      </c>
      <c r="B1128" s="87" t="s">
        <v>301</v>
      </c>
      <c r="C1128" s="87">
        <v>1997</v>
      </c>
      <c r="D1128" s="87" t="s">
        <v>15</v>
      </c>
      <c r="E1128" s="116">
        <v>251</v>
      </c>
      <c r="F1128" s="87" t="s">
        <v>967</v>
      </c>
      <c r="G1128" s="87" t="s">
        <v>277</v>
      </c>
      <c r="H1128" s="87" t="s">
        <v>727</v>
      </c>
      <c r="I1128" s="87">
        <v>76</v>
      </c>
    </row>
    <row r="1129" spans="1:9" ht="15" customHeight="1" x14ac:dyDescent="0.25">
      <c r="A1129" s="87" t="s">
        <v>23</v>
      </c>
      <c r="B1129" s="87" t="s">
        <v>301</v>
      </c>
      <c r="C1129" s="87">
        <v>1998</v>
      </c>
      <c r="D1129" s="87" t="s">
        <v>15</v>
      </c>
      <c r="E1129" s="116">
        <v>125</v>
      </c>
      <c r="F1129" s="87" t="s">
        <v>302</v>
      </c>
      <c r="G1129" s="87" t="s">
        <v>272</v>
      </c>
      <c r="H1129" s="87" t="s">
        <v>967</v>
      </c>
      <c r="I1129" s="87">
        <v>76</v>
      </c>
    </row>
    <row r="1130" spans="1:9" ht="15" customHeight="1" x14ac:dyDescent="0.25">
      <c r="A1130" s="87" t="s">
        <v>23</v>
      </c>
      <c r="B1130" s="87" t="s">
        <v>301</v>
      </c>
      <c r="C1130" s="87">
        <v>1999</v>
      </c>
      <c r="D1130" s="87" t="s">
        <v>15</v>
      </c>
      <c r="E1130" s="116">
        <v>162</v>
      </c>
      <c r="F1130" s="87" t="s">
        <v>967</v>
      </c>
      <c r="G1130" s="87" t="s">
        <v>272</v>
      </c>
      <c r="H1130" s="87" t="s">
        <v>728</v>
      </c>
      <c r="I1130" s="87">
        <v>76</v>
      </c>
    </row>
    <row r="1131" spans="1:9" ht="15" customHeight="1" x14ac:dyDescent="0.25">
      <c r="A1131" s="87" t="s">
        <v>23</v>
      </c>
      <c r="B1131" s="87" t="s">
        <v>301</v>
      </c>
      <c r="C1131" s="87">
        <v>2000</v>
      </c>
      <c r="D1131" s="87" t="s">
        <v>15</v>
      </c>
      <c r="E1131" s="116">
        <v>218</v>
      </c>
      <c r="F1131" s="87" t="s">
        <v>303</v>
      </c>
      <c r="G1131" s="87" t="s">
        <v>272</v>
      </c>
      <c r="H1131" s="87" t="s">
        <v>967</v>
      </c>
      <c r="I1131" s="87">
        <v>76</v>
      </c>
    </row>
    <row r="1132" spans="1:9" ht="15" customHeight="1" x14ac:dyDescent="0.25">
      <c r="A1132" s="87" t="s">
        <v>23</v>
      </c>
      <c r="B1132" s="87" t="s">
        <v>301</v>
      </c>
      <c r="C1132" s="87">
        <v>2001</v>
      </c>
      <c r="D1132" s="87" t="s">
        <v>15</v>
      </c>
      <c r="E1132" s="116">
        <v>383</v>
      </c>
      <c r="F1132" s="87" t="s">
        <v>967</v>
      </c>
      <c r="G1132" s="87" t="s">
        <v>272</v>
      </c>
      <c r="H1132" s="87" t="s">
        <v>967</v>
      </c>
      <c r="I1132" s="87">
        <v>76</v>
      </c>
    </row>
    <row r="1133" spans="1:9" ht="15" customHeight="1" x14ac:dyDescent="0.25">
      <c r="A1133" s="87" t="s">
        <v>23</v>
      </c>
      <c r="B1133" s="87" t="s">
        <v>301</v>
      </c>
      <c r="C1133" s="87">
        <v>2002</v>
      </c>
      <c r="D1133" s="87" t="s">
        <v>15</v>
      </c>
      <c r="E1133" s="116">
        <v>149</v>
      </c>
      <c r="F1133" s="87" t="s">
        <v>967</v>
      </c>
      <c r="G1133" s="87" t="s">
        <v>272</v>
      </c>
      <c r="H1133" s="87" t="s">
        <v>967</v>
      </c>
      <c r="I1133" s="87">
        <v>76</v>
      </c>
    </row>
    <row r="1134" spans="1:9" ht="15" customHeight="1" x14ac:dyDescent="0.25">
      <c r="A1134" s="87" t="s">
        <v>23</v>
      </c>
      <c r="B1134" s="87" t="s">
        <v>301</v>
      </c>
      <c r="C1134" s="87">
        <v>2003</v>
      </c>
      <c r="D1134" s="87" t="s">
        <v>15</v>
      </c>
      <c r="E1134" s="116">
        <v>584</v>
      </c>
      <c r="F1134" s="87" t="s">
        <v>967</v>
      </c>
      <c r="G1134" s="87" t="s">
        <v>272</v>
      </c>
      <c r="H1134" s="87" t="s">
        <v>967</v>
      </c>
      <c r="I1134" s="87">
        <v>76</v>
      </c>
    </row>
    <row r="1135" spans="1:9" ht="15" customHeight="1" x14ac:dyDescent="0.25">
      <c r="A1135" s="87" t="s">
        <v>23</v>
      </c>
      <c r="B1135" s="87" t="s">
        <v>301</v>
      </c>
      <c r="C1135" s="87">
        <v>2004</v>
      </c>
      <c r="D1135" s="87" t="s">
        <v>15</v>
      </c>
      <c r="E1135" s="116">
        <v>-1</v>
      </c>
      <c r="F1135" s="87" t="s">
        <v>967</v>
      </c>
      <c r="G1135" s="87" t="s">
        <v>967</v>
      </c>
      <c r="H1135" s="87" t="s">
        <v>967</v>
      </c>
      <c r="I1135" s="87">
        <v>76</v>
      </c>
    </row>
    <row r="1136" spans="1:9" ht="15" customHeight="1" x14ac:dyDescent="0.25">
      <c r="A1136" s="87" t="s">
        <v>23</v>
      </c>
      <c r="B1136" s="87" t="s">
        <v>301</v>
      </c>
      <c r="C1136" s="87">
        <v>2005</v>
      </c>
      <c r="D1136" s="87" t="s">
        <v>15</v>
      </c>
      <c r="E1136" s="116">
        <v>-1</v>
      </c>
      <c r="F1136" s="87" t="s">
        <v>967</v>
      </c>
      <c r="G1136" s="87" t="s">
        <v>967</v>
      </c>
      <c r="H1136" s="87" t="s">
        <v>967</v>
      </c>
      <c r="I1136" s="87">
        <v>76</v>
      </c>
    </row>
    <row r="1137" spans="1:9" ht="15" customHeight="1" x14ac:dyDescent="0.25">
      <c r="A1137" s="87" t="s">
        <v>23</v>
      </c>
      <c r="B1137" s="87" t="s">
        <v>301</v>
      </c>
      <c r="C1137" s="87">
        <v>2006</v>
      </c>
      <c r="D1137" s="87" t="s">
        <v>15</v>
      </c>
      <c r="E1137" s="116">
        <v>60</v>
      </c>
      <c r="F1137" s="87" t="s">
        <v>304</v>
      </c>
      <c r="G1137" s="87" t="s">
        <v>272</v>
      </c>
      <c r="H1137" s="87" t="s">
        <v>967</v>
      </c>
      <c r="I1137" s="87">
        <v>76</v>
      </c>
    </row>
    <row r="1138" spans="1:9" ht="15" customHeight="1" x14ac:dyDescent="0.25">
      <c r="A1138" s="87" t="s">
        <v>23</v>
      </c>
      <c r="B1138" s="87" t="s">
        <v>301</v>
      </c>
      <c r="C1138" s="87">
        <v>2007</v>
      </c>
      <c r="D1138" s="87" t="s">
        <v>15</v>
      </c>
      <c r="E1138" s="116">
        <v>-1</v>
      </c>
      <c r="F1138" s="87" t="s">
        <v>967</v>
      </c>
      <c r="G1138" s="87" t="s">
        <v>967</v>
      </c>
      <c r="H1138" s="87" t="s">
        <v>967</v>
      </c>
      <c r="I1138" s="87">
        <v>76</v>
      </c>
    </row>
    <row r="1139" spans="1:9" ht="15" customHeight="1" x14ac:dyDescent="0.25">
      <c r="A1139" s="87" t="s">
        <v>23</v>
      </c>
      <c r="B1139" s="87" t="s">
        <v>301</v>
      </c>
      <c r="C1139" s="87">
        <v>2008</v>
      </c>
      <c r="D1139" s="87" t="s">
        <v>15</v>
      </c>
      <c r="E1139" s="116">
        <v>48</v>
      </c>
      <c r="F1139" s="87" t="s">
        <v>967</v>
      </c>
      <c r="G1139" s="87" t="s">
        <v>272</v>
      </c>
      <c r="H1139" s="87" t="s">
        <v>967</v>
      </c>
      <c r="I1139" s="87">
        <v>76</v>
      </c>
    </row>
    <row r="1140" spans="1:9" ht="15" customHeight="1" x14ac:dyDescent="0.25">
      <c r="A1140" s="87" t="s">
        <v>23</v>
      </c>
      <c r="B1140" s="87" t="s">
        <v>301</v>
      </c>
      <c r="C1140" s="87">
        <v>2009</v>
      </c>
      <c r="D1140" s="87" t="s">
        <v>15</v>
      </c>
      <c r="E1140" s="116">
        <v>-1</v>
      </c>
      <c r="F1140" s="87" t="s">
        <v>967</v>
      </c>
      <c r="G1140" s="87" t="s">
        <v>967</v>
      </c>
      <c r="H1140" s="87" t="s">
        <v>967</v>
      </c>
      <c r="I1140" s="87">
        <v>76</v>
      </c>
    </row>
    <row r="1141" spans="1:9" ht="15" customHeight="1" x14ac:dyDescent="0.25">
      <c r="A1141" s="87" t="s">
        <v>23</v>
      </c>
      <c r="B1141" s="87" t="s">
        <v>301</v>
      </c>
      <c r="C1141" s="87">
        <v>2010</v>
      </c>
      <c r="D1141" s="87" t="s">
        <v>15</v>
      </c>
      <c r="E1141" s="116">
        <v>-1</v>
      </c>
      <c r="F1141" s="87" t="s">
        <v>967</v>
      </c>
      <c r="G1141" s="87" t="s">
        <v>967</v>
      </c>
      <c r="H1141" s="87" t="s">
        <v>967</v>
      </c>
      <c r="I1141" s="87">
        <v>76</v>
      </c>
    </row>
    <row r="1142" spans="1:9" ht="15" customHeight="1" x14ac:dyDescent="0.25">
      <c r="A1142" s="87" t="s">
        <v>23</v>
      </c>
      <c r="B1142" s="87" t="s">
        <v>301</v>
      </c>
      <c r="C1142" s="87">
        <v>2011</v>
      </c>
      <c r="D1142" s="87" t="s">
        <v>15</v>
      </c>
      <c r="E1142" s="116">
        <v>22</v>
      </c>
      <c r="F1142" s="87" t="s">
        <v>967</v>
      </c>
      <c r="G1142" s="87" t="s">
        <v>272</v>
      </c>
      <c r="H1142" s="87" t="s">
        <v>967</v>
      </c>
      <c r="I1142" s="87">
        <v>76</v>
      </c>
    </row>
    <row r="1143" spans="1:9" ht="15" customHeight="1" x14ac:dyDescent="0.25">
      <c r="A1143" s="87" t="s">
        <v>23</v>
      </c>
      <c r="B1143" s="87" t="s">
        <v>301</v>
      </c>
      <c r="C1143" s="87">
        <v>2012</v>
      </c>
      <c r="D1143" s="87" t="s">
        <v>15</v>
      </c>
      <c r="E1143" s="116">
        <v>-1</v>
      </c>
      <c r="F1143" s="87" t="s">
        <v>967</v>
      </c>
      <c r="G1143" s="87" t="s">
        <v>967</v>
      </c>
      <c r="H1143" s="87" t="s">
        <v>967</v>
      </c>
      <c r="I1143" s="87">
        <v>76</v>
      </c>
    </row>
    <row r="1144" spans="1:9" ht="15" customHeight="1" x14ac:dyDescent="0.25">
      <c r="A1144" s="87" t="s">
        <v>23</v>
      </c>
      <c r="B1144" s="87" t="s">
        <v>301</v>
      </c>
      <c r="C1144" s="87">
        <v>2013</v>
      </c>
      <c r="D1144" s="87" t="s">
        <v>15</v>
      </c>
      <c r="E1144" s="116">
        <v>-1</v>
      </c>
      <c r="F1144" s="87" t="s">
        <v>967</v>
      </c>
      <c r="G1144" s="87" t="s">
        <v>967</v>
      </c>
      <c r="H1144" s="87" t="s">
        <v>967</v>
      </c>
      <c r="I1144" s="87">
        <v>76</v>
      </c>
    </row>
    <row r="1145" spans="1:9" ht="15" customHeight="1" x14ac:dyDescent="0.25">
      <c r="A1145" s="87" t="s">
        <v>23</v>
      </c>
      <c r="B1145" s="87" t="s">
        <v>301</v>
      </c>
      <c r="C1145" s="87">
        <v>2014</v>
      </c>
      <c r="D1145" s="87" t="s">
        <v>15</v>
      </c>
      <c r="E1145" s="116">
        <v>-1</v>
      </c>
      <c r="F1145" s="87" t="s">
        <v>967</v>
      </c>
      <c r="G1145" s="87" t="s">
        <v>967</v>
      </c>
      <c r="H1145" s="87" t="s">
        <v>967</v>
      </c>
      <c r="I1145" s="87">
        <v>76</v>
      </c>
    </row>
    <row r="1146" spans="1:9" ht="15" customHeight="1" x14ac:dyDescent="0.25">
      <c r="A1146" s="87" t="s">
        <v>23</v>
      </c>
      <c r="B1146" s="87" t="s">
        <v>301</v>
      </c>
      <c r="C1146" s="87">
        <v>2015</v>
      </c>
      <c r="D1146" s="87" t="s">
        <v>15</v>
      </c>
      <c r="E1146" s="116">
        <v>-1</v>
      </c>
      <c r="F1146" s="87" t="s">
        <v>967</v>
      </c>
      <c r="G1146" s="87" t="s">
        <v>967</v>
      </c>
      <c r="H1146" s="87" t="s">
        <v>967</v>
      </c>
      <c r="I1146" s="87">
        <v>76</v>
      </c>
    </row>
    <row r="1147" spans="1:9" ht="15" customHeight="1" x14ac:dyDescent="0.25">
      <c r="A1147" s="87" t="s">
        <v>23</v>
      </c>
      <c r="B1147" s="87" t="s">
        <v>301</v>
      </c>
      <c r="C1147" s="87">
        <v>2016</v>
      </c>
      <c r="D1147" s="87" t="s">
        <v>15</v>
      </c>
      <c r="E1147" s="116">
        <v>-1</v>
      </c>
      <c r="F1147" s="87" t="s">
        <v>967</v>
      </c>
      <c r="G1147" s="87" t="s">
        <v>967</v>
      </c>
      <c r="H1147" s="87" t="s">
        <v>967</v>
      </c>
      <c r="I1147" s="87">
        <v>76</v>
      </c>
    </row>
    <row r="1148" spans="1:9" ht="15" customHeight="1" x14ac:dyDescent="0.25">
      <c r="A1148" s="87" t="s">
        <v>23</v>
      </c>
      <c r="B1148" s="87" t="s">
        <v>301</v>
      </c>
      <c r="C1148" s="87">
        <v>2017</v>
      </c>
      <c r="D1148" s="87" t="s">
        <v>15</v>
      </c>
      <c r="E1148" s="116">
        <v>-1</v>
      </c>
      <c r="F1148" s="87" t="s">
        <v>967</v>
      </c>
      <c r="G1148" s="87" t="s">
        <v>967</v>
      </c>
      <c r="H1148" s="87" t="s">
        <v>967</v>
      </c>
      <c r="I1148" s="87">
        <v>76</v>
      </c>
    </row>
    <row r="1149" spans="1:9" ht="15" customHeight="1" x14ac:dyDescent="0.25">
      <c r="A1149" s="87" t="s">
        <v>23</v>
      </c>
      <c r="B1149" s="87" t="s">
        <v>301</v>
      </c>
      <c r="C1149" s="87">
        <v>2018</v>
      </c>
      <c r="D1149" s="87" t="s">
        <v>15</v>
      </c>
      <c r="E1149" s="116">
        <v>-1</v>
      </c>
      <c r="F1149" s="87" t="s">
        <v>967</v>
      </c>
      <c r="G1149" s="87" t="s">
        <v>967</v>
      </c>
      <c r="H1149" s="87" t="s">
        <v>967</v>
      </c>
      <c r="I1149" s="87">
        <v>76</v>
      </c>
    </row>
    <row r="1150" spans="1:9" ht="15" customHeight="1" x14ac:dyDescent="0.25">
      <c r="A1150" s="87" t="s">
        <v>23</v>
      </c>
      <c r="B1150" s="87" t="s">
        <v>301</v>
      </c>
      <c r="C1150" s="87">
        <v>2019</v>
      </c>
      <c r="D1150" s="87" t="s">
        <v>15</v>
      </c>
      <c r="E1150" s="116">
        <v>18</v>
      </c>
      <c r="F1150" s="87" t="s">
        <v>967</v>
      </c>
      <c r="G1150" s="87" t="s">
        <v>272</v>
      </c>
      <c r="H1150" s="87" t="s">
        <v>967</v>
      </c>
      <c r="I1150" s="87">
        <v>76</v>
      </c>
    </row>
    <row r="1151" spans="1:9" ht="15" customHeight="1" x14ac:dyDescent="0.25">
      <c r="A1151" s="87" t="s">
        <v>23</v>
      </c>
      <c r="B1151" s="87" t="s">
        <v>301</v>
      </c>
      <c r="C1151" s="87">
        <v>2020</v>
      </c>
      <c r="D1151" s="87" t="s">
        <v>15</v>
      </c>
      <c r="E1151" s="116">
        <v>37</v>
      </c>
      <c r="F1151" s="87" t="s">
        <v>967</v>
      </c>
      <c r="G1151" s="87" t="s">
        <v>272</v>
      </c>
      <c r="H1151" s="87" t="s">
        <v>967</v>
      </c>
      <c r="I1151" s="87">
        <v>76</v>
      </c>
    </row>
    <row r="1152" spans="1:9" ht="15" customHeight="1" x14ac:dyDescent="0.25">
      <c r="A1152" s="87" t="s">
        <v>23</v>
      </c>
      <c r="B1152" s="87" t="s">
        <v>301</v>
      </c>
      <c r="C1152" s="87">
        <v>2021</v>
      </c>
      <c r="D1152" s="87" t="s">
        <v>15</v>
      </c>
      <c r="E1152" s="116">
        <v>5</v>
      </c>
      <c r="F1152" s="87" t="s">
        <v>967</v>
      </c>
      <c r="G1152" s="87" t="s">
        <v>272</v>
      </c>
      <c r="H1152" s="87" t="s">
        <v>967</v>
      </c>
      <c r="I1152" s="87">
        <v>76</v>
      </c>
    </row>
    <row r="1153" spans="1:9" ht="15" customHeight="1" x14ac:dyDescent="0.25">
      <c r="A1153" s="87" t="s">
        <v>23</v>
      </c>
      <c r="B1153" s="87" t="s">
        <v>301</v>
      </c>
      <c r="C1153" s="87">
        <v>2022</v>
      </c>
      <c r="D1153" s="87" t="s">
        <v>15</v>
      </c>
      <c r="E1153" s="116">
        <v>74</v>
      </c>
      <c r="F1153" s="87" t="s">
        <v>967</v>
      </c>
      <c r="G1153" s="87" t="s">
        <v>272</v>
      </c>
      <c r="H1153" s="87" t="s">
        <v>967</v>
      </c>
      <c r="I1153" s="87">
        <v>76</v>
      </c>
    </row>
    <row r="1154" spans="1:9" ht="15" customHeight="1" x14ac:dyDescent="0.25">
      <c r="A1154" s="87" t="s">
        <v>23</v>
      </c>
      <c r="B1154" s="87" t="s">
        <v>305</v>
      </c>
      <c r="C1154" s="87">
        <v>1975</v>
      </c>
      <c r="D1154" s="87" t="s">
        <v>15</v>
      </c>
      <c r="E1154" s="116">
        <v>-1</v>
      </c>
      <c r="F1154" s="87" t="s">
        <v>508</v>
      </c>
      <c r="G1154" s="87" t="s">
        <v>967</v>
      </c>
      <c r="H1154" s="87" t="s">
        <v>508</v>
      </c>
      <c r="I1154" s="87">
        <v>77</v>
      </c>
    </row>
    <row r="1155" spans="1:9" ht="15" customHeight="1" x14ac:dyDescent="0.25">
      <c r="A1155" s="87" t="s">
        <v>23</v>
      </c>
      <c r="B1155" s="87" t="s">
        <v>305</v>
      </c>
      <c r="C1155" s="87">
        <v>1976</v>
      </c>
      <c r="D1155" s="87" t="s">
        <v>15</v>
      </c>
      <c r="E1155" s="116">
        <v>-1</v>
      </c>
      <c r="F1155" s="87" t="s">
        <v>508</v>
      </c>
      <c r="G1155" s="87" t="s">
        <v>967</v>
      </c>
      <c r="H1155" s="87" t="s">
        <v>508</v>
      </c>
      <c r="I1155" s="87">
        <v>77</v>
      </c>
    </row>
    <row r="1156" spans="1:9" ht="15" customHeight="1" x14ac:dyDescent="0.25">
      <c r="A1156" s="87" t="s">
        <v>23</v>
      </c>
      <c r="B1156" s="87" t="s">
        <v>305</v>
      </c>
      <c r="C1156" s="87">
        <v>1977</v>
      </c>
      <c r="D1156" s="87" t="s">
        <v>15</v>
      </c>
      <c r="E1156" s="116">
        <v>-1</v>
      </c>
      <c r="F1156" s="87" t="s">
        <v>508</v>
      </c>
      <c r="G1156" s="87" t="s">
        <v>967</v>
      </c>
      <c r="H1156" s="87" t="s">
        <v>508</v>
      </c>
      <c r="I1156" s="87">
        <v>77</v>
      </c>
    </row>
    <row r="1157" spans="1:9" ht="15" customHeight="1" x14ac:dyDescent="0.25">
      <c r="A1157" s="87" t="s">
        <v>23</v>
      </c>
      <c r="B1157" s="87" t="s">
        <v>305</v>
      </c>
      <c r="C1157" s="87">
        <v>1978</v>
      </c>
      <c r="D1157" s="87" t="s">
        <v>15</v>
      </c>
      <c r="E1157" s="116">
        <v>-1</v>
      </c>
      <c r="F1157" s="87" t="s">
        <v>508</v>
      </c>
      <c r="G1157" s="87" t="s">
        <v>967</v>
      </c>
      <c r="H1157" s="87" t="s">
        <v>508</v>
      </c>
      <c r="I1157" s="87">
        <v>77</v>
      </c>
    </row>
    <row r="1158" spans="1:9" ht="15" customHeight="1" x14ac:dyDescent="0.25">
      <c r="A1158" s="87" t="s">
        <v>23</v>
      </c>
      <c r="B1158" s="87" t="s">
        <v>305</v>
      </c>
      <c r="C1158" s="87">
        <v>1979</v>
      </c>
      <c r="D1158" s="87" t="s">
        <v>15</v>
      </c>
      <c r="E1158" s="116">
        <v>-1</v>
      </c>
      <c r="F1158" s="87" t="s">
        <v>508</v>
      </c>
      <c r="G1158" s="87" t="s">
        <v>967</v>
      </c>
      <c r="H1158" s="87" t="s">
        <v>508</v>
      </c>
      <c r="I1158" s="87">
        <v>77</v>
      </c>
    </row>
    <row r="1159" spans="1:9" ht="15" customHeight="1" x14ac:dyDescent="0.25">
      <c r="A1159" s="87" t="s">
        <v>23</v>
      </c>
      <c r="B1159" s="87" t="s">
        <v>305</v>
      </c>
      <c r="C1159" s="87">
        <v>1980</v>
      </c>
      <c r="D1159" s="87" t="s">
        <v>15</v>
      </c>
      <c r="E1159" s="116">
        <v>-1</v>
      </c>
      <c r="F1159" s="87" t="s">
        <v>508</v>
      </c>
      <c r="G1159" s="87" t="s">
        <v>967</v>
      </c>
      <c r="H1159" s="87" t="s">
        <v>508</v>
      </c>
      <c r="I1159" s="87">
        <v>77</v>
      </c>
    </row>
    <row r="1160" spans="1:9" ht="15" customHeight="1" x14ac:dyDescent="0.25">
      <c r="A1160" s="87" t="s">
        <v>23</v>
      </c>
      <c r="B1160" s="87" t="s">
        <v>305</v>
      </c>
      <c r="C1160" s="87">
        <v>1981</v>
      </c>
      <c r="D1160" s="87" t="s">
        <v>15</v>
      </c>
      <c r="E1160" s="116">
        <v>-1</v>
      </c>
      <c r="F1160" s="87" t="s">
        <v>508</v>
      </c>
      <c r="G1160" s="87" t="s">
        <v>967</v>
      </c>
      <c r="H1160" s="87" t="s">
        <v>508</v>
      </c>
      <c r="I1160" s="87">
        <v>77</v>
      </c>
    </row>
    <row r="1161" spans="1:9" ht="15" customHeight="1" x14ac:dyDescent="0.25">
      <c r="A1161" s="87" t="s">
        <v>23</v>
      </c>
      <c r="B1161" s="87" t="s">
        <v>305</v>
      </c>
      <c r="C1161" s="87">
        <v>1982</v>
      </c>
      <c r="D1161" s="87" t="s">
        <v>15</v>
      </c>
      <c r="E1161" s="116">
        <v>-1</v>
      </c>
      <c r="F1161" s="87" t="s">
        <v>508</v>
      </c>
      <c r="G1161" s="87" t="s">
        <v>967</v>
      </c>
      <c r="H1161" s="87" t="s">
        <v>508</v>
      </c>
      <c r="I1161" s="87">
        <v>77</v>
      </c>
    </row>
    <row r="1162" spans="1:9" ht="15" customHeight="1" x14ac:dyDescent="0.25">
      <c r="A1162" s="87" t="s">
        <v>23</v>
      </c>
      <c r="B1162" s="87" t="s">
        <v>305</v>
      </c>
      <c r="C1162" s="87">
        <v>1983</v>
      </c>
      <c r="D1162" s="87" t="s">
        <v>15</v>
      </c>
      <c r="E1162" s="116">
        <v>-1</v>
      </c>
      <c r="F1162" s="87" t="s">
        <v>508</v>
      </c>
      <c r="G1162" s="87" t="s">
        <v>967</v>
      </c>
      <c r="H1162" s="87" t="s">
        <v>508</v>
      </c>
      <c r="I1162" s="87">
        <v>77</v>
      </c>
    </row>
    <row r="1163" spans="1:9" ht="15" customHeight="1" x14ac:dyDescent="0.25">
      <c r="A1163" s="87" t="s">
        <v>23</v>
      </c>
      <c r="B1163" s="87" t="s">
        <v>305</v>
      </c>
      <c r="C1163" s="87">
        <v>1984</v>
      </c>
      <c r="D1163" s="87" t="s">
        <v>15</v>
      </c>
      <c r="E1163" s="116">
        <v>-1</v>
      </c>
      <c r="F1163" s="87" t="s">
        <v>508</v>
      </c>
      <c r="G1163" s="87" t="s">
        <v>967</v>
      </c>
      <c r="H1163" s="87" t="s">
        <v>508</v>
      </c>
      <c r="I1163" s="87">
        <v>77</v>
      </c>
    </row>
    <row r="1164" spans="1:9" ht="15" customHeight="1" x14ac:dyDescent="0.25">
      <c r="A1164" s="87" t="s">
        <v>23</v>
      </c>
      <c r="B1164" s="87" t="s">
        <v>305</v>
      </c>
      <c r="C1164" s="87">
        <v>1985</v>
      </c>
      <c r="D1164" s="87" t="s">
        <v>15</v>
      </c>
      <c r="E1164" s="116">
        <v>100</v>
      </c>
      <c r="F1164" s="87" t="s">
        <v>508</v>
      </c>
      <c r="G1164" s="87" t="s">
        <v>967</v>
      </c>
      <c r="H1164" s="87" t="s">
        <v>508</v>
      </c>
      <c r="I1164" s="87">
        <v>77</v>
      </c>
    </row>
    <row r="1165" spans="1:9" ht="15" customHeight="1" x14ac:dyDescent="0.25">
      <c r="A1165" s="87" t="s">
        <v>23</v>
      </c>
      <c r="B1165" s="87" t="s">
        <v>305</v>
      </c>
      <c r="C1165" s="87">
        <v>1986</v>
      </c>
      <c r="D1165" s="87" t="s">
        <v>15</v>
      </c>
      <c r="E1165" s="116">
        <v>100</v>
      </c>
      <c r="F1165" s="87" t="s">
        <v>508</v>
      </c>
      <c r="G1165" s="87" t="s">
        <v>967</v>
      </c>
      <c r="H1165" s="87" t="s">
        <v>508</v>
      </c>
      <c r="I1165" s="87">
        <v>77</v>
      </c>
    </row>
    <row r="1166" spans="1:9" ht="15" customHeight="1" x14ac:dyDescent="0.25">
      <c r="A1166" s="87" t="s">
        <v>23</v>
      </c>
      <c r="B1166" s="87" t="s">
        <v>305</v>
      </c>
      <c r="C1166" s="87">
        <v>1987</v>
      </c>
      <c r="D1166" s="87" t="s">
        <v>15</v>
      </c>
      <c r="E1166" s="116">
        <v>100</v>
      </c>
      <c r="F1166" s="87" t="s">
        <v>508</v>
      </c>
      <c r="G1166" s="87" t="s">
        <v>967</v>
      </c>
      <c r="H1166" s="87" t="s">
        <v>508</v>
      </c>
      <c r="I1166" s="87">
        <v>77</v>
      </c>
    </row>
    <row r="1167" spans="1:9" ht="15" customHeight="1" x14ac:dyDescent="0.25">
      <c r="A1167" s="87" t="s">
        <v>23</v>
      </c>
      <c r="B1167" s="87" t="s">
        <v>305</v>
      </c>
      <c r="C1167" s="87">
        <v>1988</v>
      </c>
      <c r="D1167" s="87" t="s">
        <v>15</v>
      </c>
      <c r="E1167" s="116">
        <v>-1</v>
      </c>
      <c r="F1167" s="87" t="s">
        <v>508</v>
      </c>
      <c r="G1167" s="87" t="s">
        <v>967</v>
      </c>
      <c r="H1167" s="87" t="s">
        <v>508</v>
      </c>
      <c r="I1167" s="87">
        <v>77</v>
      </c>
    </row>
    <row r="1168" spans="1:9" ht="15" customHeight="1" x14ac:dyDescent="0.25">
      <c r="A1168" s="87" t="s">
        <v>23</v>
      </c>
      <c r="B1168" s="87" t="s">
        <v>305</v>
      </c>
      <c r="C1168" s="87">
        <v>1989</v>
      </c>
      <c r="D1168" s="87" t="s">
        <v>15</v>
      </c>
      <c r="E1168" s="116">
        <v>-1</v>
      </c>
      <c r="F1168" s="87" t="s">
        <v>508</v>
      </c>
      <c r="G1168" s="87" t="s">
        <v>967</v>
      </c>
      <c r="H1168" s="87" t="s">
        <v>508</v>
      </c>
      <c r="I1168" s="87">
        <v>77</v>
      </c>
    </row>
    <row r="1169" spans="1:9" ht="15" customHeight="1" x14ac:dyDescent="0.25">
      <c r="A1169" s="87" t="s">
        <v>23</v>
      </c>
      <c r="B1169" s="87" t="s">
        <v>305</v>
      </c>
      <c r="C1169" s="87">
        <v>1990</v>
      </c>
      <c r="D1169" s="87" t="s">
        <v>15</v>
      </c>
      <c r="E1169" s="116">
        <v>100</v>
      </c>
      <c r="F1169" s="87" t="s">
        <v>508</v>
      </c>
      <c r="G1169" s="87" t="s">
        <v>967</v>
      </c>
      <c r="H1169" s="87" t="s">
        <v>508</v>
      </c>
      <c r="I1169" s="87">
        <v>77</v>
      </c>
    </row>
    <row r="1170" spans="1:9" ht="15" customHeight="1" x14ac:dyDescent="0.25">
      <c r="A1170" s="87" t="s">
        <v>23</v>
      </c>
      <c r="B1170" s="87" t="s">
        <v>305</v>
      </c>
      <c r="C1170" s="87">
        <v>1991</v>
      </c>
      <c r="D1170" s="87" t="s">
        <v>15</v>
      </c>
      <c r="E1170" s="116">
        <v>300</v>
      </c>
      <c r="F1170" s="87" t="s">
        <v>508</v>
      </c>
      <c r="G1170" s="87" t="s">
        <v>967</v>
      </c>
      <c r="H1170" s="87" t="s">
        <v>508</v>
      </c>
      <c r="I1170" s="87">
        <v>77</v>
      </c>
    </row>
    <row r="1171" spans="1:9" ht="15" customHeight="1" x14ac:dyDescent="0.25">
      <c r="A1171" s="87" t="s">
        <v>23</v>
      </c>
      <c r="B1171" s="87" t="s">
        <v>305</v>
      </c>
      <c r="C1171" s="87">
        <v>1992</v>
      </c>
      <c r="D1171" s="87" t="s">
        <v>15</v>
      </c>
      <c r="E1171" s="116">
        <v>400</v>
      </c>
      <c r="F1171" s="87" t="s">
        <v>508</v>
      </c>
      <c r="G1171" s="87" t="s">
        <v>967</v>
      </c>
      <c r="H1171" s="87" t="s">
        <v>508</v>
      </c>
      <c r="I1171" s="87">
        <v>77</v>
      </c>
    </row>
    <row r="1172" spans="1:9" ht="15" customHeight="1" x14ac:dyDescent="0.25">
      <c r="A1172" s="87" t="s">
        <v>23</v>
      </c>
      <c r="B1172" s="87" t="s">
        <v>305</v>
      </c>
      <c r="C1172" s="87">
        <v>1993</v>
      </c>
      <c r="D1172" s="87" t="s">
        <v>15</v>
      </c>
      <c r="E1172" s="116">
        <v>250</v>
      </c>
      <c r="F1172" s="87" t="s">
        <v>508</v>
      </c>
      <c r="G1172" s="87" t="s">
        <v>967</v>
      </c>
      <c r="H1172" s="87" t="s">
        <v>508</v>
      </c>
      <c r="I1172" s="87">
        <v>77</v>
      </c>
    </row>
    <row r="1173" spans="1:9" ht="15" customHeight="1" x14ac:dyDescent="0.25">
      <c r="A1173" s="87" t="s">
        <v>23</v>
      </c>
      <c r="B1173" s="87" t="s">
        <v>305</v>
      </c>
      <c r="C1173" s="87">
        <v>1994</v>
      </c>
      <c r="D1173" s="87" t="s">
        <v>15</v>
      </c>
      <c r="E1173" s="116">
        <v>250</v>
      </c>
      <c r="F1173" s="87" t="s">
        <v>508</v>
      </c>
      <c r="G1173" s="87" t="s">
        <v>967</v>
      </c>
      <c r="H1173" s="87" t="s">
        <v>508</v>
      </c>
      <c r="I1173" s="87">
        <v>77</v>
      </c>
    </row>
    <row r="1174" spans="1:9" ht="15" customHeight="1" x14ac:dyDescent="0.25">
      <c r="A1174" s="87" t="s">
        <v>23</v>
      </c>
      <c r="B1174" s="87" t="s">
        <v>305</v>
      </c>
      <c r="C1174" s="87">
        <v>1995</v>
      </c>
      <c r="D1174" s="87" t="s">
        <v>15</v>
      </c>
      <c r="E1174" s="116">
        <v>125</v>
      </c>
      <c r="F1174" s="87" t="s">
        <v>967</v>
      </c>
      <c r="G1174" s="87" t="s">
        <v>967</v>
      </c>
      <c r="H1174" s="87" t="s">
        <v>586</v>
      </c>
      <c r="I1174" s="87">
        <v>77</v>
      </c>
    </row>
    <row r="1175" spans="1:9" ht="15" customHeight="1" x14ac:dyDescent="0.25">
      <c r="A1175" s="87" t="s">
        <v>23</v>
      </c>
      <c r="B1175" s="87" t="s">
        <v>305</v>
      </c>
      <c r="C1175" s="87">
        <v>1996</v>
      </c>
      <c r="D1175" s="87" t="s">
        <v>15</v>
      </c>
      <c r="E1175" s="116">
        <v>150</v>
      </c>
      <c r="F1175" s="87" t="s">
        <v>967</v>
      </c>
      <c r="G1175" s="87" t="s">
        <v>967</v>
      </c>
      <c r="H1175" s="87" t="s">
        <v>586</v>
      </c>
      <c r="I1175" s="87">
        <v>77</v>
      </c>
    </row>
    <row r="1176" spans="1:9" ht="15" customHeight="1" x14ac:dyDescent="0.25">
      <c r="A1176" s="87" t="s">
        <v>23</v>
      </c>
      <c r="B1176" s="87" t="s">
        <v>305</v>
      </c>
      <c r="C1176" s="87">
        <v>1997</v>
      </c>
      <c r="D1176" s="87" t="s">
        <v>15</v>
      </c>
      <c r="E1176" s="116">
        <v>358</v>
      </c>
      <c r="F1176" s="87" t="s">
        <v>967</v>
      </c>
      <c r="G1176" s="87" t="s">
        <v>967</v>
      </c>
      <c r="H1176" s="87" t="s">
        <v>586</v>
      </c>
      <c r="I1176" s="87">
        <v>77</v>
      </c>
    </row>
    <row r="1177" spans="1:9" ht="15" customHeight="1" x14ac:dyDescent="0.25">
      <c r="A1177" s="87" t="s">
        <v>23</v>
      </c>
      <c r="B1177" s="87" t="s">
        <v>305</v>
      </c>
      <c r="C1177" s="87">
        <v>1998</v>
      </c>
      <c r="D1177" s="87" t="s">
        <v>15</v>
      </c>
      <c r="E1177" s="116">
        <v>880</v>
      </c>
      <c r="F1177" s="87" t="s">
        <v>306</v>
      </c>
      <c r="G1177" s="87" t="s">
        <v>272</v>
      </c>
      <c r="H1177" s="87" t="s">
        <v>967</v>
      </c>
      <c r="I1177" s="87">
        <v>77</v>
      </c>
    </row>
    <row r="1178" spans="1:9" ht="15" customHeight="1" x14ac:dyDescent="0.25">
      <c r="A1178" s="87" t="s">
        <v>23</v>
      </c>
      <c r="B1178" s="87" t="s">
        <v>305</v>
      </c>
      <c r="C1178" s="87">
        <v>1999</v>
      </c>
      <c r="D1178" s="87" t="s">
        <v>15</v>
      </c>
      <c r="E1178" s="116">
        <v>52</v>
      </c>
      <c r="F1178" s="87" t="s">
        <v>307</v>
      </c>
      <c r="G1178" s="87" t="s">
        <v>272</v>
      </c>
      <c r="H1178" s="87" t="s">
        <v>967</v>
      </c>
      <c r="I1178" s="87">
        <v>77</v>
      </c>
    </row>
    <row r="1179" spans="1:9" ht="15" customHeight="1" x14ac:dyDescent="0.25">
      <c r="A1179" s="87" t="s">
        <v>23</v>
      </c>
      <c r="B1179" s="87" t="s">
        <v>305</v>
      </c>
      <c r="C1179" s="87">
        <v>2000</v>
      </c>
      <c r="D1179" s="87" t="s">
        <v>15</v>
      </c>
      <c r="E1179" s="116">
        <v>231</v>
      </c>
      <c r="F1179" s="87" t="s">
        <v>967</v>
      </c>
      <c r="G1179" s="87" t="s">
        <v>272</v>
      </c>
      <c r="H1179" s="87" t="s">
        <v>967</v>
      </c>
      <c r="I1179" s="87">
        <v>77</v>
      </c>
    </row>
    <row r="1180" spans="1:9" ht="15" customHeight="1" x14ac:dyDescent="0.25">
      <c r="A1180" s="87" t="s">
        <v>23</v>
      </c>
      <c r="B1180" s="87" t="s">
        <v>305</v>
      </c>
      <c r="C1180" s="87">
        <v>2001</v>
      </c>
      <c r="D1180" s="87" t="s">
        <v>15</v>
      </c>
      <c r="E1180" s="116">
        <v>240</v>
      </c>
      <c r="F1180" s="87" t="s">
        <v>967</v>
      </c>
      <c r="G1180" s="87" t="s">
        <v>272</v>
      </c>
      <c r="H1180" s="87" t="s">
        <v>967</v>
      </c>
      <c r="I1180" s="87">
        <v>77</v>
      </c>
    </row>
    <row r="1181" spans="1:9" ht="15" customHeight="1" x14ac:dyDescent="0.25">
      <c r="A1181" s="87" t="s">
        <v>23</v>
      </c>
      <c r="B1181" s="87" t="s">
        <v>305</v>
      </c>
      <c r="C1181" s="87">
        <v>2002</v>
      </c>
      <c r="D1181" s="87" t="s">
        <v>15</v>
      </c>
      <c r="E1181" s="116">
        <v>281</v>
      </c>
      <c r="F1181" s="87" t="s">
        <v>967</v>
      </c>
      <c r="G1181" s="87" t="s">
        <v>272</v>
      </c>
      <c r="H1181" s="87" t="s">
        <v>967</v>
      </c>
      <c r="I1181" s="87">
        <v>77</v>
      </c>
    </row>
    <row r="1182" spans="1:9" ht="15" customHeight="1" x14ac:dyDescent="0.25">
      <c r="A1182" s="87" t="s">
        <v>23</v>
      </c>
      <c r="B1182" s="87" t="s">
        <v>305</v>
      </c>
      <c r="C1182" s="87">
        <v>2003</v>
      </c>
      <c r="D1182" s="87" t="s">
        <v>15</v>
      </c>
      <c r="E1182" s="116">
        <v>489</v>
      </c>
      <c r="F1182" s="87" t="s">
        <v>967</v>
      </c>
      <c r="G1182" s="87" t="s">
        <v>967</v>
      </c>
      <c r="H1182" s="87" t="s">
        <v>967</v>
      </c>
      <c r="I1182" s="87">
        <v>77</v>
      </c>
    </row>
    <row r="1183" spans="1:9" ht="15" customHeight="1" x14ac:dyDescent="0.25">
      <c r="A1183" s="87" t="s">
        <v>23</v>
      </c>
      <c r="B1183" s="87" t="s">
        <v>305</v>
      </c>
      <c r="C1183" s="87">
        <v>2004</v>
      </c>
      <c r="D1183" s="87" t="s">
        <v>15</v>
      </c>
      <c r="E1183" s="116">
        <v>-1</v>
      </c>
      <c r="F1183" s="87" t="s">
        <v>967</v>
      </c>
      <c r="G1183" s="87" t="s">
        <v>967</v>
      </c>
      <c r="H1183" s="87" t="s">
        <v>967</v>
      </c>
      <c r="I1183" s="87">
        <v>77</v>
      </c>
    </row>
    <row r="1184" spans="1:9" ht="15" customHeight="1" x14ac:dyDescent="0.25">
      <c r="A1184" s="87" t="s">
        <v>23</v>
      </c>
      <c r="B1184" s="87" t="s">
        <v>305</v>
      </c>
      <c r="C1184" s="87">
        <v>2005</v>
      </c>
      <c r="D1184" s="87" t="s">
        <v>15</v>
      </c>
      <c r="E1184" s="116">
        <v>-1</v>
      </c>
      <c r="F1184" s="87" t="s">
        <v>967</v>
      </c>
      <c r="G1184" s="87" t="s">
        <v>967</v>
      </c>
      <c r="H1184" s="87" t="s">
        <v>967</v>
      </c>
      <c r="I1184" s="87">
        <v>77</v>
      </c>
    </row>
    <row r="1185" spans="1:9" ht="15" customHeight="1" x14ac:dyDescent="0.25">
      <c r="A1185" s="87" t="s">
        <v>23</v>
      </c>
      <c r="B1185" s="87" t="s">
        <v>305</v>
      </c>
      <c r="C1185" s="87">
        <v>2006</v>
      </c>
      <c r="D1185" s="87" t="s">
        <v>15</v>
      </c>
      <c r="E1185" s="116">
        <v>214</v>
      </c>
      <c r="F1185" s="87" t="s">
        <v>308</v>
      </c>
      <c r="G1185" s="87" t="s">
        <v>272</v>
      </c>
      <c r="H1185" s="87" t="s">
        <v>967</v>
      </c>
      <c r="I1185" s="87">
        <v>77</v>
      </c>
    </row>
    <row r="1186" spans="1:9" ht="15" customHeight="1" x14ac:dyDescent="0.25">
      <c r="A1186" s="87" t="s">
        <v>23</v>
      </c>
      <c r="B1186" s="87" t="s">
        <v>305</v>
      </c>
      <c r="C1186" s="87">
        <v>2007</v>
      </c>
      <c r="D1186" s="87" t="s">
        <v>15</v>
      </c>
      <c r="E1186" s="116">
        <v>-1</v>
      </c>
      <c r="F1186" s="87" t="s">
        <v>967</v>
      </c>
      <c r="G1186" s="87" t="s">
        <v>967</v>
      </c>
      <c r="H1186" s="87" t="s">
        <v>967</v>
      </c>
      <c r="I1186" s="87">
        <v>77</v>
      </c>
    </row>
    <row r="1187" spans="1:9" ht="15" customHeight="1" x14ac:dyDescent="0.25">
      <c r="A1187" s="87" t="s">
        <v>23</v>
      </c>
      <c r="B1187" s="87" t="s">
        <v>305</v>
      </c>
      <c r="C1187" s="87">
        <v>2008</v>
      </c>
      <c r="D1187" s="87" t="s">
        <v>15</v>
      </c>
      <c r="E1187" s="116">
        <v>-1</v>
      </c>
      <c r="F1187" s="87" t="s">
        <v>967</v>
      </c>
      <c r="G1187" s="87" t="s">
        <v>967</v>
      </c>
      <c r="H1187" s="87" t="s">
        <v>967</v>
      </c>
      <c r="I1187" s="87">
        <v>77</v>
      </c>
    </row>
    <row r="1188" spans="1:9" ht="15" customHeight="1" x14ac:dyDescent="0.25">
      <c r="A1188" s="87" t="s">
        <v>23</v>
      </c>
      <c r="B1188" s="87" t="s">
        <v>305</v>
      </c>
      <c r="C1188" s="87">
        <v>2009</v>
      </c>
      <c r="D1188" s="87" t="s">
        <v>15</v>
      </c>
      <c r="E1188" s="116">
        <v>229</v>
      </c>
      <c r="F1188" s="87" t="s">
        <v>967</v>
      </c>
      <c r="G1188" s="87" t="s">
        <v>272</v>
      </c>
      <c r="H1188" s="87" t="s">
        <v>967</v>
      </c>
      <c r="I1188" s="87">
        <v>77</v>
      </c>
    </row>
    <row r="1189" spans="1:9" ht="15" customHeight="1" x14ac:dyDescent="0.25">
      <c r="A1189" s="87" t="s">
        <v>23</v>
      </c>
      <c r="B1189" s="87" t="s">
        <v>305</v>
      </c>
      <c r="C1189" s="87">
        <v>2010</v>
      </c>
      <c r="D1189" s="87" t="s">
        <v>15</v>
      </c>
      <c r="E1189" s="116">
        <v>-1</v>
      </c>
      <c r="F1189" s="87" t="s">
        <v>967</v>
      </c>
      <c r="G1189" s="87" t="s">
        <v>967</v>
      </c>
      <c r="H1189" s="87" t="s">
        <v>967</v>
      </c>
      <c r="I1189" s="87">
        <v>77</v>
      </c>
    </row>
    <row r="1190" spans="1:9" ht="15" customHeight="1" x14ac:dyDescent="0.25">
      <c r="A1190" s="87" t="s">
        <v>23</v>
      </c>
      <c r="B1190" s="87" t="s">
        <v>305</v>
      </c>
      <c r="C1190" s="87">
        <v>2011</v>
      </c>
      <c r="D1190" s="87" t="s">
        <v>15</v>
      </c>
      <c r="E1190" s="116">
        <v>-1</v>
      </c>
      <c r="F1190" s="87" t="s">
        <v>967</v>
      </c>
      <c r="G1190" s="87" t="s">
        <v>967</v>
      </c>
      <c r="H1190" s="87" t="s">
        <v>967</v>
      </c>
      <c r="I1190" s="87">
        <v>77</v>
      </c>
    </row>
    <row r="1191" spans="1:9" ht="15" customHeight="1" x14ac:dyDescent="0.25">
      <c r="A1191" s="87" t="s">
        <v>23</v>
      </c>
      <c r="B1191" s="87" t="s">
        <v>305</v>
      </c>
      <c r="C1191" s="87">
        <v>2012</v>
      </c>
      <c r="D1191" s="87" t="s">
        <v>15</v>
      </c>
      <c r="E1191" s="116">
        <v>-1</v>
      </c>
      <c r="F1191" s="87" t="s">
        <v>967</v>
      </c>
      <c r="G1191" s="87" t="s">
        <v>967</v>
      </c>
      <c r="H1191" s="87" t="s">
        <v>967</v>
      </c>
      <c r="I1191" s="87">
        <v>77</v>
      </c>
    </row>
    <row r="1192" spans="1:9" ht="15" customHeight="1" x14ac:dyDescent="0.25">
      <c r="A1192" s="87" t="s">
        <v>23</v>
      </c>
      <c r="B1192" s="87" t="s">
        <v>305</v>
      </c>
      <c r="C1192" s="87">
        <v>2013</v>
      </c>
      <c r="D1192" s="87" t="s">
        <v>15</v>
      </c>
      <c r="E1192" s="116">
        <v>-1</v>
      </c>
      <c r="F1192" s="87" t="s">
        <v>967</v>
      </c>
      <c r="G1192" s="87" t="s">
        <v>967</v>
      </c>
      <c r="H1192" s="87" t="s">
        <v>967</v>
      </c>
      <c r="I1192" s="87">
        <v>77</v>
      </c>
    </row>
    <row r="1193" spans="1:9" ht="15" customHeight="1" x14ac:dyDescent="0.25">
      <c r="A1193" s="87" t="s">
        <v>23</v>
      </c>
      <c r="B1193" s="87" t="s">
        <v>305</v>
      </c>
      <c r="C1193" s="87">
        <v>2014</v>
      </c>
      <c r="D1193" s="87" t="s">
        <v>15</v>
      </c>
      <c r="E1193" s="116">
        <v>-1</v>
      </c>
      <c r="F1193" s="87" t="s">
        <v>967</v>
      </c>
      <c r="G1193" s="87" t="s">
        <v>967</v>
      </c>
      <c r="H1193" s="87" t="s">
        <v>967</v>
      </c>
      <c r="I1193" s="87">
        <v>77</v>
      </c>
    </row>
    <row r="1194" spans="1:9" ht="15" customHeight="1" x14ac:dyDescent="0.25">
      <c r="A1194" s="87" t="s">
        <v>23</v>
      </c>
      <c r="B1194" s="87" t="s">
        <v>305</v>
      </c>
      <c r="C1194" s="87">
        <v>2015</v>
      </c>
      <c r="D1194" s="87" t="s">
        <v>15</v>
      </c>
      <c r="E1194" s="116">
        <v>-1</v>
      </c>
      <c r="F1194" s="87" t="s">
        <v>967</v>
      </c>
      <c r="G1194" s="87" t="s">
        <v>967</v>
      </c>
      <c r="H1194" s="87" t="s">
        <v>967</v>
      </c>
      <c r="I1194" s="87">
        <v>77</v>
      </c>
    </row>
    <row r="1195" spans="1:9" ht="15" customHeight="1" x14ac:dyDescent="0.25">
      <c r="A1195" s="87" t="s">
        <v>23</v>
      </c>
      <c r="B1195" s="87" t="s">
        <v>305</v>
      </c>
      <c r="C1195" s="87">
        <v>2016</v>
      </c>
      <c r="D1195" s="87" t="s">
        <v>15</v>
      </c>
      <c r="E1195" s="116">
        <v>-1</v>
      </c>
      <c r="F1195" s="87" t="s">
        <v>967</v>
      </c>
      <c r="G1195" s="87" t="s">
        <v>967</v>
      </c>
      <c r="H1195" s="87" t="s">
        <v>967</v>
      </c>
      <c r="I1195" s="87">
        <v>77</v>
      </c>
    </row>
    <row r="1196" spans="1:9" ht="15" customHeight="1" x14ac:dyDescent="0.25">
      <c r="A1196" s="87" t="s">
        <v>23</v>
      </c>
      <c r="B1196" s="87" t="s">
        <v>305</v>
      </c>
      <c r="C1196" s="87">
        <v>2017</v>
      </c>
      <c r="D1196" s="87" t="s">
        <v>15</v>
      </c>
      <c r="E1196" s="116">
        <v>-1</v>
      </c>
      <c r="F1196" s="87" t="s">
        <v>967</v>
      </c>
      <c r="G1196" s="87" t="s">
        <v>967</v>
      </c>
      <c r="H1196" s="87" t="s">
        <v>967</v>
      </c>
      <c r="I1196" s="87">
        <v>77</v>
      </c>
    </row>
    <row r="1197" spans="1:9" ht="15" customHeight="1" x14ac:dyDescent="0.25">
      <c r="A1197" s="87" t="s">
        <v>23</v>
      </c>
      <c r="B1197" s="87" t="s">
        <v>305</v>
      </c>
      <c r="C1197" s="87">
        <v>2018</v>
      </c>
      <c r="D1197" s="87" t="s">
        <v>15</v>
      </c>
      <c r="E1197" s="116">
        <v>-1</v>
      </c>
      <c r="F1197" s="87" t="s">
        <v>967</v>
      </c>
      <c r="G1197" s="87" t="s">
        <v>967</v>
      </c>
      <c r="H1197" s="87" t="s">
        <v>967</v>
      </c>
      <c r="I1197" s="87">
        <v>77</v>
      </c>
    </row>
    <row r="1198" spans="1:9" ht="15" customHeight="1" x14ac:dyDescent="0.25">
      <c r="A1198" s="87" t="s">
        <v>23</v>
      </c>
      <c r="B1198" s="87" t="s">
        <v>305</v>
      </c>
      <c r="C1198" s="87">
        <v>2019</v>
      </c>
      <c r="D1198" s="87" t="s">
        <v>15</v>
      </c>
      <c r="E1198" s="116">
        <v>15</v>
      </c>
      <c r="F1198" s="87" t="s">
        <v>967</v>
      </c>
      <c r="G1198" s="87" t="s">
        <v>272</v>
      </c>
      <c r="H1198" s="87" t="s">
        <v>967</v>
      </c>
      <c r="I1198" s="87">
        <v>77</v>
      </c>
    </row>
    <row r="1199" spans="1:9" ht="15" customHeight="1" x14ac:dyDescent="0.25">
      <c r="A1199" s="87" t="s">
        <v>23</v>
      </c>
      <c r="B1199" s="87" t="s">
        <v>305</v>
      </c>
      <c r="C1199" s="87">
        <v>2020</v>
      </c>
      <c r="D1199" s="87" t="s">
        <v>15</v>
      </c>
      <c r="E1199" s="116">
        <v>255</v>
      </c>
      <c r="F1199" s="87" t="s">
        <v>967</v>
      </c>
      <c r="G1199" s="87" t="s">
        <v>272</v>
      </c>
      <c r="H1199" s="87" t="s">
        <v>967</v>
      </c>
      <c r="I1199" s="87">
        <v>77</v>
      </c>
    </row>
    <row r="1200" spans="1:9" ht="15" customHeight="1" x14ac:dyDescent="0.25">
      <c r="A1200" s="87" t="s">
        <v>23</v>
      </c>
      <c r="B1200" s="87" t="s">
        <v>305</v>
      </c>
      <c r="C1200" s="87">
        <v>2021</v>
      </c>
      <c r="D1200" s="87" t="s">
        <v>15</v>
      </c>
      <c r="E1200" s="116">
        <v>29</v>
      </c>
      <c r="F1200" s="87" t="s">
        <v>967</v>
      </c>
      <c r="G1200" s="87" t="s">
        <v>272</v>
      </c>
      <c r="H1200" s="87" t="s">
        <v>967</v>
      </c>
      <c r="I1200" s="87">
        <v>77</v>
      </c>
    </row>
    <row r="1201" spans="1:9" ht="15" customHeight="1" x14ac:dyDescent="0.25">
      <c r="A1201" s="87" t="s">
        <v>23</v>
      </c>
      <c r="B1201" s="87" t="s">
        <v>305</v>
      </c>
      <c r="C1201" s="87">
        <v>2022</v>
      </c>
      <c r="D1201" s="87" t="s">
        <v>15</v>
      </c>
      <c r="E1201" s="116">
        <v>88</v>
      </c>
      <c r="F1201" s="87" t="s">
        <v>967</v>
      </c>
      <c r="G1201" s="87" t="s">
        <v>272</v>
      </c>
      <c r="H1201" s="87" t="s">
        <v>967</v>
      </c>
      <c r="I1201" s="87">
        <v>77</v>
      </c>
    </row>
    <row r="1202" spans="1:9" ht="15" customHeight="1" x14ac:dyDescent="0.25">
      <c r="A1202" s="87" t="s">
        <v>23</v>
      </c>
      <c r="B1202" s="87" t="s">
        <v>234</v>
      </c>
      <c r="C1202" s="87">
        <v>1975</v>
      </c>
      <c r="D1202" s="87" t="s">
        <v>15</v>
      </c>
      <c r="E1202" s="116">
        <v>-1</v>
      </c>
      <c r="F1202" s="87" t="s">
        <v>967</v>
      </c>
      <c r="G1202" s="87" t="s">
        <v>272</v>
      </c>
      <c r="H1202" s="87" t="s">
        <v>928</v>
      </c>
      <c r="I1202" s="87">
        <v>23</v>
      </c>
    </row>
    <row r="1203" spans="1:9" ht="15" customHeight="1" x14ac:dyDescent="0.25">
      <c r="A1203" s="87" t="s">
        <v>23</v>
      </c>
      <c r="B1203" s="87" t="s">
        <v>234</v>
      </c>
      <c r="C1203" s="87">
        <v>1976</v>
      </c>
      <c r="D1203" s="87" t="s">
        <v>15</v>
      </c>
      <c r="E1203" s="116">
        <v>-1</v>
      </c>
      <c r="F1203" s="87" t="s">
        <v>967</v>
      </c>
      <c r="G1203" s="87" t="s">
        <v>272</v>
      </c>
      <c r="H1203" s="87" t="s">
        <v>928</v>
      </c>
      <c r="I1203" s="87">
        <v>23</v>
      </c>
    </row>
    <row r="1204" spans="1:9" ht="15" customHeight="1" x14ac:dyDescent="0.25">
      <c r="A1204" s="87" t="s">
        <v>23</v>
      </c>
      <c r="B1204" s="87" t="s">
        <v>234</v>
      </c>
      <c r="C1204" s="87">
        <v>1977</v>
      </c>
      <c r="D1204" s="87" t="s">
        <v>15</v>
      </c>
      <c r="E1204" s="116">
        <v>-1</v>
      </c>
      <c r="F1204" s="87" t="s">
        <v>967</v>
      </c>
      <c r="G1204" s="87" t="s">
        <v>272</v>
      </c>
      <c r="H1204" s="87" t="s">
        <v>928</v>
      </c>
      <c r="I1204" s="87">
        <v>23</v>
      </c>
    </row>
    <row r="1205" spans="1:9" ht="15" customHeight="1" x14ac:dyDescent="0.25">
      <c r="A1205" s="87" t="s">
        <v>23</v>
      </c>
      <c r="B1205" s="87" t="s">
        <v>234</v>
      </c>
      <c r="C1205" s="87">
        <v>1978</v>
      </c>
      <c r="D1205" s="87" t="s">
        <v>15</v>
      </c>
      <c r="E1205" s="116">
        <v>-1</v>
      </c>
      <c r="F1205" s="87" t="s">
        <v>967</v>
      </c>
      <c r="G1205" s="87" t="s">
        <v>272</v>
      </c>
      <c r="H1205" s="87" t="s">
        <v>928</v>
      </c>
      <c r="I1205" s="87">
        <v>23</v>
      </c>
    </row>
    <row r="1206" spans="1:9" ht="15" customHeight="1" x14ac:dyDescent="0.25">
      <c r="A1206" s="87" t="s">
        <v>23</v>
      </c>
      <c r="B1206" s="87" t="s">
        <v>234</v>
      </c>
      <c r="C1206" s="87">
        <v>1979</v>
      </c>
      <c r="D1206" s="87" t="s">
        <v>15</v>
      </c>
      <c r="E1206" s="116">
        <v>-1</v>
      </c>
      <c r="F1206" s="87" t="s">
        <v>967</v>
      </c>
      <c r="G1206" s="87" t="s">
        <v>272</v>
      </c>
      <c r="H1206" s="87" t="s">
        <v>928</v>
      </c>
      <c r="I1206" s="87">
        <v>23</v>
      </c>
    </row>
    <row r="1207" spans="1:9" ht="15" customHeight="1" x14ac:dyDescent="0.25">
      <c r="A1207" s="87" t="s">
        <v>23</v>
      </c>
      <c r="B1207" s="87" t="s">
        <v>234</v>
      </c>
      <c r="C1207" s="87">
        <v>1980</v>
      </c>
      <c r="D1207" s="87" t="s">
        <v>15</v>
      </c>
      <c r="E1207" s="116">
        <v>-1</v>
      </c>
      <c r="F1207" s="87" t="s">
        <v>967</v>
      </c>
      <c r="G1207" s="87" t="s">
        <v>272</v>
      </c>
      <c r="H1207" s="87" t="s">
        <v>928</v>
      </c>
      <c r="I1207" s="87">
        <v>23</v>
      </c>
    </row>
    <row r="1208" spans="1:9" ht="15" customHeight="1" x14ac:dyDescent="0.25">
      <c r="A1208" s="87" t="s">
        <v>23</v>
      </c>
      <c r="B1208" s="87" t="s">
        <v>234</v>
      </c>
      <c r="C1208" s="87">
        <v>1981</v>
      </c>
      <c r="D1208" s="87" t="s">
        <v>15</v>
      </c>
      <c r="E1208" s="116">
        <v>-1</v>
      </c>
      <c r="F1208" s="87" t="s">
        <v>967</v>
      </c>
      <c r="G1208" s="87" t="s">
        <v>272</v>
      </c>
      <c r="H1208" s="87" t="s">
        <v>928</v>
      </c>
      <c r="I1208" s="87">
        <v>23</v>
      </c>
    </row>
    <row r="1209" spans="1:9" ht="15" customHeight="1" x14ac:dyDescent="0.25">
      <c r="A1209" s="87" t="s">
        <v>23</v>
      </c>
      <c r="B1209" s="87" t="s">
        <v>234</v>
      </c>
      <c r="C1209" s="87">
        <v>1982</v>
      </c>
      <c r="D1209" s="87" t="s">
        <v>15</v>
      </c>
      <c r="E1209" s="116">
        <v>-1</v>
      </c>
      <c r="F1209" s="87" t="s">
        <v>967</v>
      </c>
      <c r="G1209" s="87" t="s">
        <v>272</v>
      </c>
      <c r="H1209" s="87" t="s">
        <v>928</v>
      </c>
      <c r="I1209" s="87">
        <v>23</v>
      </c>
    </row>
    <row r="1210" spans="1:9" ht="15" customHeight="1" x14ac:dyDescent="0.25">
      <c r="A1210" s="87" t="s">
        <v>23</v>
      </c>
      <c r="B1210" s="87" t="s">
        <v>234</v>
      </c>
      <c r="C1210" s="87">
        <v>1983</v>
      </c>
      <c r="D1210" s="87" t="s">
        <v>15</v>
      </c>
      <c r="E1210" s="116">
        <v>-1</v>
      </c>
      <c r="F1210" s="87" t="s">
        <v>967</v>
      </c>
      <c r="G1210" s="87" t="s">
        <v>272</v>
      </c>
      <c r="H1210" s="87" t="s">
        <v>928</v>
      </c>
      <c r="I1210" s="87">
        <v>23</v>
      </c>
    </row>
    <row r="1211" spans="1:9" ht="15" customHeight="1" x14ac:dyDescent="0.25">
      <c r="A1211" s="87" t="s">
        <v>23</v>
      </c>
      <c r="B1211" s="87" t="s">
        <v>234</v>
      </c>
      <c r="C1211" s="87">
        <v>1984</v>
      </c>
      <c r="D1211" s="87" t="s">
        <v>15</v>
      </c>
      <c r="E1211" s="116">
        <v>-1</v>
      </c>
      <c r="F1211" s="87" t="s">
        <v>967</v>
      </c>
      <c r="G1211" s="87" t="s">
        <v>272</v>
      </c>
      <c r="H1211" s="87" t="s">
        <v>928</v>
      </c>
      <c r="I1211" s="87">
        <v>23</v>
      </c>
    </row>
    <row r="1212" spans="1:9" ht="15" customHeight="1" x14ac:dyDescent="0.25">
      <c r="A1212" s="87" t="s">
        <v>23</v>
      </c>
      <c r="B1212" s="87" t="s">
        <v>234</v>
      </c>
      <c r="C1212" s="87">
        <v>1985</v>
      </c>
      <c r="D1212" s="87" t="s">
        <v>15</v>
      </c>
      <c r="E1212" s="116">
        <v>-1</v>
      </c>
      <c r="F1212" s="87" t="s">
        <v>967</v>
      </c>
      <c r="G1212" s="87" t="s">
        <v>272</v>
      </c>
      <c r="H1212" s="87" t="s">
        <v>928</v>
      </c>
      <c r="I1212" s="87">
        <v>23</v>
      </c>
    </row>
    <row r="1213" spans="1:9" ht="15" customHeight="1" x14ac:dyDescent="0.25">
      <c r="A1213" s="87" t="s">
        <v>23</v>
      </c>
      <c r="B1213" s="87" t="s">
        <v>234</v>
      </c>
      <c r="C1213" s="87">
        <v>1986</v>
      </c>
      <c r="D1213" s="87" t="s">
        <v>15</v>
      </c>
      <c r="E1213" s="116">
        <v>-1</v>
      </c>
      <c r="F1213" s="87" t="s">
        <v>967</v>
      </c>
      <c r="G1213" s="87" t="s">
        <v>272</v>
      </c>
      <c r="H1213" s="87" t="s">
        <v>928</v>
      </c>
      <c r="I1213" s="87">
        <v>23</v>
      </c>
    </row>
    <row r="1214" spans="1:9" ht="15" customHeight="1" x14ac:dyDescent="0.25">
      <c r="A1214" s="87" t="s">
        <v>23</v>
      </c>
      <c r="B1214" s="87" t="s">
        <v>234</v>
      </c>
      <c r="C1214" s="87">
        <v>1987</v>
      </c>
      <c r="D1214" s="87" t="s">
        <v>15</v>
      </c>
      <c r="E1214" s="116">
        <v>-1</v>
      </c>
      <c r="F1214" s="87" t="s">
        <v>967</v>
      </c>
      <c r="G1214" s="87" t="s">
        <v>272</v>
      </c>
      <c r="H1214" s="87" t="s">
        <v>928</v>
      </c>
      <c r="I1214" s="87">
        <v>23</v>
      </c>
    </row>
    <row r="1215" spans="1:9" ht="15" customHeight="1" x14ac:dyDescent="0.25">
      <c r="A1215" s="87" t="s">
        <v>23</v>
      </c>
      <c r="B1215" s="87" t="s">
        <v>234</v>
      </c>
      <c r="C1215" s="87">
        <v>1988</v>
      </c>
      <c r="D1215" s="87" t="s">
        <v>15</v>
      </c>
      <c r="E1215" s="116">
        <v>-1</v>
      </c>
      <c r="F1215" s="87" t="s">
        <v>967</v>
      </c>
      <c r="G1215" s="87" t="s">
        <v>272</v>
      </c>
      <c r="H1215" s="87" t="s">
        <v>928</v>
      </c>
      <c r="I1215" s="87">
        <v>23</v>
      </c>
    </row>
    <row r="1216" spans="1:9" ht="15" customHeight="1" x14ac:dyDescent="0.25">
      <c r="A1216" s="87" t="s">
        <v>23</v>
      </c>
      <c r="B1216" s="87" t="s">
        <v>234</v>
      </c>
      <c r="C1216" s="87">
        <v>1989</v>
      </c>
      <c r="D1216" s="87" t="s">
        <v>15</v>
      </c>
      <c r="E1216" s="116">
        <v>-1</v>
      </c>
      <c r="F1216" s="87" t="s">
        <v>967</v>
      </c>
      <c r="G1216" s="87" t="s">
        <v>272</v>
      </c>
      <c r="H1216" s="87" t="s">
        <v>928</v>
      </c>
      <c r="I1216" s="87">
        <v>23</v>
      </c>
    </row>
    <row r="1217" spans="1:9" ht="15" customHeight="1" x14ac:dyDescent="0.25">
      <c r="A1217" s="87" t="s">
        <v>23</v>
      </c>
      <c r="B1217" s="87" t="s">
        <v>234</v>
      </c>
      <c r="C1217" s="87">
        <v>1990</v>
      </c>
      <c r="D1217" s="87" t="s">
        <v>15</v>
      </c>
      <c r="E1217" s="116">
        <v>-1</v>
      </c>
      <c r="F1217" s="87" t="s">
        <v>967</v>
      </c>
      <c r="G1217" s="87" t="s">
        <v>272</v>
      </c>
      <c r="H1217" s="87" t="s">
        <v>928</v>
      </c>
      <c r="I1217" s="87">
        <v>23</v>
      </c>
    </row>
    <row r="1218" spans="1:9" ht="15" customHeight="1" x14ac:dyDescent="0.25">
      <c r="A1218" s="87" t="s">
        <v>23</v>
      </c>
      <c r="B1218" s="87" t="s">
        <v>234</v>
      </c>
      <c r="C1218" s="87">
        <v>1991</v>
      </c>
      <c r="D1218" s="87" t="s">
        <v>15</v>
      </c>
      <c r="E1218" s="116">
        <v>-1</v>
      </c>
      <c r="F1218" s="87" t="s">
        <v>967</v>
      </c>
      <c r="G1218" s="87" t="s">
        <v>272</v>
      </c>
      <c r="H1218" s="87" t="s">
        <v>928</v>
      </c>
      <c r="I1218" s="87">
        <v>23</v>
      </c>
    </row>
    <row r="1219" spans="1:9" ht="15" customHeight="1" x14ac:dyDescent="0.25">
      <c r="A1219" s="87" t="s">
        <v>23</v>
      </c>
      <c r="B1219" s="87" t="s">
        <v>234</v>
      </c>
      <c r="C1219" s="87">
        <v>1992</v>
      </c>
      <c r="D1219" s="87" t="s">
        <v>15</v>
      </c>
      <c r="E1219" s="116">
        <v>-1</v>
      </c>
      <c r="F1219" s="87" t="s">
        <v>967</v>
      </c>
      <c r="G1219" s="87" t="s">
        <v>272</v>
      </c>
      <c r="H1219" s="87" t="s">
        <v>928</v>
      </c>
      <c r="I1219" s="87">
        <v>23</v>
      </c>
    </row>
    <row r="1220" spans="1:9" ht="15" customHeight="1" x14ac:dyDescent="0.25">
      <c r="A1220" s="87" t="s">
        <v>23</v>
      </c>
      <c r="B1220" s="87" t="s">
        <v>234</v>
      </c>
      <c r="C1220" s="87">
        <v>1993</v>
      </c>
      <c r="D1220" s="87" t="s">
        <v>15</v>
      </c>
      <c r="E1220" s="116">
        <v>-1</v>
      </c>
      <c r="F1220" s="87" t="s">
        <v>967</v>
      </c>
      <c r="G1220" s="87" t="s">
        <v>272</v>
      </c>
      <c r="H1220" s="87" t="s">
        <v>928</v>
      </c>
      <c r="I1220" s="87">
        <v>23</v>
      </c>
    </row>
    <row r="1221" spans="1:9" ht="15" customHeight="1" x14ac:dyDescent="0.25">
      <c r="A1221" s="87" t="s">
        <v>23</v>
      </c>
      <c r="B1221" s="87" t="s">
        <v>234</v>
      </c>
      <c r="C1221" s="87">
        <v>1994</v>
      </c>
      <c r="D1221" s="87" t="s">
        <v>15</v>
      </c>
      <c r="E1221" s="116">
        <v>-1</v>
      </c>
      <c r="F1221" s="87" t="s">
        <v>967</v>
      </c>
      <c r="G1221" s="87" t="s">
        <v>272</v>
      </c>
      <c r="H1221" s="87" t="s">
        <v>928</v>
      </c>
      <c r="I1221" s="87">
        <v>23</v>
      </c>
    </row>
    <row r="1222" spans="1:9" ht="15" customHeight="1" x14ac:dyDescent="0.25">
      <c r="A1222" s="87" t="s">
        <v>23</v>
      </c>
      <c r="B1222" s="87" t="s">
        <v>234</v>
      </c>
      <c r="C1222" s="87">
        <v>1995</v>
      </c>
      <c r="D1222" s="87" t="s">
        <v>15</v>
      </c>
      <c r="E1222" s="116">
        <v>-1</v>
      </c>
      <c r="F1222" s="87" t="s">
        <v>729</v>
      </c>
      <c r="G1222" s="87" t="s">
        <v>272</v>
      </c>
      <c r="H1222" s="87" t="s">
        <v>928</v>
      </c>
      <c r="I1222" s="87">
        <v>23</v>
      </c>
    </row>
    <row r="1223" spans="1:9" ht="15" customHeight="1" x14ac:dyDescent="0.25">
      <c r="A1223" s="87" t="s">
        <v>23</v>
      </c>
      <c r="B1223" s="87" t="s">
        <v>234</v>
      </c>
      <c r="C1223" s="87">
        <v>1996</v>
      </c>
      <c r="D1223" s="87" t="s">
        <v>15</v>
      </c>
      <c r="E1223" s="116">
        <v>-1</v>
      </c>
      <c r="F1223" s="87" t="s">
        <v>729</v>
      </c>
      <c r="G1223" s="87" t="s">
        <v>272</v>
      </c>
      <c r="H1223" s="87" t="s">
        <v>928</v>
      </c>
      <c r="I1223" s="87">
        <v>23</v>
      </c>
    </row>
    <row r="1224" spans="1:9" ht="15" customHeight="1" x14ac:dyDescent="0.25">
      <c r="A1224" s="87" t="s">
        <v>23</v>
      </c>
      <c r="B1224" s="87" t="s">
        <v>234</v>
      </c>
      <c r="C1224" s="87">
        <v>1997</v>
      </c>
      <c r="D1224" s="87" t="s">
        <v>15</v>
      </c>
      <c r="E1224" s="116">
        <v>-1</v>
      </c>
      <c r="F1224" s="87" t="s">
        <v>729</v>
      </c>
      <c r="G1224" s="87" t="s">
        <v>272</v>
      </c>
      <c r="H1224" s="87" t="s">
        <v>928</v>
      </c>
      <c r="I1224" s="87">
        <v>23</v>
      </c>
    </row>
    <row r="1225" spans="1:9" ht="15" customHeight="1" x14ac:dyDescent="0.25">
      <c r="A1225" s="87" t="s">
        <v>23</v>
      </c>
      <c r="B1225" s="87" t="s">
        <v>234</v>
      </c>
      <c r="C1225" s="87">
        <v>1998</v>
      </c>
      <c r="D1225" s="87" t="s">
        <v>15</v>
      </c>
      <c r="E1225" s="116">
        <v>-1</v>
      </c>
      <c r="F1225" s="87" t="s">
        <v>967</v>
      </c>
      <c r="G1225" s="87" t="s">
        <v>272</v>
      </c>
      <c r="H1225" s="87" t="s">
        <v>928</v>
      </c>
      <c r="I1225" s="87">
        <v>23</v>
      </c>
    </row>
    <row r="1226" spans="1:9" ht="15" customHeight="1" x14ac:dyDescent="0.25">
      <c r="A1226" s="87" t="s">
        <v>23</v>
      </c>
      <c r="B1226" s="87" t="s">
        <v>234</v>
      </c>
      <c r="C1226" s="87">
        <v>1999</v>
      </c>
      <c r="D1226" s="87" t="s">
        <v>15</v>
      </c>
      <c r="E1226" s="116">
        <v>237</v>
      </c>
      <c r="F1226" s="87" t="s">
        <v>967</v>
      </c>
      <c r="G1226" s="87" t="s">
        <v>272</v>
      </c>
      <c r="H1226" s="87" t="s">
        <v>967</v>
      </c>
      <c r="I1226" s="87">
        <v>23</v>
      </c>
    </row>
    <row r="1227" spans="1:9" ht="15" customHeight="1" x14ac:dyDescent="0.25">
      <c r="A1227" s="87" t="s">
        <v>23</v>
      </c>
      <c r="B1227" s="87" t="s">
        <v>234</v>
      </c>
      <c r="C1227" s="87">
        <v>2000</v>
      </c>
      <c r="D1227" s="87" t="s">
        <v>15</v>
      </c>
      <c r="E1227" s="116">
        <v>75</v>
      </c>
      <c r="F1227" s="87" t="s">
        <v>967</v>
      </c>
      <c r="G1227" s="87" t="s">
        <v>272</v>
      </c>
      <c r="H1227" s="87" t="s">
        <v>967</v>
      </c>
      <c r="I1227" s="87">
        <v>23</v>
      </c>
    </row>
    <row r="1228" spans="1:9" ht="15" customHeight="1" x14ac:dyDescent="0.25">
      <c r="A1228" s="87" t="s">
        <v>23</v>
      </c>
      <c r="B1228" s="87" t="s">
        <v>234</v>
      </c>
      <c r="C1228" s="87">
        <v>2001</v>
      </c>
      <c r="D1228" s="87" t="s">
        <v>15</v>
      </c>
      <c r="E1228" s="116">
        <v>415</v>
      </c>
      <c r="F1228" s="87" t="s">
        <v>967</v>
      </c>
      <c r="G1228" s="87" t="s">
        <v>272</v>
      </c>
      <c r="H1228" s="87" t="s">
        <v>967</v>
      </c>
      <c r="I1228" s="87">
        <v>23</v>
      </c>
    </row>
    <row r="1229" spans="1:9" ht="15" customHeight="1" x14ac:dyDescent="0.25">
      <c r="A1229" s="87" t="s">
        <v>23</v>
      </c>
      <c r="B1229" s="87" t="s">
        <v>234</v>
      </c>
      <c r="C1229" s="87">
        <v>2002</v>
      </c>
      <c r="D1229" s="87" t="s">
        <v>15</v>
      </c>
      <c r="E1229" s="116">
        <v>295</v>
      </c>
      <c r="F1229" s="87" t="s">
        <v>967</v>
      </c>
      <c r="G1229" s="87" t="s">
        <v>272</v>
      </c>
      <c r="H1229" s="87" t="s">
        <v>967</v>
      </c>
      <c r="I1229" s="87">
        <v>23</v>
      </c>
    </row>
    <row r="1230" spans="1:9" ht="15" customHeight="1" x14ac:dyDescent="0.25">
      <c r="A1230" s="87" t="s">
        <v>23</v>
      </c>
      <c r="B1230" s="87" t="s">
        <v>234</v>
      </c>
      <c r="C1230" s="87">
        <v>2003</v>
      </c>
      <c r="D1230" s="87" t="s">
        <v>15</v>
      </c>
      <c r="E1230" s="116">
        <v>389</v>
      </c>
      <c r="F1230" s="87" t="s">
        <v>967</v>
      </c>
      <c r="G1230" s="87" t="s">
        <v>272</v>
      </c>
      <c r="H1230" s="87" t="s">
        <v>967</v>
      </c>
      <c r="I1230" s="87">
        <v>23</v>
      </c>
    </row>
    <row r="1231" spans="1:9" ht="15" customHeight="1" x14ac:dyDescent="0.25">
      <c r="A1231" s="87" t="s">
        <v>23</v>
      </c>
      <c r="B1231" s="87" t="s">
        <v>234</v>
      </c>
      <c r="C1231" s="87">
        <v>2004</v>
      </c>
      <c r="D1231" s="87" t="s">
        <v>15</v>
      </c>
      <c r="E1231" s="116">
        <v>75</v>
      </c>
      <c r="F1231" s="87" t="s">
        <v>967</v>
      </c>
      <c r="G1231" s="87" t="s">
        <v>272</v>
      </c>
      <c r="H1231" s="87" t="s">
        <v>730</v>
      </c>
      <c r="I1231" s="87">
        <v>23</v>
      </c>
    </row>
    <row r="1232" spans="1:9" ht="15" customHeight="1" x14ac:dyDescent="0.25">
      <c r="A1232" s="87" t="s">
        <v>23</v>
      </c>
      <c r="B1232" s="87" t="s">
        <v>234</v>
      </c>
      <c r="C1232" s="87">
        <v>2005</v>
      </c>
      <c r="D1232" s="87" t="s">
        <v>15</v>
      </c>
      <c r="E1232" s="116">
        <v>141</v>
      </c>
      <c r="F1232" s="87" t="s">
        <v>967</v>
      </c>
      <c r="G1232" s="87" t="s">
        <v>272</v>
      </c>
      <c r="H1232" s="87" t="s">
        <v>967</v>
      </c>
      <c r="I1232" s="87">
        <v>23</v>
      </c>
    </row>
    <row r="1233" spans="1:9" ht="15" customHeight="1" x14ac:dyDescent="0.25">
      <c r="A1233" s="87" t="s">
        <v>23</v>
      </c>
      <c r="B1233" s="87" t="s">
        <v>234</v>
      </c>
      <c r="C1233" s="87">
        <v>2006</v>
      </c>
      <c r="D1233" s="87" t="s">
        <v>15</v>
      </c>
      <c r="E1233" s="116">
        <v>126</v>
      </c>
      <c r="F1233" s="87" t="s">
        <v>967</v>
      </c>
      <c r="G1233" s="87" t="s">
        <v>272</v>
      </c>
      <c r="H1233" s="87" t="s">
        <v>967</v>
      </c>
      <c r="I1233" s="87">
        <v>23</v>
      </c>
    </row>
    <row r="1234" spans="1:9" ht="15" customHeight="1" x14ac:dyDescent="0.25">
      <c r="A1234" s="87" t="s">
        <v>23</v>
      </c>
      <c r="B1234" s="87" t="s">
        <v>234</v>
      </c>
      <c r="C1234" s="87">
        <v>2007</v>
      </c>
      <c r="D1234" s="87" t="s">
        <v>15</v>
      </c>
      <c r="E1234" s="116">
        <v>66</v>
      </c>
      <c r="F1234" s="87" t="s">
        <v>967</v>
      </c>
      <c r="G1234" s="87" t="s">
        <v>272</v>
      </c>
      <c r="H1234" s="87" t="s">
        <v>967</v>
      </c>
      <c r="I1234" s="87">
        <v>23</v>
      </c>
    </row>
    <row r="1235" spans="1:9" ht="15" customHeight="1" x14ac:dyDescent="0.25">
      <c r="A1235" s="87" t="s">
        <v>23</v>
      </c>
      <c r="B1235" s="87" t="s">
        <v>234</v>
      </c>
      <c r="C1235" s="87">
        <v>2008</v>
      </c>
      <c r="D1235" s="87" t="s">
        <v>15</v>
      </c>
      <c r="E1235" s="116">
        <v>251</v>
      </c>
      <c r="F1235" s="87" t="s">
        <v>967</v>
      </c>
      <c r="G1235" s="87" t="s">
        <v>272</v>
      </c>
      <c r="H1235" s="87" t="s">
        <v>967</v>
      </c>
      <c r="I1235" s="87">
        <v>23</v>
      </c>
    </row>
    <row r="1236" spans="1:9" ht="15" customHeight="1" x14ac:dyDescent="0.25">
      <c r="A1236" s="87" t="s">
        <v>23</v>
      </c>
      <c r="B1236" s="87" t="s">
        <v>234</v>
      </c>
      <c r="C1236" s="87">
        <v>2009</v>
      </c>
      <c r="D1236" s="87" t="s">
        <v>15</v>
      </c>
      <c r="E1236" s="116">
        <v>155</v>
      </c>
      <c r="F1236" s="87" t="s">
        <v>967</v>
      </c>
      <c r="G1236" s="87" t="s">
        <v>272</v>
      </c>
      <c r="H1236" s="87" t="s">
        <v>967</v>
      </c>
      <c r="I1236" s="87">
        <v>23</v>
      </c>
    </row>
    <row r="1237" spans="1:9" ht="15" customHeight="1" x14ac:dyDescent="0.25">
      <c r="A1237" s="87" t="s">
        <v>23</v>
      </c>
      <c r="B1237" s="87" t="s">
        <v>234</v>
      </c>
      <c r="C1237" s="87">
        <v>2010</v>
      </c>
      <c r="D1237" s="87" t="s">
        <v>15</v>
      </c>
      <c r="E1237" s="116">
        <v>162</v>
      </c>
      <c r="F1237" s="87" t="s">
        <v>967</v>
      </c>
      <c r="G1237" s="87" t="s">
        <v>272</v>
      </c>
      <c r="H1237" s="87" t="s">
        <v>731</v>
      </c>
      <c r="I1237" s="87">
        <v>23</v>
      </c>
    </row>
    <row r="1238" spans="1:9" ht="15" customHeight="1" x14ac:dyDescent="0.25">
      <c r="A1238" s="87" t="s">
        <v>23</v>
      </c>
      <c r="B1238" s="87" t="s">
        <v>234</v>
      </c>
      <c r="C1238" s="87">
        <v>2011</v>
      </c>
      <c r="D1238" s="87" t="s">
        <v>15</v>
      </c>
      <c r="E1238" s="116">
        <v>89</v>
      </c>
      <c r="F1238" s="87" t="s">
        <v>967</v>
      </c>
      <c r="G1238" s="87" t="s">
        <v>272</v>
      </c>
      <c r="H1238" s="87" t="s">
        <v>967</v>
      </c>
      <c r="I1238" s="87">
        <v>23</v>
      </c>
    </row>
    <row r="1239" spans="1:9" ht="15" customHeight="1" x14ac:dyDescent="0.25">
      <c r="A1239" s="87" t="s">
        <v>23</v>
      </c>
      <c r="B1239" s="87" t="s">
        <v>234</v>
      </c>
      <c r="C1239" s="87">
        <v>2012</v>
      </c>
      <c r="D1239" s="87" t="s">
        <v>15</v>
      </c>
      <c r="E1239" s="116">
        <v>240</v>
      </c>
      <c r="F1239" s="87" t="s">
        <v>967</v>
      </c>
      <c r="G1239" s="87" t="s">
        <v>272</v>
      </c>
      <c r="H1239" s="87" t="s">
        <v>967</v>
      </c>
      <c r="I1239" s="87">
        <v>23</v>
      </c>
    </row>
    <row r="1240" spans="1:9" ht="15" customHeight="1" x14ac:dyDescent="0.25">
      <c r="A1240" s="87" t="s">
        <v>23</v>
      </c>
      <c r="B1240" s="87" t="s">
        <v>234</v>
      </c>
      <c r="C1240" s="87">
        <v>2013</v>
      </c>
      <c r="D1240" s="87" t="s">
        <v>15</v>
      </c>
      <c r="E1240" s="116">
        <v>118</v>
      </c>
      <c r="F1240" s="87" t="s">
        <v>967</v>
      </c>
      <c r="G1240" s="87" t="s">
        <v>272</v>
      </c>
      <c r="H1240" s="87" t="s">
        <v>967</v>
      </c>
      <c r="I1240" s="87">
        <v>23</v>
      </c>
    </row>
    <row r="1241" spans="1:9" ht="15" customHeight="1" x14ac:dyDescent="0.25">
      <c r="A1241" s="87" t="s">
        <v>23</v>
      </c>
      <c r="B1241" s="87" t="s">
        <v>234</v>
      </c>
      <c r="C1241" s="87">
        <v>2014</v>
      </c>
      <c r="D1241" s="87" t="s">
        <v>15</v>
      </c>
      <c r="E1241" s="116">
        <v>318</v>
      </c>
      <c r="F1241" s="87" t="s">
        <v>967</v>
      </c>
      <c r="G1241" s="87" t="s">
        <v>272</v>
      </c>
      <c r="H1241" s="87" t="s">
        <v>967</v>
      </c>
      <c r="I1241" s="87">
        <v>23</v>
      </c>
    </row>
    <row r="1242" spans="1:9" ht="15" customHeight="1" x14ac:dyDescent="0.25">
      <c r="A1242" s="87" t="s">
        <v>23</v>
      </c>
      <c r="B1242" s="87" t="s">
        <v>234</v>
      </c>
      <c r="C1242" s="87">
        <v>2015</v>
      </c>
      <c r="D1242" s="87" t="s">
        <v>15</v>
      </c>
      <c r="E1242" s="116">
        <v>231</v>
      </c>
      <c r="F1242" s="87" t="s">
        <v>967</v>
      </c>
      <c r="G1242" s="87" t="s">
        <v>272</v>
      </c>
      <c r="H1242" s="87" t="s">
        <v>732</v>
      </c>
      <c r="I1242" s="87">
        <v>23</v>
      </c>
    </row>
    <row r="1243" spans="1:9" ht="15" customHeight="1" x14ac:dyDescent="0.25">
      <c r="A1243" s="87" t="s">
        <v>23</v>
      </c>
      <c r="B1243" s="87" t="s">
        <v>234</v>
      </c>
      <c r="C1243" s="87">
        <v>2016</v>
      </c>
      <c r="D1243" s="87" t="s">
        <v>15</v>
      </c>
      <c r="E1243" s="116">
        <v>125</v>
      </c>
      <c r="F1243" s="87" t="s">
        <v>967</v>
      </c>
      <c r="G1243" s="87" t="s">
        <v>272</v>
      </c>
      <c r="H1243" s="87" t="s">
        <v>733</v>
      </c>
      <c r="I1243" s="87">
        <v>23</v>
      </c>
    </row>
    <row r="1244" spans="1:9" ht="15" customHeight="1" x14ac:dyDescent="0.25">
      <c r="A1244" s="87" t="s">
        <v>23</v>
      </c>
      <c r="B1244" s="87" t="s">
        <v>234</v>
      </c>
      <c r="C1244" s="87">
        <v>2017</v>
      </c>
      <c r="D1244" s="87" t="s">
        <v>15</v>
      </c>
      <c r="E1244" s="116">
        <v>-1</v>
      </c>
      <c r="F1244" s="87" t="s">
        <v>905</v>
      </c>
      <c r="G1244" s="87" t="s">
        <v>272</v>
      </c>
      <c r="H1244" s="87" t="s">
        <v>906</v>
      </c>
      <c r="I1244" s="87">
        <v>23</v>
      </c>
    </row>
    <row r="1245" spans="1:9" ht="15" customHeight="1" x14ac:dyDescent="0.25">
      <c r="A1245" s="87" t="s">
        <v>23</v>
      </c>
      <c r="B1245" s="87" t="s">
        <v>234</v>
      </c>
      <c r="C1245" s="87">
        <v>2018</v>
      </c>
      <c r="D1245" s="87" t="s">
        <v>15</v>
      </c>
      <c r="E1245" s="116">
        <v>43</v>
      </c>
      <c r="F1245" s="87" t="s">
        <v>967</v>
      </c>
      <c r="G1245" s="87" t="s">
        <v>272</v>
      </c>
      <c r="H1245" s="87" t="s">
        <v>967</v>
      </c>
      <c r="I1245" s="87">
        <v>23</v>
      </c>
    </row>
    <row r="1246" spans="1:9" ht="15" customHeight="1" x14ac:dyDescent="0.25">
      <c r="A1246" s="87" t="s">
        <v>23</v>
      </c>
      <c r="B1246" s="87" t="s">
        <v>234</v>
      </c>
      <c r="C1246" s="87">
        <v>2019</v>
      </c>
      <c r="D1246" s="87" t="s">
        <v>15</v>
      </c>
      <c r="E1246" s="116">
        <v>8</v>
      </c>
      <c r="F1246" s="87" t="s">
        <v>967</v>
      </c>
      <c r="G1246" s="87" t="s">
        <v>272</v>
      </c>
      <c r="H1246" s="87" t="s">
        <v>967</v>
      </c>
      <c r="I1246" s="87">
        <v>23</v>
      </c>
    </row>
    <row r="1247" spans="1:9" ht="15" customHeight="1" x14ac:dyDescent="0.25">
      <c r="A1247" s="87" t="s">
        <v>23</v>
      </c>
      <c r="B1247" s="87" t="s">
        <v>234</v>
      </c>
      <c r="C1247" s="87">
        <v>2020</v>
      </c>
      <c r="D1247" s="87" t="s">
        <v>15</v>
      </c>
      <c r="E1247" s="116">
        <v>145</v>
      </c>
      <c r="F1247" s="87" t="s">
        <v>967</v>
      </c>
      <c r="G1247" s="87" t="s">
        <v>272</v>
      </c>
      <c r="H1247" s="87" t="s">
        <v>967</v>
      </c>
      <c r="I1247" s="87">
        <v>23</v>
      </c>
    </row>
    <row r="1248" spans="1:9" ht="15" customHeight="1" x14ac:dyDescent="0.25">
      <c r="A1248" s="87" t="s">
        <v>23</v>
      </c>
      <c r="B1248" s="87" t="s">
        <v>234</v>
      </c>
      <c r="C1248" s="87">
        <v>2021</v>
      </c>
      <c r="D1248" s="87" t="s">
        <v>15</v>
      </c>
      <c r="E1248" s="116">
        <v>160</v>
      </c>
      <c r="F1248" s="87" t="s">
        <v>967</v>
      </c>
      <c r="G1248" s="87" t="s">
        <v>272</v>
      </c>
      <c r="H1248" s="87" t="s">
        <v>967</v>
      </c>
      <c r="I1248" s="87">
        <v>23</v>
      </c>
    </row>
    <row r="1249" spans="1:9" ht="15" customHeight="1" x14ac:dyDescent="0.25">
      <c r="A1249" s="87" t="s">
        <v>23</v>
      </c>
      <c r="B1249" s="87" t="s">
        <v>234</v>
      </c>
      <c r="C1249" s="87">
        <v>2022</v>
      </c>
      <c r="D1249" s="87" t="s">
        <v>15</v>
      </c>
      <c r="E1249" s="116">
        <v>85</v>
      </c>
      <c r="F1249" s="87" t="s">
        <v>967</v>
      </c>
      <c r="G1249" s="87" t="s">
        <v>272</v>
      </c>
      <c r="H1249" s="87" t="s">
        <v>967</v>
      </c>
      <c r="I1249" s="87">
        <v>23</v>
      </c>
    </row>
    <row r="1250" spans="1:9" ht="15" customHeight="1" x14ac:dyDescent="0.25">
      <c r="A1250" s="87" t="s">
        <v>23</v>
      </c>
      <c r="B1250" s="87" t="s">
        <v>310</v>
      </c>
      <c r="C1250" s="87">
        <v>1975</v>
      </c>
      <c r="D1250" s="87" t="s">
        <v>15</v>
      </c>
      <c r="E1250" s="116">
        <v>-1</v>
      </c>
      <c r="F1250" s="87" t="s">
        <v>817</v>
      </c>
      <c r="G1250" s="87" t="s">
        <v>967</v>
      </c>
      <c r="H1250" s="87" t="s">
        <v>817</v>
      </c>
      <c r="I1250" s="87">
        <v>24</v>
      </c>
    </row>
    <row r="1251" spans="1:9" ht="15" customHeight="1" x14ac:dyDescent="0.25">
      <c r="A1251" s="87" t="s">
        <v>23</v>
      </c>
      <c r="B1251" s="87" t="s">
        <v>310</v>
      </c>
      <c r="C1251" s="87">
        <v>1976</v>
      </c>
      <c r="D1251" s="87" t="s">
        <v>15</v>
      </c>
      <c r="E1251" s="116">
        <v>-1</v>
      </c>
      <c r="F1251" s="87" t="s">
        <v>817</v>
      </c>
      <c r="G1251" s="87" t="s">
        <v>967</v>
      </c>
      <c r="H1251" s="87" t="s">
        <v>817</v>
      </c>
      <c r="I1251" s="87">
        <v>24</v>
      </c>
    </row>
    <row r="1252" spans="1:9" ht="15" customHeight="1" x14ac:dyDescent="0.25">
      <c r="A1252" s="87" t="s">
        <v>23</v>
      </c>
      <c r="B1252" s="87" t="s">
        <v>310</v>
      </c>
      <c r="C1252" s="87">
        <v>1977</v>
      </c>
      <c r="D1252" s="87" t="s">
        <v>15</v>
      </c>
      <c r="E1252" s="116">
        <v>-1</v>
      </c>
      <c r="F1252" s="87" t="s">
        <v>817</v>
      </c>
      <c r="G1252" s="87" t="s">
        <v>967</v>
      </c>
      <c r="H1252" s="87" t="s">
        <v>817</v>
      </c>
      <c r="I1252" s="87">
        <v>24</v>
      </c>
    </row>
    <row r="1253" spans="1:9" ht="15" customHeight="1" x14ac:dyDescent="0.25">
      <c r="A1253" s="87" t="s">
        <v>23</v>
      </c>
      <c r="B1253" s="87" t="s">
        <v>310</v>
      </c>
      <c r="C1253" s="87">
        <v>1978</v>
      </c>
      <c r="D1253" s="87" t="s">
        <v>15</v>
      </c>
      <c r="E1253" s="116">
        <v>-1</v>
      </c>
      <c r="F1253" s="87" t="s">
        <v>817</v>
      </c>
      <c r="G1253" s="87" t="s">
        <v>967</v>
      </c>
      <c r="H1253" s="87" t="s">
        <v>817</v>
      </c>
      <c r="I1253" s="87">
        <v>24</v>
      </c>
    </row>
    <row r="1254" spans="1:9" ht="15" customHeight="1" x14ac:dyDescent="0.25">
      <c r="A1254" s="87" t="s">
        <v>23</v>
      </c>
      <c r="B1254" s="87" t="s">
        <v>310</v>
      </c>
      <c r="C1254" s="87">
        <v>1979</v>
      </c>
      <c r="D1254" s="87" t="s">
        <v>15</v>
      </c>
      <c r="E1254" s="116">
        <v>-1</v>
      </c>
      <c r="F1254" s="87" t="s">
        <v>817</v>
      </c>
      <c r="G1254" s="87" t="s">
        <v>967</v>
      </c>
      <c r="H1254" s="87" t="s">
        <v>817</v>
      </c>
      <c r="I1254" s="87">
        <v>24</v>
      </c>
    </row>
    <row r="1255" spans="1:9" ht="15" customHeight="1" x14ac:dyDescent="0.25">
      <c r="A1255" s="87" t="s">
        <v>23</v>
      </c>
      <c r="B1255" s="87" t="s">
        <v>310</v>
      </c>
      <c r="C1255" s="87">
        <v>1980</v>
      </c>
      <c r="D1255" s="87" t="s">
        <v>15</v>
      </c>
      <c r="E1255" s="116">
        <v>-1</v>
      </c>
      <c r="F1255" s="87" t="s">
        <v>817</v>
      </c>
      <c r="G1255" s="87" t="s">
        <v>967</v>
      </c>
      <c r="H1255" s="87" t="s">
        <v>817</v>
      </c>
      <c r="I1255" s="87">
        <v>24</v>
      </c>
    </row>
    <row r="1256" spans="1:9" ht="15" customHeight="1" x14ac:dyDescent="0.25">
      <c r="A1256" s="87" t="s">
        <v>23</v>
      </c>
      <c r="B1256" s="87" t="s">
        <v>310</v>
      </c>
      <c r="C1256" s="87">
        <v>1981</v>
      </c>
      <c r="D1256" s="87" t="s">
        <v>15</v>
      </c>
      <c r="E1256" s="116">
        <v>-1</v>
      </c>
      <c r="F1256" s="87" t="s">
        <v>817</v>
      </c>
      <c r="G1256" s="87" t="s">
        <v>967</v>
      </c>
      <c r="H1256" s="87" t="s">
        <v>817</v>
      </c>
      <c r="I1256" s="87">
        <v>24</v>
      </c>
    </row>
    <row r="1257" spans="1:9" ht="15" customHeight="1" x14ac:dyDescent="0.25">
      <c r="A1257" s="87" t="s">
        <v>23</v>
      </c>
      <c r="B1257" s="87" t="s">
        <v>310</v>
      </c>
      <c r="C1257" s="87">
        <v>1982</v>
      </c>
      <c r="D1257" s="87" t="s">
        <v>15</v>
      </c>
      <c r="E1257" s="116">
        <v>-1</v>
      </c>
      <c r="F1257" s="87" t="s">
        <v>817</v>
      </c>
      <c r="G1257" s="87" t="s">
        <v>967</v>
      </c>
      <c r="H1257" s="87" t="s">
        <v>817</v>
      </c>
      <c r="I1257" s="87">
        <v>24</v>
      </c>
    </row>
    <row r="1258" spans="1:9" ht="15" customHeight="1" x14ac:dyDescent="0.25">
      <c r="A1258" s="87" t="s">
        <v>23</v>
      </c>
      <c r="B1258" s="87" t="s">
        <v>310</v>
      </c>
      <c r="C1258" s="87">
        <v>1983</v>
      </c>
      <c r="D1258" s="87" t="s">
        <v>15</v>
      </c>
      <c r="E1258" s="116">
        <v>-1</v>
      </c>
      <c r="F1258" s="87" t="s">
        <v>817</v>
      </c>
      <c r="G1258" s="87" t="s">
        <v>967</v>
      </c>
      <c r="H1258" s="87" t="s">
        <v>817</v>
      </c>
      <c r="I1258" s="87">
        <v>24</v>
      </c>
    </row>
    <row r="1259" spans="1:9" ht="15" customHeight="1" x14ac:dyDescent="0.25">
      <c r="A1259" s="87" t="s">
        <v>23</v>
      </c>
      <c r="B1259" s="87" t="s">
        <v>310</v>
      </c>
      <c r="C1259" s="87">
        <v>1984</v>
      </c>
      <c r="D1259" s="87" t="s">
        <v>15</v>
      </c>
      <c r="E1259" s="116">
        <v>-1</v>
      </c>
      <c r="F1259" s="87" t="s">
        <v>817</v>
      </c>
      <c r="G1259" s="87" t="s">
        <v>967</v>
      </c>
      <c r="H1259" s="87" t="s">
        <v>817</v>
      </c>
      <c r="I1259" s="87">
        <v>24</v>
      </c>
    </row>
    <row r="1260" spans="1:9" ht="15" customHeight="1" x14ac:dyDescent="0.25">
      <c r="A1260" s="87" t="s">
        <v>23</v>
      </c>
      <c r="B1260" s="87" t="s">
        <v>310</v>
      </c>
      <c r="C1260" s="87">
        <v>1985</v>
      </c>
      <c r="D1260" s="87" t="s">
        <v>15</v>
      </c>
      <c r="E1260" s="116">
        <v>-1</v>
      </c>
      <c r="F1260" s="87" t="s">
        <v>817</v>
      </c>
      <c r="G1260" s="87" t="s">
        <v>967</v>
      </c>
      <c r="H1260" s="87" t="s">
        <v>817</v>
      </c>
      <c r="I1260" s="87">
        <v>24</v>
      </c>
    </row>
    <row r="1261" spans="1:9" ht="15" customHeight="1" x14ac:dyDescent="0.25">
      <c r="A1261" s="87" t="s">
        <v>23</v>
      </c>
      <c r="B1261" s="87" t="s">
        <v>310</v>
      </c>
      <c r="C1261" s="87">
        <v>1986</v>
      </c>
      <c r="D1261" s="87" t="s">
        <v>15</v>
      </c>
      <c r="E1261" s="116">
        <v>-1</v>
      </c>
      <c r="F1261" s="87" t="s">
        <v>817</v>
      </c>
      <c r="G1261" s="87" t="s">
        <v>967</v>
      </c>
      <c r="H1261" s="87" t="s">
        <v>817</v>
      </c>
      <c r="I1261" s="87">
        <v>24</v>
      </c>
    </row>
    <row r="1262" spans="1:9" ht="15" customHeight="1" x14ac:dyDescent="0.25">
      <c r="A1262" s="87" t="s">
        <v>23</v>
      </c>
      <c r="B1262" s="87" t="s">
        <v>310</v>
      </c>
      <c r="C1262" s="87">
        <v>1987</v>
      </c>
      <c r="D1262" s="87" t="s">
        <v>15</v>
      </c>
      <c r="E1262" s="116">
        <v>-1</v>
      </c>
      <c r="F1262" s="87" t="s">
        <v>817</v>
      </c>
      <c r="G1262" s="87" t="s">
        <v>967</v>
      </c>
      <c r="H1262" s="87" t="s">
        <v>817</v>
      </c>
      <c r="I1262" s="87">
        <v>24</v>
      </c>
    </row>
    <row r="1263" spans="1:9" ht="15" customHeight="1" x14ac:dyDescent="0.25">
      <c r="A1263" s="87" t="s">
        <v>23</v>
      </c>
      <c r="B1263" s="87" t="s">
        <v>310</v>
      </c>
      <c r="C1263" s="87">
        <v>1988</v>
      </c>
      <c r="D1263" s="87" t="s">
        <v>15</v>
      </c>
      <c r="E1263" s="116">
        <v>-1</v>
      </c>
      <c r="F1263" s="87" t="s">
        <v>817</v>
      </c>
      <c r="G1263" s="87" t="s">
        <v>967</v>
      </c>
      <c r="H1263" s="87" t="s">
        <v>817</v>
      </c>
      <c r="I1263" s="87">
        <v>24</v>
      </c>
    </row>
    <row r="1264" spans="1:9" ht="15" customHeight="1" x14ac:dyDescent="0.25">
      <c r="A1264" s="87" t="s">
        <v>23</v>
      </c>
      <c r="B1264" s="87" t="s">
        <v>310</v>
      </c>
      <c r="C1264" s="87">
        <v>1989</v>
      </c>
      <c r="D1264" s="87" t="s">
        <v>15</v>
      </c>
      <c r="E1264" s="116">
        <v>-1</v>
      </c>
      <c r="F1264" s="87" t="s">
        <v>817</v>
      </c>
      <c r="G1264" s="87" t="s">
        <v>967</v>
      </c>
      <c r="H1264" s="87" t="s">
        <v>817</v>
      </c>
      <c r="I1264" s="87">
        <v>24</v>
      </c>
    </row>
    <row r="1265" spans="1:9" ht="15" customHeight="1" x14ac:dyDescent="0.25">
      <c r="A1265" s="87" t="s">
        <v>23</v>
      </c>
      <c r="B1265" s="87" t="s">
        <v>310</v>
      </c>
      <c r="C1265" s="87">
        <v>1990</v>
      </c>
      <c r="D1265" s="87" t="s">
        <v>15</v>
      </c>
      <c r="E1265" s="116">
        <v>-1</v>
      </c>
      <c r="F1265" s="87" t="s">
        <v>817</v>
      </c>
      <c r="G1265" s="87" t="s">
        <v>967</v>
      </c>
      <c r="H1265" s="87" t="s">
        <v>817</v>
      </c>
      <c r="I1265" s="87">
        <v>24</v>
      </c>
    </row>
    <row r="1266" spans="1:9" ht="15" customHeight="1" x14ac:dyDescent="0.25">
      <c r="A1266" s="87" t="s">
        <v>23</v>
      </c>
      <c r="B1266" s="87" t="s">
        <v>310</v>
      </c>
      <c r="C1266" s="87">
        <v>1991</v>
      </c>
      <c r="D1266" s="87" t="s">
        <v>15</v>
      </c>
      <c r="E1266" s="116">
        <v>-1</v>
      </c>
      <c r="F1266" s="87" t="s">
        <v>817</v>
      </c>
      <c r="G1266" s="87" t="s">
        <v>967</v>
      </c>
      <c r="H1266" s="87" t="s">
        <v>817</v>
      </c>
      <c r="I1266" s="87">
        <v>24</v>
      </c>
    </row>
    <row r="1267" spans="1:9" ht="15" customHeight="1" x14ac:dyDescent="0.25">
      <c r="A1267" s="87" t="s">
        <v>23</v>
      </c>
      <c r="B1267" s="87" t="s">
        <v>310</v>
      </c>
      <c r="C1267" s="87">
        <v>1992</v>
      </c>
      <c r="D1267" s="87" t="s">
        <v>15</v>
      </c>
      <c r="E1267" s="116">
        <v>-1</v>
      </c>
      <c r="F1267" s="87" t="s">
        <v>817</v>
      </c>
      <c r="G1267" s="87" t="s">
        <v>967</v>
      </c>
      <c r="H1267" s="87" t="s">
        <v>817</v>
      </c>
      <c r="I1267" s="87">
        <v>24</v>
      </c>
    </row>
    <row r="1268" spans="1:9" ht="15" customHeight="1" x14ac:dyDescent="0.25">
      <c r="A1268" s="87" t="s">
        <v>23</v>
      </c>
      <c r="B1268" s="87" t="s">
        <v>310</v>
      </c>
      <c r="C1268" s="87">
        <v>1993</v>
      </c>
      <c r="D1268" s="87" t="s">
        <v>15</v>
      </c>
      <c r="E1268" s="116">
        <v>-1</v>
      </c>
      <c r="F1268" s="87" t="s">
        <v>817</v>
      </c>
      <c r="G1268" s="87" t="s">
        <v>967</v>
      </c>
      <c r="H1268" s="87" t="s">
        <v>817</v>
      </c>
      <c r="I1268" s="87">
        <v>24</v>
      </c>
    </row>
    <row r="1269" spans="1:9" ht="15" customHeight="1" x14ac:dyDescent="0.25">
      <c r="A1269" s="87" t="s">
        <v>23</v>
      </c>
      <c r="B1269" s="87" t="s">
        <v>310</v>
      </c>
      <c r="C1269" s="87">
        <v>1994</v>
      </c>
      <c r="D1269" s="87" t="s">
        <v>15</v>
      </c>
      <c r="E1269" s="116">
        <v>-1</v>
      </c>
      <c r="F1269" s="87" t="s">
        <v>817</v>
      </c>
      <c r="G1269" s="87" t="s">
        <v>967</v>
      </c>
      <c r="H1269" s="87" t="s">
        <v>817</v>
      </c>
      <c r="I1269" s="87">
        <v>24</v>
      </c>
    </row>
    <row r="1270" spans="1:9" ht="15" customHeight="1" x14ac:dyDescent="0.25">
      <c r="A1270" s="87" t="s">
        <v>23</v>
      </c>
      <c r="B1270" s="87" t="s">
        <v>310</v>
      </c>
      <c r="C1270" s="87">
        <v>1995</v>
      </c>
      <c r="D1270" s="87" t="s">
        <v>15</v>
      </c>
      <c r="E1270" s="116">
        <v>-1</v>
      </c>
      <c r="F1270" s="87" t="s">
        <v>817</v>
      </c>
      <c r="G1270" s="87" t="s">
        <v>967</v>
      </c>
      <c r="H1270" s="87" t="s">
        <v>817</v>
      </c>
      <c r="I1270" s="87">
        <v>24</v>
      </c>
    </row>
    <row r="1271" spans="1:9" ht="15" customHeight="1" x14ac:dyDescent="0.25">
      <c r="A1271" s="87" t="s">
        <v>23</v>
      </c>
      <c r="B1271" s="87" t="s">
        <v>310</v>
      </c>
      <c r="C1271" s="87">
        <v>1996</v>
      </c>
      <c r="D1271" s="87" t="s">
        <v>15</v>
      </c>
      <c r="E1271" s="116">
        <v>-1</v>
      </c>
      <c r="F1271" s="87" t="s">
        <v>817</v>
      </c>
      <c r="G1271" s="87" t="s">
        <v>967</v>
      </c>
      <c r="H1271" s="87" t="s">
        <v>817</v>
      </c>
      <c r="I1271" s="87">
        <v>24</v>
      </c>
    </row>
    <row r="1272" spans="1:9" ht="15" customHeight="1" x14ac:dyDescent="0.25">
      <c r="A1272" s="87" t="s">
        <v>23</v>
      </c>
      <c r="B1272" s="87" t="s">
        <v>310</v>
      </c>
      <c r="C1272" s="87">
        <v>1997</v>
      </c>
      <c r="D1272" s="87" t="s">
        <v>15</v>
      </c>
      <c r="E1272" s="116">
        <v>-1</v>
      </c>
      <c r="F1272" s="87" t="s">
        <v>817</v>
      </c>
      <c r="G1272" s="87" t="s">
        <v>967</v>
      </c>
      <c r="H1272" s="87" t="s">
        <v>817</v>
      </c>
      <c r="I1272" s="87">
        <v>24</v>
      </c>
    </row>
    <row r="1273" spans="1:9" ht="15" customHeight="1" x14ac:dyDescent="0.25">
      <c r="A1273" s="87" t="s">
        <v>23</v>
      </c>
      <c r="B1273" s="87" t="s">
        <v>310</v>
      </c>
      <c r="C1273" s="87">
        <v>1998</v>
      </c>
      <c r="D1273" s="87" t="s">
        <v>15</v>
      </c>
      <c r="E1273" s="116">
        <v>1727</v>
      </c>
      <c r="F1273" s="87" t="s">
        <v>818</v>
      </c>
      <c r="G1273" s="87" t="s">
        <v>272</v>
      </c>
      <c r="H1273" s="87" t="s">
        <v>818</v>
      </c>
      <c r="I1273" s="87">
        <v>24</v>
      </c>
    </row>
    <row r="1274" spans="1:9" ht="15" customHeight="1" x14ac:dyDescent="0.25">
      <c r="A1274" s="87" t="s">
        <v>23</v>
      </c>
      <c r="B1274" s="87" t="s">
        <v>310</v>
      </c>
      <c r="C1274" s="87">
        <v>1999</v>
      </c>
      <c r="D1274" s="87" t="s">
        <v>15</v>
      </c>
      <c r="E1274" s="116">
        <v>555</v>
      </c>
      <c r="F1274" s="87" t="s">
        <v>818</v>
      </c>
      <c r="G1274" s="87" t="s">
        <v>272</v>
      </c>
      <c r="H1274" s="87" t="s">
        <v>818</v>
      </c>
      <c r="I1274" s="87">
        <v>24</v>
      </c>
    </row>
    <row r="1275" spans="1:9" ht="15" customHeight="1" x14ac:dyDescent="0.25">
      <c r="A1275" s="87" t="s">
        <v>23</v>
      </c>
      <c r="B1275" s="87" t="s">
        <v>310</v>
      </c>
      <c r="C1275" s="87">
        <v>2000</v>
      </c>
      <c r="D1275" s="87" t="s">
        <v>15</v>
      </c>
      <c r="E1275" s="116">
        <v>1054</v>
      </c>
      <c r="F1275" s="87" t="s">
        <v>819</v>
      </c>
      <c r="G1275" s="87" t="s">
        <v>272</v>
      </c>
      <c r="H1275" s="87" t="s">
        <v>819</v>
      </c>
      <c r="I1275" s="87">
        <v>24</v>
      </c>
    </row>
    <row r="1276" spans="1:9" ht="15" customHeight="1" x14ac:dyDescent="0.25">
      <c r="A1276" s="87" t="s">
        <v>23</v>
      </c>
      <c r="B1276" s="87" t="s">
        <v>310</v>
      </c>
      <c r="C1276" s="87">
        <v>2001</v>
      </c>
      <c r="D1276" s="87" t="s">
        <v>15</v>
      </c>
      <c r="E1276" s="116">
        <v>625</v>
      </c>
      <c r="F1276" s="87" t="s">
        <v>820</v>
      </c>
      <c r="G1276" s="87" t="s">
        <v>272</v>
      </c>
      <c r="H1276" s="87" t="s">
        <v>820</v>
      </c>
      <c r="I1276" s="87">
        <v>24</v>
      </c>
    </row>
    <row r="1277" spans="1:9" ht="15" customHeight="1" x14ac:dyDescent="0.25">
      <c r="A1277" s="87" t="s">
        <v>23</v>
      </c>
      <c r="B1277" s="87" t="s">
        <v>310</v>
      </c>
      <c r="C1277" s="87">
        <v>2002</v>
      </c>
      <c r="D1277" s="87" t="s">
        <v>15</v>
      </c>
      <c r="E1277" s="116">
        <v>952</v>
      </c>
      <c r="F1277" s="87" t="s">
        <v>821</v>
      </c>
      <c r="G1277" s="87" t="s">
        <v>272</v>
      </c>
      <c r="H1277" s="87" t="s">
        <v>821</v>
      </c>
      <c r="I1277" s="87">
        <v>24</v>
      </c>
    </row>
    <row r="1278" spans="1:9" ht="15" customHeight="1" x14ac:dyDescent="0.25">
      <c r="A1278" s="87" t="s">
        <v>23</v>
      </c>
      <c r="B1278" s="87" t="s">
        <v>310</v>
      </c>
      <c r="C1278" s="87">
        <v>2003</v>
      </c>
      <c r="D1278" s="87" t="s">
        <v>15</v>
      </c>
      <c r="E1278" s="116">
        <v>889</v>
      </c>
      <c r="F1278" s="87" t="s">
        <v>821</v>
      </c>
      <c r="G1278" s="87" t="s">
        <v>272</v>
      </c>
      <c r="H1278" s="87" t="s">
        <v>821</v>
      </c>
      <c r="I1278" s="87">
        <v>24</v>
      </c>
    </row>
    <row r="1279" spans="1:9" ht="15" customHeight="1" x14ac:dyDescent="0.25">
      <c r="A1279" s="87" t="s">
        <v>23</v>
      </c>
      <c r="B1279" s="87" t="s">
        <v>310</v>
      </c>
      <c r="C1279" s="87">
        <v>2004</v>
      </c>
      <c r="D1279" s="87" t="s">
        <v>15</v>
      </c>
      <c r="E1279" s="116">
        <v>1061</v>
      </c>
      <c r="F1279" s="87" t="s">
        <v>821</v>
      </c>
      <c r="G1279" s="87" t="s">
        <v>272</v>
      </c>
      <c r="H1279" s="87" t="s">
        <v>821</v>
      </c>
      <c r="I1279" s="87">
        <v>24</v>
      </c>
    </row>
    <row r="1280" spans="1:9" ht="15" customHeight="1" x14ac:dyDescent="0.25">
      <c r="A1280" s="87" t="s">
        <v>23</v>
      </c>
      <c r="B1280" s="87" t="s">
        <v>310</v>
      </c>
      <c r="C1280" s="87">
        <v>2005</v>
      </c>
      <c r="D1280" s="87" t="s">
        <v>15</v>
      </c>
      <c r="E1280" s="116">
        <v>465</v>
      </c>
      <c r="F1280" s="87" t="s">
        <v>823</v>
      </c>
      <c r="G1280" s="87" t="s">
        <v>272</v>
      </c>
      <c r="H1280" s="87" t="s">
        <v>822</v>
      </c>
      <c r="I1280" s="87">
        <v>24</v>
      </c>
    </row>
    <row r="1281" spans="1:9" ht="15" customHeight="1" x14ac:dyDescent="0.25">
      <c r="A1281" s="87" t="s">
        <v>23</v>
      </c>
      <c r="B1281" s="87" t="s">
        <v>310</v>
      </c>
      <c r="C1281" s="87">
        <v>2006</v>
      </c>
      <c r="D1281" s="87" t="s">
        <v>15</v>
      </c>
      <c r="E1281" s="116">
        <v>657</v>
      </c>
      <c r="F1281" s="87" t="s">
        <v>824</v>
      </c>
      <c r="G1281" s="87" t="s">
        <v>272</v>
      </c>
      <c r="H1281" s="87" t="s">
        <v>824</v>
      </c>
      <c r="I1281" s="87">
        <v>24</v>
      </c>
    </row>
    <row r="1282" spans="1:9" ht="15" customHeight="1" x14ac:dyDescent="0.25">
      <c r="A1282" s="87" t="s">
        <v>23</v>
      </c>
      <c r="B1282" s="87" t="s">
        <v>310</v>
      </c>
      <c r="C1282" s="87">
        <v>2007</v>
      </c>
      <c r="D1282" s="87" t="s">
        <v>15</v>
      </c>
      <c r="E1282" s="116">
        <v>281</v>
      </c>
      <c r="F1282" s="87" t="s">
        <v>821</v>
      </c>
      <c r="G1282" s="87" t="s">
        <v>272</v>
      </c>
      <c r="H1282" s="87" t="s">
        <v>821</v>
      </c>
      <c r="I1282" s="87">
        <v>24</v>
      </c>
    </row>
    <row r="1283" spans="1:9" ht="15" customHeight="1" x14ac:dyDescent="0.25">
      <c r="A1283" s="87" t="s">
        <v>23</v>
      </c>
      <c r="B1283" s="87" t="s">
        <v>310</v>
      </c>
      <c r="C1283" s="87">
        <v>2008</v>
      </c>
      <c r="D1283" s="87" t="s">
        <v>15</v>
      </c>
      <c r="E1283" s="116">
        <v>205</v>
      </c>
      <c r="F1283" s="87" t="s">
        <v>821</v>
      </c>
      <c r="G1283" s="87" t="s">
        <v>272</v>
      </c>
      <c r="H1283" s="87" t="s">
        <v>821</v>
      </c>
      <c r="I1283" s="87">
        <v>24</v>
      </c>
    </row>
    <row r="1284" spans="1:9" ht="15" customHeight="1" x14ac:dyDescent="0.25">
      <c r="A1284" s="87" t="s">
        <v>23</v>
      </c>
      <c r="B1284" s="87" t="s">
        <v>310</v>
      </c>
      <c r="C1284" s="87">
        <v>2009</v>
      </c>
      <c r="D1284" s="87" t="s">
        <v>15</v>
      </c>
      <c r="E1284" s="116">
        <v>146</v>
      </c>
      <c r="F1284" s="87" t="s">
        <v>824</v>
      </c>
      <c r="G1284" s="87" t="s">
        <v>272</v>
      </c>
      <c r="H1284" s="87" t="s">
        <v>824</v>
      </c>
      <c r="I1284" s="87">
        <v>24</v>
      </c>
    </row>
    <row r="1285" spans="1:9" ht="15" customHeight="1" x14ac:dyDescent="0.25">
      <c r="A1285" s="87" t="s">
        <v>23</v>
      </c>
      <c r="B1285" s="87" t="s">
        <v>310</v>
      </c>
      <c r="C1285" s="87">
        <v>2010</v>
      </c>
      <c r="D1285" s="87" t="s">
        <v>15</v>
      </c>
      <c r="E1285" s="116">
        <v>404</v>
      </c>
      <c r="F1285" s="87" t="s">
        <v>825</v>
      </c>
      <c r="G1285" s="87" t="s">
        <v>272</v>
      </c>
      <c r="H1285" s="87" t="s">
        <v>825</v>
      </c>
      <c r="I1285" s="87">
        <v>24</v>
      </c>
    </row>
    <row r="1286" spans="1:9" ht="15" customHeight="1" x14ac:dyDescent="0.25">
      <c r="A1286" s="87" t="s">
        <v>23</v>
      </c>
      <c r="B1286" s="87" t="s">
        <v>310</v>
      </c>
      <c r="C1286" s="87">
        <v>2011</v>
      </c>
      <c r="D1286" s="87" t="s">
        <v>15</v>
      </c>
      <c r="E1286" s="116">
        <v>323</v>
      </c>
      <c r="F1286" s="87" t="s">
        <v>826</v>
      </c>
      <c r="G1286" s="87" t="s">
        <v>272</v>
      </c>
      <c r="H1286" s="87" t="s">
        <v>826</v>
      </c>
      <c r="I1286" s="87">
        <v>24</v>
      </c>
    </row>
    <row r="1287" spans="1:9" ht="15" customHeight="1" x14ac:dyDescent="0.25">
      <c r="A1287" s="87" t="s">
        <v>23</v>
      </c>
      <c r="B1287" s="87" t="s">
        <v>310</v>
      </c>
      <c r="C1287" s="87">
        <v>2012</v>
      </c>
      <c r="D1287" s="87" t="s">
        <v>15</v>
      </c>
      <c r="E1287" s="116">
        <v>465</v>
      </c>
      <c r="F1287" s="87" t="s">
        <v>821</v>
      </c>
      <c r="G1287" s="87" t="s">
        <v>272</v>
      </c>
      <c r="H1287" s="87" t="s">
        <v>821</v>
      </c>
      <c r="I1287" s="87">
        <v>24</v>
      </c>
    </row>
    <row r="1288" spans="1:9" ht="15" customHeight="1" x14ac:dyDescent="0.25">
      <c r="A1288" s="87" t="s">
        <v>23</v>
      </c>
      <c r="B1288" s="87" t="s">
        <v>310</v>
      </c>
      <c r="C1288" s="87">
        <v>2013</v>
      </c>
      <c r="D1288" s="87" t="s">
        <v>15</v>
      </c>
      <c r="E1288" s="116">
        <v>425</v>
      </c>
      <c r="F1288" s="87" t="s">
        <v>821</v>
      </c>
      <c r="G1288" s="87" t="s">
        <v>272</v>
      </c>
      <c r="H1288" s="87" t="s">
        <v>821</v>
      </c>
      <c r="I1288" s="87">
        <v>24</v>
      </c>
    </row>
    <row r="1289" spans="1:9" ht="15" customHeight="1" x14ac:dyDescent="0.25">
      <c r="A1289" s="87" t="s">
        <v>23</v>
      </c>
      <c r="B1289" s="87" t="s">
        <v>310</v>
      </c>
      <c r="C1289" s="87">
        <v>2014</v>
      </c>
      <c r="D1289" s="87" t="s">
        <v>15</v>
      </c>
      <c r="E1289" s="116">
        <v>791</v>
      </c>
      <c r="F1289" s="87" t="s">
        <v>821</v>
      </c>
      <c r="G1289" s="87" t="s">
        <v>272</v>
      </c>
      <c r="H1289" s="87" t="s">
        <v>821</v>
      </c>
      <c r="I1289" s="87">
        <v>24</v>
      </c>
    </row>
    <row r="1290" spans="1:9" ht="15" customHeight="1" x14ac:dyDescent="0.25">
      <c r="A1290" s="87" t="s">
        <v>23</v>
      </c>
      <c r="B1290" s="87" t="s">
        <v>310</v>
      </c>
      <c r="C1290" s="87">
        <v>2015</v>
      </c>
      <c r="D1290" s="87" t="s">
        <v>15</v>
      </c>
      <c r="E1290" s="116">
        <v>603</v>
      </c>
      <c r="F1290" s="87" t="s">
        <v>824</v>
      </c>
      <c r="G1290" s="87" t="s">
        <v>272</v>
      </c>
      <c r="H1290" s="87" t="s">
        <v>827</v>
      </c>
      <c r="I1290" s="87">
        <v>24</v>
      </c>
    </row>
    <row r="1291" spans="1:9" ht="15" customHeight="1" x14ac:dyDescent="0.25">
      <c r="A1291" s="87" t="s">
        <v>23</v>
      </c>
      <c r="B1291" s="87" t="s">
        <v>310</v>
      </c>
      <c r="C1291" s="87">
        <v>2016</v>
      </c>
      <c r="D1291" s="87" t="s">
        <v>15</v>
      </c>
      <c r="E1291" s="116">
        <v>337</v>
      </c>
      <c r="F1291" s="87" t="s">
        <v>829</v>
      </c>
      <c r="G1291" s="87" t="s">
        <v>272</v>
      </c>
      <c r="H1291" s="87" t="s">
        <v>828</v>
      </c>
      <c r="I1291" s="87">
        <v>24</v>
      </c>
    </row>
    <row r="1292" spans="1:9" ht="15" customHeight="1" x14ac:dyDescent="0.25">
      <c r="A1292" s="87" t="s">
        <v>23</v>
      </c>
      <c r="B1292" s="87" t="s">
        <v>310</v>
      </c>
      <c r="C1292" s="87">
        <v>2017</v>
      </c>
      <c r="D1292" s="87" t="s">
        <v>15</v>
      </c>
      <c r="E1292" s="116">
        <v>149</v>
      </c>
      <c r="F1292" s="87" t="s">
        <v>824</v>
      </c>
      <c r="G1292" s="87" t="s">
        <v>272</v>
      </c>
      <c r="H1292" s="87" t="s">
        <v>824</v>
      </c>
      <c r="I1292" s="87">
        <v>24</v>
      </c>
    </row>
    <row r="1293" spans="1:9" ht="15" customHeight="1" x14ac:dyDescent="0.25">
      <c r="A1293" s="87" t="s">
        <v>23</v>
      </c>
      <c r="B1293" s="87" t="s">
        <v>310</v>
      </c>
      <c r="C1293" s="87">
        <v>2018</v>
      </c>
      <c r="D1293" s="87" t="s">
        <v>15</v>
      </c>
      <c r="E1293" s="116">
        <v>123</v>
      </c>
      <c r="F1293" s="87" t="s">
        <v>967</v>
      </c>
      <c r="G1293" s="87" t="s">
        <v>272</v>
      </c>
      <c r="H1293" s="87" t="s">
        <v>967</v>
      </c>
      <c r="I1293" s="87">
        <v>24</v>
      </c>
    </row>
    <row r="1294" spans="1:9" ht="15" customHeight="1" x14ac:dyDescent="0.25">
      <c r="A1294" s="87" t="s">
        <v>23</v>
      </c>
      <c r="B1294" s="87" t="s">
        <v>310</v>
      </c>
      <c r="C1294" s="87">
        <v>2019</v>
      </c>
      <c r="D1294" s="87" t="s">
        <v>15</v>
      </c>
      <c r="E1294" s="116">
        <v>72</v>
      </c>
      <c r="F1294" s="87" t="s">
        <v>967</v>
      </c>
      <c r="G1294" s="87" t="s">
        <v>272</v>
      </c>
      <c r="H1294" s="87" t="s">
        <v>967</v>
      </c>
      <c r="I1294" s="87">
        <v>24</v>
      </c>
    </row>
    <row r="1295" spans="1:9" ht="15" customHeight="1" x14ac:dyDescent="0.25">
      <c r="A1295" s="87" t="s">
        <v>23</v>
      </c>
      <c r="B1295" s="87" t="s">
        <v>310</v>
      </c>
      <c r="C1295" s="87">
        <v>2020</v>
      </c>
      <c r="D1295" s="87" t="s">
        <v>15</v>
      </c>
      <c r="E1295" s="116">
        <v>234</v>
      </c>
      <c r="F1295" s="87" t="s">
        <v>967</v>
      </c>
      <c r="G1295" s="87" t="s">
        <v>272</v>
      </c>
      <c r="H1295" s="87" t="s">
        <v>967</v>
      </c>
      <c r="I1295" s="87">
        <v>24</v>
      </c>
    </row>
    <row r="1296" spans="1:9" ht="15" customHeight="1" x14ac:dyDescent="0.25">
      <c r="A1296" s="87" t="s">
        <v>23</v>
      </c>
      <c r="B1296" s="87" t="s">
        <v>310</v>
      </c>
      <c r="C1296" s="87">
        <v>2021</v>
      </c>
      <c r="D1296" s="87" t="s">
        <v>15</v>
      </c>
      <c r="E1296" s="116">
        <v>297</v>
      </c>
      <c r="F1296" s="87" t="s">
        <v>967</v>
      </c>
      <c r="G1296" s="87" t="s">
        <v>272</v>
      </c>
      <c r="H1296" s="87" t="s">
        <v>967</v>
      </c>
      <c r="I1296" s="87">
        <v>24</v>
      </c>
    </row>
    <row r="1297" spans="1:9" ht="15" customHeight="1" x14ac:dyDescent="0.25">
      <c r="A1297" s="87" t="s">
        <v>23</v>
      </c>
      <c r="B1297" s="87" t="s">
        <v>310</v>
      </c>
      <c r="C1297" s="87">
        <v>2022</v>
      </c>
      <c r="D1297" s="87" t="s">
        <v>15</v>
      </c>
      <c r="E1297" s="116">
        <v>474</v>
      </c>
      <c r="F1297" s="87" t="s">
        <v>967</v>
      </c>
      <c r="G1297" s="87" t="s">
        <v>272</v>
      </c>
      <c r="H1297" s="87" t="s">
        <v>967</v>
      </c>
      <c r="I1297" s="87">
        <v>24</v>
      </c>
    </row>
    <row r="1298" spans="1:9" ht="15" customHeight="1" x14ac:dyDescent="0.25">
      <c r="A1298" s="87" t="s">
        <v>23</v>
      </c>
      <c r="B1298" s="87" t="s">
        <v>1075</v>
      </c>
      <c r="C1298" s="87">
        <v>1975</v>
      </c>
      <c r="D1298" s="87" t="s">
        <v>15</v>
      </c>
      <c r="E1298" s="116">
        <v>1000</v>
      </c>
      <c r="F1298" s="87" t="s">
        <v>881</v>
      </c>
      <c r="G1298" s="87" t="s">
        <v>967</v>
      </c>
      <c r="H1298" s="87" t="s">
        <v>881</v>
      </c>
      <c r="I1298" s="87">
        <v>23</v>
      </c>
    </row>
    <row r="1299" spans="1:9" ht="15" customHeight="1" x14ac:dyDescent="0.25">
      <c r="A1299" s="87" t="s">
        <v>23</v>
      </c>
      <c r="B1299" s="87" t="s">
        <v>1075</v>
      </c>
      <c r="C1299" s="87">
        <v>1976</v>
      </c>
      <c r="D1299" s="87" t="s">
        <v>15</v>
      </c>
      <c r="E1299" s="116">
        <v>900</v>
      </c>
      <c r="F1299" s="87" t="s">
        <v>881</v>
      </c>
      <c r="G1299" s="87" t="s">
        <v>967</v>
      </c>
      <c r="H1299" s="87" t="s">
        <v>881</v>
      </c>
      <c r="I1299" s="87">
        <v>23</v>
      </c>
    </row>
    <row r="1300" spans="1:9" ht="15" customHeight="1" x14ac:dyDescent="0.25">
      <c r="A1300" s="87" t="s">
        <v>23</v>
      </c>
      <c r="B1300" s="87" t="s">
        <v>1075</v>
      </c>
      <c r="C1300" s="87">
        <v>1977</v>
      </c>
      <c r="D1300" s="87" t="s">
        <v>15</v>
      </c>
      <c r="E1300" s="116">
        <v>1600</v>
      </c>
      <c r="F1300" s="87" t="s">
        <v>881</v>
      </c>
      <c r="G1300" s="87" t="s">
        <v>967</v>
      </c>
      <c r="H1300" s="87" t="s">
        <v>881</v>
      </c>
      <c r="I1300" s="87">
        <v>23</v>
      </c>
    </row>
    <row r="1301" spans="1:9" ht="15" customHeight="1" x14ac:dyDescent="0.25">
      <c r="A1301" s="87" t="s">
        <v>23</v>
      </c>
      <c r="B1301" s="87" t="s">
        <v>1075</v>
      </c>
      <c r="C1301" s="87">
        <v>1978</v>
      </c>
      <c r="D1301" s="87" t="s">
        <v>15</v>
      </c>
      <c r="E1301" s="116">
        <v>1900</v>
      </c>
      <c r="F1301" s="87" t="s">
        <v>881</v>
      </c>
      <c r="G1301" s="87" t="s">
        <v>967</v>
      </c>
      <c r="H1301" s="87" t="s">
        <v>881</v>
      </c>
      <c r="I1301" s="87">
        <v>23</v>
      </c>
    </row>
    <row r="1302" spans="1:9" ht="15" customHeight="1" x14ac:dyDescent="0.25">
      <c r="A1302" s="87" t="s">
        <v>23</v>
      </c>
      <c r="B1302" s="87" t="s">
        <v>1075</v>
      </c>
      <c r="C1302" s="87">
        <v>1979</v>
      </c>
      <c r="D1302" s="87" t="s">
        <v>15</v>
      </c>
      <c r="E1302" s="116">
        <v>1500</v>
      </c>
      <c r="F1302" s="87" t="s">
        <v>881</v>
      </c>
      <c r="G1302" s="87" t="s">
        <v>967</v>
      </c>
      <c r="H1302" s="87" t="s">
        <v>881</v>
      </c>
      <c r="I1302" s="87">
        <v>23</v>
      </c>
    </row>
    <row r="1303" spans="1:9" ht="15" customHeight="1" x14ac:dyDescent="0.25">
      <c r="A1303" s="87" t="s">
        <v>23</v>
      </c>
      <c r="B1303" s="87" t="s">
        <v>1075</v>
      </c>
      <c r="C1303" s="87">
        <v>1980</v>
      </c>
      <c r="D1303" s="87" t="s">
        <v>15</v>
      </c>
      <c r="E1303" s="116">
        <v>750</v>
      </c>
      <c r="F1303" s="87" t="s">
        <v>881</v>
      </c>
      <c r="G1303" s="87" t="s">
        <v>967</v>
      </c>
      <c r="H1303" s="87" t="s">
        <v>881</v>
      </c>
      <c r="I1303" s="87">
        <v>23</v>
      </c>
    </row>
    <row r="1304" spans="1:9" ht="15" customHeight="1" x14ac:dyDescent="0.25">
      <c r="A1304" s="87" t="s">
        <v>23</v>
      </c>
      <c r="B1304" s="87" t="s">
        <v>1075</v>
      </c>
      <c r="C1304" s="87">
        <v>1981</v>
      </c>
      <c r="D1304" s="87" t="s">
        <v>15</v>
      </c>
      <c r="E1304" s="116">
        <v>1400</v>
      </c>
      <c r="F1304" s="87" t="s">
        <v>881</v>
      </c>
      <c r="G1304" s="87" t="s">
        <v>967</v>
      </c>
      <c r="H1304" s="87" t="s">
        <v>881</v>
      </c>
      <c r="I1304" s="87">
        <v>23</v>
      </c>
    </row>
    <row r="1305" spans="1:9" ht="15" customHeight="1" x14ac:dyDescent="0.25">
      <c r="A1305" s="87" t="s">
        <v>23</v>
      </c>
      <c r="B1305" s="87" t="s">
        <v>1075</v>
      </c>
      <c r="C1305" s="87">
        <v>1982</v>
      </c>
      <c r="D1305" s="87" t="s">
        <v>15</v>
      </c>
      <c r="E1305" s="116">
        <v>1500</v>
      </c>
      <c r="F1305" s="87" t="s">
        <v>881</v>
      </c>
      <c r="G1305" s="87" t="s">
        <v>967</v>
      </c>
      <c r="H1305" s="87" t="s">
        <v>881</v>
      </c>
      <c r="I1305" s="87">
        <v>23</v>
      </c>
    </row>
    <row r="1306" spans="1:9" ht="15" customHeight="1" x14ac:dyDescent="0.25">
      <c r="A1306" s="87" t="s">
        <v>23</v>
      </c>
      <c r="B1306" s="87" t="s">
        <v>1075</v>
      </c>
      <c r="C1306" s="87">
        <v>1983</v>
      </c>
      <c r="D1306" s="87" t="s">
        <v>15</v>
      </c>
      <c r="E1306" s="116">
        <v>3800</v>
      </c>
      <c r="F1306" s="87" t="s">
        <v>882</v>
      </c>
      <c r="G1306" s="87" t="s">
        <v>967</v>
      </c>
      <c r="H1306" s="87" t="s">
        <v>882</v>
      </c>
      <c r="I1306" s="87">
        <v>23</v>
      </c>
    </row>
    <row r="1307" spans="1:9" ht="15" customHeight="1" x14ac:dyDescent="0.25">
      <c r="A1307" s="87" t="s">
        <v>23</v>
      </c>
      <c r="B1307" s="87" t="s">
        <v>1075</v>
      </c>
      <c r="C1307" s="87">
        <v>1984</v>
      </c>
      <c r="D1307" s="87" t="s">
        <v>15</v>
      </c>
      <c r="E1307" s="116">
        <v>4050</v>
      </c>
      <c r="F1307" s="87" t="s">
        <v>881</v>
      </c>
      <c r="G1307" s="87" t="s">
        <v>967</v>
      </c>
      <c r="H1307" s="87" t="s">
        <v>881</v>
      </c>
      <c r="I1307" s="87">
        <v>23</v>
      </c>
    </row>
    <row r="1308" spans="1:9" ht="15" customHeight="1" x14ac:dyDescent="0.25">
      <c r="A1308" s="87" t="s">
        <v>23</v>
      </c>
      <c r="B1308" s="87" t="s">
        <v>1075</v>
      </c>
      <c r="C1308" s="87">
        <v>1985</v>
      </c>
      <c r="D1308" s="87" t="s">
        <v>15</v>
      </c>
      <c r="E1308" s="116">
        <v>5000</v>
      </c>
      <c r="F1308" s="87" t="s">
        <v>881</v>
      </c>
      <c r="G1308" s="87" t="s">
        <v>967</v>
      </c>
      <c r="H1308" s="87" t="s">
        <v>881</v>
      </c>
      <c r="I1308" s="87">
        <v>23</v>
      </c>
    </row>
    <row r="1309" spans="1:9" ht="15" customHeight="1" x14ac:dyDescent="0.25">
      <c r="A1309" s="87" t="s">
        <v>23</v>
      </c>
      <c r="B1309" s="87" t="s">
        <v>1075</v>
      </c>
      <c r="C1309" s="87">
        <v>1986</v>
      </c>
      <c r="D1309" s="87" t="s">
        <v>15</v>
      </c>
      <c r="E1309" s="116">
        <v>3000</v>
      </c>
      <c r="F1309" s="87" t="s">
        <v>881</v>
      </c>
      <c r="G1309" s="87" t="s">
        <v>967</v>
      </c>
      <c r="H1309" s="87" t="s">
        <v>881</v>
      </c>
      <c r="I1309" s="87">
        <v>23</v>
      </c>
    </row>
    <row r="1310" spans="1:9" ht="15" customHeight="1" x14ac:dyDescent="0.25">
      <c r="A1310" s="87" t="s">
        <v>23</v>
      </c>
      <c r="B1310" s="87" t="s">
        <v>1075</v>
      </c>
      <c r="C1310" s="87">
        <v>1987</v>
      </c>
      <c r="D1310" s="87" t="s">
        <v>15</v>
      </c>
      <c r="E1310" s="116">
        <v>5000</v>
      </c>
      <c r="F1310" s="87" t="s">
        <v>881</v>
      </c>
      <c r="G1310" s="87" t="s">
        <v>967</v>
      </c>
      <c r="H1310" s="87" t="s">
        <v>881</v>
      </c>
      <c r="I1310" s="87">
        <v>23</v>
      </c>
    </row>
    <row r="1311" spans="1:9" ht="15" customHeight="1" x14ac:dyDescent="0.25">
      <c r="A1311" s="87" t="s">
        <v>23</v>
      </c>
      <c r="B1311" s="87" t="s">
        <v>1075</v>
      </c>
      <c r="C1311" s="87">
        <v>1988</v>
      </c>
      <c r="D1311" s="87" t="s">
        <v>15</v>
      </c>
      <c r="E1311" s="116">
        <v>4000</v>
      </c>
      <c r="F1311" s="87" t="s">
        <v>881</v>
      </c>
      <c r="G1311" s="87" t="s">
        <v>967</v>
      </c>
      <c r="H1311" s="87" t="s">
        <v>881</v>
      </c>
      <c r="I1311" s="87">
        <v>23</v>
      </c>
    </row>
    <row r="1312" spans="1:9" ht="15" customHeight="1" x14ac:dyDescent="0.25">
      <c r="A1312" s="87" t="s">
        <v>23</v>
      </c>
      <c r="B1312" s="87" t="s">
        <v>1075</v>
      </c>
      <c r="C1312" s="87">
        <v>1989</v>
      </c>
      <c r="D1312" s="87" t="s">
        <v>15</v>
      </c>
      <c r="E1312" s="116">
        <v>2100</v>
      </c>
      <c r="F1312" s="87" t="s">
        <v>881</v>
      </c>
      <c r="G1312" s="87" t="s">
        <v>967</v>
      </c>
      <c r="H1312" s="87" t="s">
        <v>881</v>
      </c>
      <c r="I1312" s="87">
        <v>23</v>
      </c>
    </row>
    <row r="1313" spans="1:9" ht="15" customHeight="1" x14ac:dyDescent="0.25">
      <c r="A1313" s="87" t="s">
        <v>23</v>
      </c>
      <c r="B1313" s="87" t="s">
        <v>1075</v>
      </c>
      <c r="C1313" s="87">
        <v>1990</v>
      </c>
      <c r="D1313" s="87" t="s">
        <v>15</v>
      </c>
      <c r="E1313" s="116">
        <v>5000</v>
      </c>
      <c r="F1313" s="87" t="s">
        <v>881</v>
      </c>
      <c r="G1313" s="87" t="s">
        <v>967</v>
      </c>
      <c r="H1313" s="87" t="s">
        <v>881</v>
      </c>
      <c r="I1313" s="87">
        <v>23</v>
      </c>
    </row>
    <row r="1314" spans="1:9" ht="15" customHeight="1" x14ac:dyDescent="0.25">
      <c r="A1314" s="87" t="s">
        <v>23</v>
      </c>
      <c r="B1314" s="87" t="s">
        <v>1075</v>
      </c>
      <c r="C1314" s="87">
        <v>1991</v>
      </c>
      <c r="D1314" s="87" t="s">
        <v>15</v>
      </c>
      <c r="E1314" s="116">
        <v>2500</v>
      </c>
      <c r="F1314" s="87" t="s">
        <v>881</v>
      </c>
      <c r="G1314" s="87" t="s">
        <v>967</v>
      </c>
      <c r="H1314" s="87" t="s">
        <v>881</v>
      </c>
      <c r="I1314" s="87">
        <v>23</v>
      </c>
    </row>
    <row r="1315" spans="1:9" ht="15" customHeight="1" x14ac:dyDescent="0.25">
      <c r="A1315" s="87" t="s">
        <v>23</v>
      </c>
      <c r="B1315" s="87" t="s">
        <v>1075</v>
      </c>
      <c r="C1315" s="87">
        <v>1992</v>
      </c>
      <c r="D1315" s="87" t="s">
        <v>15</v>
      </c>
      <c r="E1315" s="116">
        <v>2500</v>
      </c>
      <c r="F1315" s="87" t="s">
        <v>881</v>
      </c>
      <c r="G1315" s="87" t="s">
        <v>967</v>
      </c>
      <c r="H1315" s="87" t="s">
        <v>881</v>
      </c>
      <c r="I1315" s="87">
        <v>23</v>
      </c>
    </row>
    <row r="1316" spans="1:9" ht="15" customHeight="1" x14ac:dyDescent="0.25">
      <c r="A1316" s="87" t="s">
        <v>23</v>
      </c>
      <c r="B1316" s="87" t="s">
        <v>1075</v>
      </c>
      <c r="C1316" s="87">
        <v>1993</v>
      </c>
      <c r="D1316" s="87" t="s">
        <v>15</v>
      </c>
      <c r="E1316" s="116">
        <v>3200</v>
      </c>
      <c r="F1316" s="87" t="s">
        <v>881</v>
      </c>
      <c r="G1316" s="87" t="s">
        <v>967</v>
      </c>
      <c r="H1316" s="87" t="s">
        <v>881</v>
      </c>
      <c r="I1316" s="87">
        <v>23</v>
      </c>
    </row>
    <row r="1317" spans="1:9" ht="15" customHeight="1" x14ac:dyDescent="0.25">
      <c r="A1317" s="87" t="s">
        <v>23</v>
      </c>
      <c r="B1317" s="87" t="s">
        <v>1075</v>
      </c>
      <c r="C1317" s="87">
        <v>1994</v>
      </c>
      <c r="D1317" s="87" t="s">
        <v>15</v>
      </c>
      <c r="E1317" s="116">
        <v>6150</v>
      </c>
      <c r="F1317" s="87" t="s">
        <v>881</v>
      </c>
      <c r="G1317" s="87" t="s">
        <v>967</v>
      </c>
      <c r="H1317" s="87" t="s">
        <v>881</v>
      </c>
      <c r="I1317" s="87">
        <v>23</v>
      </c>
    </row>
    <row r="1318" spans="1:9" ht="15" customHeight="1" x14ac:dyDescent="0.25">
      <c r="A1318" s="87" t="s">
        <v>23</v>
      </c>
      <c r="B1318" s="87" t="s">
        <v>1075</v>
      </c>
      <c r="C1318" s="87">
        <v>1995</v>
      </c>
      <c r="D1318" s="87" t="s">
        <v>15</v>
      </c>
      <c r="E1318" s="116">
        <v>6050</v>
      </c>
      <c r="F1318" s="87" t="s">
        <v>881</v>
      </c>
      <c r="G1318" s="87" t="s">
        <v>967</v>
      </c>
      <c r="H1318" s="87" t="s">
        <v>881</v>
      </c>
      <c r="I1318" s="87">
        <v>23</v>
      </c>
    </row>
    <row r="1319" spans="1:9" ht="15" customHeight="1" x14ac:dyDescent="0.25">
      <c r="A1319" s="87" t="s">
        <v>23</v>
      </c>
      <c r="B1319" s="87" t="s">
        <v>1075</v>
      </c>
      <c r="C1319" s="87">
        <v>1996</v>
      </c>
      <c r="D1319" s="87" t="s">
        <v>15</v>
      </c>
      <c r="E1319" s="116">
        <v>4615</v>
      </c>
      <c r="F1319" s="87" t="s">
        <v>881</v>
      </c>
      <c r="G1319" s="87" t="s">
        <v>967</v>
      </c>
      <c r="H1319" s="87" t="s">
        <v>881</v>
      </c>
      <c r="I1319" s="87">
        <v>23</v>
      </c>
    </row>
    <row r="1320" spans="1:9" ht="15" customHeight="1" x14ac:dyDescent="0.25">
      <c r="A1320" s="87" t="s">
        <v>23</v>
      </c>
      <c r="B1320" s="87" t="s">
        <v>1075</v>
      </c>
      <c r="C1320" s="87">
        <v>1997</v>
      </c>
      <c r="D1320" s="87" t="s">
        <v>15</v>
      </c>
      <c r="E1320" s="116">
        <v>1503</v>
      </c>
      <c r="F1320" s="87" t="s">
        <v>967</v>
      </c>
      <c r="G1320" s="87" t="s">
        <v>272</v>
      </c>
      <c r="H1320" s="87" t="s">
        <v>967</v>
      </c>
      <c r="I1320" s="87">
        <v>23</v>
      </c>
    </row>
    <row r="1321" spans="1:9" ht="15" customHeight="1" x14ac:dyDescent="0.25">
      <c r="A1321" s="87" t="s">
        <v>23</v>
      </c>
      <c r="B1321" s="87" t="s">
        <v>1075</v>
      </c>
      <c r="C1321" s="87">
        <v>1998</v>
      </c>
      <c r="D1321" s="87" t="s">
        <v>15</v>
      </c>
      <c r="E1321" s="116">
        <v>903</v>
      </c>
      <c r="F1321" s="87" t="s">
        <v>967</v>
      </c>
      <c r="G1321" s="87" t="s">
        <v>272</v>
      </c>
      <c r="H1321" s="87" t="s">
        <v>967</v>
      </c>
      <c r="I1321" s="87">
        <v>23</v>
      </c>
    </row>
    <row r="1322" spans="1:9" ht="15" customHeight="1" x14ac:dyDescent="0.25">
      <c r="A1322" s="87" t="s">
        <v>23</v>
      </c>
      <c r="B1322" s="87" t="s">
        <v>1075</v>
      </c>
      <c r="C1322" s="87">
        <v>1999</v>
      </c>
      <c r="D1322" s="87" t="s">
        <v>15</v>
      </c>
      <c r="E1322" s="116">
        <v>246</v>
      </c>
      <c r="F1322" s="87" t="s">
        <v>967</v>
      </c>
      <c r="G1322" s="87" t="s">
        <v>272</v>
      </c>
      <c r="H1322" s="87" t="s">
        <v>967</v>
      </c>
      <c r="I1322" s="87">
        <v>23</v>
      </c>
    </row>
    <row r="1323" spans="1:9" ht="15" customHeight="1" x14ac:dyDescent="0.25">
      <c r="A1323" s="87" t="s">
        <v>23</v>
      </c>
      <c r="B1323" s="87" t="s">
        <v>1075</v>
      </c>
      <c r="C1323" s="87">
        <v>2000</v>
      </c>
      <c r="D1323" s="87" t="s">
        <v>15</v>
      </c>
      <c r="E1323" s="116">
        <v>400</v>
      </c>
      <c r="F1323" s="87" t="s">
        <v>967</v>
      </c>
      <c r="G1323" s="87" t="s">
        <v>272</v>
      </c>
      <c r="H1323" s="87" t="s">
        <v>967</v>
      </c>
      <c r="I1323" s="87">
        <v>23</v>
      </c>
    </row>
    <row r="1324" spans="1:9" ht="15" customHeight="1" x14ac:dyDescent="0.25">
      <c r="A1324" s="87" t="s">
        <v>23</v>
      </c>
      <c r="B1324" s="87" t="s">
        <v>1075</v>
      </c>
      <c r="C1324" s="87">
        <v>2001</v>
      </c>
      <c r="D1324" s="87" t="s">
        <v>15</v>
      </c>
      <c r="E1324" s="116">
        <v>1198</v>
      </c>
      <c r="F1324" s="87" t="s">
        <v>967</v>
      </c>
      <c r="G1324" s="87" t="s">
        <v>272</v>
      </c>
      <c r="H1324" s="87" t="s">
        <v>967</v>
      </c>
      <c r="I1324" s="87">
        <v>23</v>
      </c>
    </row>
    <row r="1325" spans="1:9" ht="15" customHeight="1" x14ac:dyDescent="0.25">
      <c r="A1325" s="87" t="s">
        <v>23</v>
      </c>
      <c r="B1325" s="87" t="s">
        <v>1075</v>
      </c>
      <c r="C1325" s="87">
        <v>2002</v>
      </c>
      <c r="D1325" s="87" t="s">
        <v>15</v>
      </c>
      <c r="E1325" s="116">
        <v>954</v>
      </c>
      <c r="F1325" s="87" t="s">
        <v>967</v>
      </c>
      <c r="G1325" s="87" t="s">
        <v>272</v>
      </c>
      <c r="H1325" s="87" t="s">
        <v>967</v>
      </c>
      <c r="I1325" s="87">
        <v>23</v>
      </c>
    </row>
    <row r="1326" spans="1:9" ht="15" customHeight="1" x14ac:dyDescent="0.25">
      <c r="A1326" s="87" t="s">
        <v>23</v>
      </c>
      <c r="B1326" s="87" t="s">
        <v>1075</v>
      </c>
      <c r="C1326" s="87">
        <v>2003</v>
      </c>
      <c r="D1326" s="87" t="s">
        <v>15</v>
      </c>
      <c r="E1326" s="116">
        <v>2236</v>
      </c>
      <c r="F1326" s="87" t="s">
        <v>967</v>
      </c>
      <c r="G1326" s="87" t="s">
        <v>272</v>
      </c>
      <c r="H1326" s="87" t="s">
        <v>967</v>
      </c>
      <c r="I1326" s="87">
        <v>23</v>
      </c>
    </row>
    <row r="1327" spans="1:9" ht="15" customHeight="1" x14ac:dyDescent="0.25">
      <c r="A1327" s="87" t="s">
        <v>23</v>
      </c>
      <c r="B1327" s="87" t="s">
        <v>1075</v>
      </c>
      <c r="C1327" s="87">
        <v>2004</v>
      </c>
      <c r="D1327" s="87" t="s">
        <v>15</v>
      </c>
      <c r="E1327" s="116">
        <v>807</v>
      </c>
      <c r="F1327" s="87" t="s">
        <v>967</v>
      </c>
      <c r="G1327" s="87" t="s">
        <v>272</v>
      </c>
      <c r="H1327" s="87" t="s">
        <v>883</v>
      </c>
      <c r="I1327" s="87">
        <v>23</v>
      </c>
    </row>
    <row r="1328" spans="1:9" ht="15" customHeight="1" x14ac:dyDescent="0.25">
      <c r="A1328" s="87" t="s">
        <v>23</v>
      </c>
      <c r="B1328" s="87" t="s">
        <v>1075</v>
      </c>
      <c r="C1328" s="87">
        <v>2005</v>
      </c>
      <c r="D1328" s="87" t="s">
        <v>15</v>
      </c>
      <c r="E1328" s="116">
        <v>517</v>
      </c>
      <c r="F1328" s="87" t="s">
        <v>287</v>
      </c>
      <c r="G1328" s="87" t="s">
        <v>272</v>
      </c>
      <c r="H1328" s="87" t="s">
        <v>967</v>
      </c>
      <c r="I1328" s="87">
        <v>23</v>
      </c>
    </row>
    <row r="1329" spans="1:9" ht="15" customHeight="1" x14ac:dyDescent="0.25">
      <c r="A1329" s="87" t="s">
        <v>23</v>
      </c>
      <c r="B1329" s="87" t="s">
        <v>1075</v>
      </c>
      <c r="C1329" s="87">
        <v>2006</v>
      </c>
      <c r="D1329" s="87" t="s">
        <v>15</v>
      </c>
      <c r="E1329" s="116">
        <v>764</v>
      </c>
      <c r="F1329" s="87" t="s">
        <v>967</v>
      </c>
      <c r="G1329" s="87" t="s">
        <v>272</v>
      </c>
      <c r="H1329" s="87" t="s">
        <v>967</v>
      </c>
      <c r="I1329" s="87">
        <v>23</v>
      </c>
    </row>
    <row r="1330" spans="1:9" ht="15" customHeight="1" x14ac:dyDescent="0.25">
      <c r="A1330" s="87" t="s">
        <v>23</v>
      </c>
      <c r="B1330" s="87" t="s">
        <v>1075</v>
      </c>
      <c r="C1330" s="87">
        <v>2007</v>
      </c>
      <c r="D1330" s="87" t="s">
        <v>15</v>
      </c>
      <c r="E1330" s="116">
        <v>228</v>
      </c>
      <c r="F1330" s="87" t="s">
        <v>967</v>
      </c>
      <c r="G1330" s="87" t="s">
        <v>272</v>
      </c>
      <c r="H1330" s="87" t="s">
        <v>967</v>
      </c>
      <c r="I1330" s="87">
        <v>23</v>
      </c>
    </row>
    <row r="1331" spans="1:9" ht="15" customHeight="1" x14ac:dyDescent="0.25">
      <c r="A1331" s="87" t="s">
        <v>23</v>
      </c>
      <c r="B1331" s="87" t="s">
        <v>1075</v>
      </c>
      <c r="C1331" s="87">
        <v>2008</v>
      </c>
      <c r="D1331" s="87" t="s">
        <v>15</v>
      </c>
      <c r="E1331" s="116">
        <v>566</v>
      </c>
      <c r="F1331" s="87" t="s">
        <v>967</v>
      </c>
      <c r="G1331" s="87" t="s">
        <v>272</v>
      </c>
      <c r="H1331" s="87" t="s">
        <v>967</v>
      </c>
      <c r="I1331" s="87">
        <v>23</v>
      </c>
    </row>
    <row r="1332" spans="1:9" ht="15" customHeight="1" x14ac:dyDescent="0.25">
      <c r="A1332" s="87" t="s">
        <v>23</v>
      </c>
      <c r="B1332" s="87" t="s">
        <v>1075</v>
      </c>
      <c r="C1332" s="87">
        <v>2009</v>
      </c>
      <c r="D1332" s="87" t="s">
        <v>15</v>
      </c>
      <c r="E1332" s="116">
        <v>511</v>
      </c>
      <c r="F1332" s="87" t="s">
        <v>967</v>
      </c>
      <c r="G1332" s="87" t="s">
        <v>272</v>
      </c>
      <c r="H1332" s="87" t="s">
        <v>967</v>
      </c>
      <c r="I1332" s="87">
        <v>23</v>
      </c>
    </row>
    <row r="1333" spans="1:9" ht="15" customHeight="1" x14ac:dyDescent="0.25">
      <c r="A1333" s="87" t="s">
        <v>23</v>
      </c>
      <c r="B1333" s="87" t="s">
        <v>1075</v>
      </c>
      <c r="C1333" s="87">
        <v>2010</v>
      </c>
      <c r="D1333" s="87" t="s">
        <v>15</v>
      </c>
      <c r="E1333" s="116">
        <v>666</v>
      </c>
      <c r="F1333" s="87" t="s">
        <v>967</v>
      </c>
      <c r="G1333" s="87" t="s">
        <v>272</v>
      </c>
      <c r="H1333" s="87" t="s">
        <v>967</v>
      </c>
      <c r="I1333" s="87">
        <v>23</v>
      </c>
    </row>
    <row r="1334" spans="1:9" ht="15" customHeight="1" x14ac:dyDescent="0.25">
      <c r="A1334" s="87" t="s">
        <v>23</v>
      </c>
      <c r="B1334" s="87" t="s">
        <v>1075</v>
      </c>
      <c r="C1334" s="87">
        <v>2011</v>
      </c>
      <c r="D1334" s="87" t="s">
        <v>15</v>
      </c>
      <c r="E1334" s="116">
        <v>451</v>
      </c>
      <c r="F1334" s="87" t="s">
        <v>967</v>
      </c>
      <c r="G1334" s="87" t="s">
        <v>272</v>
      </c>
      <c r="H1334" s="87" t="s">
        <v>967</v>
      </c>
      <c r="I1334" s="87">
        <v>23</v>
      </c>
    </row>
    <row r="1335" spans="1:9" ht="15" customHeight="1" x14ac:dyDescent="0.25">
      <c r="A1335" s="87" t="s">
        <v>23</v>
      </c>
      <c r="B1335" s="87" t="s">
        <v>1075</v>
      </c>
      <c r="C1335" s="87">
        <v>2012</v>
      </c>
      <c r="D1335" s="87" t="s">
        <v>15</v>
      </c>
      <c r="E1335" s="116">
        <v>332</v>
      </c>
      <c r="F1335" s="87" t="s">
        <v>967</v>
      </c>
      <c r="G1335" s="87" t="s">
        <v>272</v>
      </c>
      <c r="H1335" s="87" t="s">
        <v>967</v>
      </c>
      <c r="I1335" s="87">
        <v>23</v>
      </c>
    </row>
    <row r="1336" spans="1:9" ht="15" customHeight="1" x14ac:dyDescent="0.25">
      <c r="A1336" s="87" t="s">
        <v>23</v>
      </c>
      <c r="B1336" s="87" t="s">
        <v>1075</v>
      </c>
      <c r="C1336" s="87">
        <v>2013</v>
      </c>
      <c r="D1336" s="87" t="s">
        <v>15</v>
      </c>
      <c r="E1336" s="116">
        <v>909</v>
      </c>
      <c r="F1336" s="87" t="s">
        <v>967</v>
      </c>
      <c r="G1336" s="87" t="s">
        <v>272</v>
      </c>
      <c r="H1336" s="87" t="s">
        <v>967</v>
      </c>
      <c r="I1336" s="87">
        <v>23</v>
      </c>
    </row>
    <row r="1337" spans="1:9" ht="15" customHeight="1" x14ac:dyDescent="0.25">
      <c r="A1337" s="87" t="s">
        <v>23</v>
      </c>
      <c r="B1337" s="87" t="s">
        <v>1075</v>
      </c>
      <c r="C1337" s="87">
        <v>2014</v>
      </c>
      <c r="D1337" s="87" t="s">
        <v>15</v>
      </c>
      <c r="E1337" s="116">
        <v>2162</v>
      </c>
      <c r="F1337" s="87" t="s">
        <v>967</v>
      </c>
      <c r="G1337" s="87" t="s">
        <v>272</v>
      </c>
      <c r="H1337" s="87" t="s">
        <v>967</v>
      </c>
      <c r="I1337" s="87">
        <v>23</v>
      </c>
    </row>
    <row r="1338" spans="1:9" ht="15" customHeight="1" x14ac:dyDescent="0.25">
      <c r="A1338" s="87" t="s">
        <v>23</v>
      </c>
      <c r="B1338" s="87" t="s">
        <v>1075</v>
      </c>
      <c r="C1338" s="87">
        <v>2015</v>
      </c>
      <c r="D1338" s="87" t="s">
        <v>15</v>
      </c>
      <c r="E1338" s="116">
        <v>1128</v>
      </c>
      <c r="F1338" s="87" t="s">
        <v>967</v>
      </c>
      <c r="G1338" s="87" t="s">
        <v>272</v>
      </c>
      <c r="H1338" s="87" t="s">
        <v>884</v>
      </c>
      <c r="I1338" s="87">
        <v>23</v>
      </c>
    </row>
    <row r="1339" spans="1:9" ht="15" customHeight="1" x14ac:dyDescent="0.25">
      <c r="A1339" s="87" t="s">
        <v>23</v>
      </c>
      <c r="B1339" s="87" t="s">
        <v>1075</v>
      </c>
      <c r="C1339" s="87">
        <v>2016</v>
      </c>
      <c r="D1339" s="87" t="s">
        <v>15</v>
      </c>
      <c r="E1339" s="116">
        <v>158</v>
      </c>
      <c r="F1339" s="87" t="s">
        <v>967</v>
      </c>
      <c r="G1339" s="87" t="s">
        <v>272</v>
      </c>
      <c r="H1339" s="87" t="s">
        <v>885</v>
      </c>
      <c r="I1339" s="87">
        <v>23</v>
      </c>
    </row>
    <row r="1340" spans="1:9" ht="15" customHeight="1" x14ac:dyDescent="0.25">
      <c r="A1340" s="87" t="s">
        <v>23</v>
      </c>
      <c r="B1340" s="87" t="s">
        <v>1075</v>
      </c>
      <c r="C1340" s="87">
        <v>2017</v>
      </c>
      <c r="D1340" s="87" t="s">
        <v>15</v>
      </c>
      <c r="E1340" s="116">
        <v>-1</v>
      </c>
      <c r="F1340" s="87" t="s">
        <v>906</v>
      </c>
      <c r="G1340" s="87" t="s">
        <v>272</v>
      </c>
      <c r="H1340" s="87" t="s">
        <v>906</v>
      </c>
      <c r="I1340" s="87">
        <v>23</v>
      </c>
    </row>
    <row r="1341" spans="1:9" ht="15" customHeight="1" x14ac:dyDescent="0.25">
      <c r="A1341" s="87" t="s">
        <v>23</v>
      </c>
      <c r="B1341" s="87" t="s">
        <v>1075</v>
      </c>
      <c r="C1341" s="87">
        <v>2018</v>
      </c>
      <c r="D1341" s="87" t="s">
        <v>15</v>
      </c>
      <c r="E1341" s="116">
        <v>532</v>
      </c>
      <c r="F1341" s="87" t="s">
        <v>967</v>
      </c>
      <c r="G1341" s="87" t="s">
        <v>272</v>
      </c>
      <c r="H1341" s="87" t="s">
        <v>967</v>
      </c>
      <c r="I1341" s="87">
        <v>23</v>
      </c>
    </row>
    <row r="1342" spans="1:9" ht="15" customHeight="1" x14ac:dyDescent="0.25">
      <c r="A1342" s="87" t="s">
        <v>23</v>
      </c>
      <c r="B1342" s="87" t="s">
        <v>1075</v>
      </c>
      <c r="C1342" s="87">
        <v>2019</v>
      </c>
      <c r="D1342" s="87" t="s">
        <v>15</v>
      </c>
      <c r="E1342" s="116">
        <v>111</v>
      </c>
      <c r="F1342" s="87" t="s">
        <v>967</v>
      </c>
      <c r="G1342" s="87" t="s">
        <v>272</v>
      </c>
      <c r="H1342" s="87" t="s">
        <v>967</v>
      </c>
      <c r="I1342" s="87">
        <v>23</v>
      </c>
    </row>
    <row r="1343" spans="1:9" ht="15" customHeight="1" x14ac:dyDescent="0.25">
      <c r="A1343" s="87" t="s">
        <v>23</v>
      </c>
      <c r="B1343" s="87" t="s">
        <v>1075</v>
      </c>
      <c r="C1343" s="87">
        <v>2020</v>
      </c>
      <c r="D1343" s="87" t="s">
        <v>15</v>
      </c>
      <c r="E1343" s="116">
        <v>438</v>
      </c>
      <c r="F1343" s="87" t="s">
        <v>967</v>
      </c>
      <c r="G1343" s="87" t="s">
        <v>272</v>
      </c>
      <c r="H1343" s="87" t="s">
        <v>967</v>
      </c>
      <c r="I1343" s="87">
        <v>23</v>
      </c>
    </row>
    <row r="1344" spans="1:9" ht="15" customHeight="1" x14ac:dyDescent="0.25">
      <c r="A1344" s="87" t="s">
        <v>23</v>
      </c>
      <c r="B1344" s="87" t="s">
        <v>1075</v>
      </c>
      <c r="C1344" s="87">
        <v>2021</v>
      </c>
      <c r="D1344" s="87" t="s">
        <v>15</v>
      </c>
      <c r="E1344" s="116">
        <v>332</v>
      </c>
      <c r="F1344" s="87" t="s">
        <v>967</v>
      </c>
      <c r="G1344" s="87" t="s">
        <v>272</v>
      </c>
      <c r="H1344" s="87" t="s">
        <v>967</v>
      </c>
      <c r="I1344" s="87">
        <v>23</v>
      </c>
    </row>
    <row r="1345" spans="1:9" ht="15" customHeight="1" x14ac:dyDescent="0.25">
      <c r="A1345" s="87" t="s">
        <v>23</v>
      </c>
      <c r="B1345" s="87" t="s">
        <v>1075</v>
      </c>
      <c r="C1345" s="87">
        <v>2022</v>
      </c>
      <c r="D1345" s="87" t="s">
        <v>15</v>
      </c>
      <c r="E1345" s="116">
        <v>223</v>
      </c>
      <c r="F1345" s="87" t="s">
        <v>967</v>
      </c>
      <c r="G1345" s="87" t="s">
        <v>272</v>
      </c>
      <c r="H1345" s="87" t="s">
        <v>967</v>
      </c>
      <c r="I1345" s="87">
        <v>23</v>
      </c>
    </row>
    <row r="1346" spans="1:9" ht="15" customHeight="1" x14ac:dyDescent="0.25">
      <c r="A1346" s="87" t="s">
        <v>33</v>
      </c>
      <c r="B1346" s="87" t="s">
        <v>312</v>
      </c>
      <c r="C1346" s="87">
        <v>1975</v>
      </c>
      <c r="D1346" s="87" t="s">
        <v>18</v>
      </c>
      <c r="E1346" s="116">
        <v>-1</v>
      </c>
      <c r="F1346" s="87" t="s">
        <v>907</v>
      </c>
      <c r="G1346" s="87" t="s">
        <v>272</v>
      </c>
      <c r="H1346" s="87" t="s">
        <v>907</v>
      </c>
      <c r="I1346" s="87">
        <v>26</v>
      </c>
    </row>
    <row r="1347" spans="1:9" ht="15" customHeight="1" x14ac:dyDescent="0.25">
      <c r="A1347" s="87" t="s">
        <v>33</v>
      </c>
      <c r="B1347" s="87" t="s">
        <v>312</v>
      </c>
      <c r="C1347" s="87">
        <v>1976</v>
      </c>
      <c r="D1347" s="87" t="s">
        <v>18</v>
      </c>
      <c r="E1347" s="116">
        <v>-1</v>
      </c>
      <c r="F1347" s="87" t="s">
        <v>907</v>
      </c>
      <c r="G1347" s="87" t="s">
        <v>272</v>
      </c>
      <c r="H1347" s="87" t="s">
        <v>907</v>
      </c>
      <c r="I1347" s="87">
        <v>26</v>
      </c>
    </row>
    <row r="1348" spans="1:9" ht="15" customHeight="1" x14ac:dyDescent="0.25">
      <c r="A1348" s="87" t="s">
        <v>33</v>
      </c>
      <c r="B1348" s="87" t="s">
        <v>312</v>
      </c>
      <c r="C1348" s="87">
        <v>1977</v>
      </c>
      <c r="D1348" s="87" t="s">
        <v>18</v>
      </c>
      <c r="E1348" s="116">
        <v>-1</v>
      </c>
      <c r="F1348" s="87" t="s">
        <v>907</v>
      </c>
      <c r="G1348" s="87" t="s">
        <v>272</v>
      </c>
      <c r="H1348" s="87" t="s">
        <v>907</v>
      </c>
      <c r="I1348" s="87">
        <v>26</v>
      </c>
    </row>
    <row r="1349" spans="1:9" ht="15" customHeight="1" x14ac:dyDescent="0.25">
      <c r="A1349" s="87" t="s">
        <v>33</v>
      </c>
      <c r="B1349" s="87" t="s">
        <v>312</v>
      </c>
      <c r="C1349" s="87">
        <v>1978</v>
      </c>
      <c r="D1349" s="87" t="s">
        <v>18</v>
      </c>
      <c r="E1349" s="116">
        <v>-1</v>
      </c>
      <c r="F1349" s="87" t="s">
        <v>907</v>
      </c>
      <c r="G1349" s="87" t="s">
        <v>272</v>
      </c>
      <c r="H1349" s="87" t="s">
        <v>907</v>
      </c>
      <c r="I1349" s="87">
        <v>26</v>
      </c>
    </row>
    <row r="1350" spans="1:9" ht="15" customHeight="1" x14ac:dyDescent="0.25">
      <c r="A1350" s="87" t="s">
        <v>33</v>
      </c>
      <c r="B1350" s="87" t="s">
        <v>312</v>
      </c>
      <c r="C1350" s="87">
        <v>1979</v>
      </c>
      <c r="D1350" s="87" t="s">
        <v>18</v>
      </c>
      <c r="E1350" s="116">
        <v>-1</v>
      </c>
      <c r="F1350" s="87" t="s">
        <v>907</v>
      </c>
      <c r="G1350" s="87" t="s">
        <v>272</v>
      </c>
      <c r="H1350" s="87" t="s">
        <v>907</v>
      </c>
      <c r="I1350" s="87">
        <v>26</v>
      </c>
    </row>
    <row r="1351" spans="1:9" ht="15" customHeight="1" x14ac:dyDescent="0.25">
      <c r="A1351" s="87" t="s">
        <v>33</v>
      </c>
      <c r="B1351" s="87" t="s">
        <v>312</v>
      </c>
      <c r="C1351" s="87">
        <v>1980</v>
      </c>
      <c r="D1351" s="87" t="s">
        <v>18</v>
      </c>
      <c r="E1351" s="116">
        <v>-1</v>
      </c>
      <c r="F1351" s="87" t="s">
        <v>907</v>
      </c>
      <c r="G1351" s="87" t="s">
        <v>272</v>
      </c>
      <c r="H1351" s="87" t="s">
        <v>907</v>
      </c>
      <c r="I1351" s="87">
        <v>26</v>
      </c>
    </row>
    <row r="1352" spans="1:9" ht="15" customHeight="1" x14ac:dyDescent="0.25">
      <c r="A1352" s="87" t="s">
        <v>33</v>
      </c>
      <c r="B1352" s="87" t="s">
        <v>312</v>
      </c>
      <c r="C1352" s="87">
        <v>1981</v>
      </c>
      <c r="D1352" s="87" t="s">
        <v>18</v>
      </c>
      <c r="E1352" s="116">
        <v>300</v>
      </c>
      <c r="F1352" s="87" t="s">
        <v>508</v>
      </c>
      <c r="G1352" s="87" t="s">
        <v>967</v>
      </c>
      <c r="H1352" s="87" t="s">
        <v>508</v>
      </c>
      <c r="I1352" s="87">
        <v>26</v>
      </c>
    </row>
    <row r="1353" spans="1:9" ht="15" customHeight="1" x14ac:dyDescent="0.25">
      <c r="A1353" s="87" t="s">
        <v>33</v>
      </c>
      <c r="B1353" s="87" t="s">
        <v>312</v>
      </c>
      <c r="C1353" s="87">
        <v>1982</v>
      </c>
      <c r="D1353" s="87" t="s">
        <v>18</v>
      </c>
      <c r="E1353" s="116">
        <v>400</v>
      </c>
      <c r="F1353" s="87" t="s">
        <v>508</v>
      </c>
      <c r="G1353" s="87" t="s">
        <v>967</v>
      </c>
      <c r="H1353" s="87" t="s">
        <v>508</v>
      </c>
      <c r="I1353" s="87">
        <v>26</v>
      </c>
    </row>
    <row r="1354" spans="1:9" ht="15" customHeight="1" x14ac:dyDescent="0.25">
      <c r="A1354" s="87" t="s">
        <v>33</v>
      </c>
      <c r="B1354" s="87" t="s">
        <v>312</v>
      </c>
      <c r="C1354" s="87">
        <v>1983</v>
      </c>
      <c r="D1354" s="87" t="s">
        <v>18</v>
      </c>
      <c r="E1354" s="116">
        <v>700</v>
      </c>
      <c r="F1354" s="87" t="s">
        <v>553</v>
      </c>
      <c r="G1354" s="87" t="s">
        <v>967</v>
      </c>
      <c r="H1354" s="87" t="s">
        <v>967</v>
      </c>
      <c r="I1354" s="87">
        <v>26</v>
      </c>
    </row>
    <row r="1355" spans="1:9" ht="15" customHeight="1" x14ac:dyDescent="0.25">
      <c r="A1355" s="87" t="s">
        <v>33</v>
      </c>
      <c r="B1355" s="87" t="s">
        <v>312</v>
      </c>
      <c r="C1355" s="87">
        <v>1984</v>
      </c>
      <c r="D1355" s="87" t="s">
        <v>18</v>
      </c>
      <c r="E1355" s="116">
        <v>600</v>
      </c>
      <c r="F1355" s="87" t="s">
        <v>553</v>
      </c>
      <c r="G1355" s="87" t="s">
        <v>967</v>
      </c>
      <c r="H1355" s="87" t="s">
        <v>967</v>
      </c>
      <c r="I1355" s="87">
        <v>26</v>
      </c>
    </row>
    <row r="1356" spans="1:9" ht="15" customHeight="1" x14ac:dyDescent="0.25">
      <c r="A1356" s="87" t="s">
        <v>33</v>
      </c>
      <c r="B1356" s="87" t="s">
        <v>312</v>
      </c>
      <c r="C1356" s="87">
        <v>1985</v>
      </c>
      <c r="D1356" s="87" t="s">
        <v>18</v>
      </c>
      <c r="E1356" s="116">
        <v>1150</v>
      </c>
      <c r="F1356" s="87" t="s">
        <v>553</v>
      </c>
      <c r="G1356" s="87" t="s">
        <v>967</v>
      </c>
      <c r="H1356" s="87" t="s">
        <v>967</v>
      </c>
      <c r="I1356" s="87">
        <v>26</v>
      </c>
    </row>
    <row r="1357" spans="1:9" ht="15" customHeight="1" x14ac:dyDescent="0.25">
      <c r="A1357" s="87" t="s">
        <v>33</v>
      </c>
      <c r="B1357" s="87" t="s">
        <v>312</v>
      </c>
      <c r="C1357" s="87">
        <v>1986</v>
      </c>
      <c r="D1357" s="87" t="s">
        <v>18</v>
      </c>
      <c r="E1357" s="116">
        <v>1400</v>
      </c>
      <c r="F1357" s="87" t="s">
        <v>553</v>
      </c>
      <c r="G1357" s="87" t="s">
        <v>967</v>
      </c>
      <c r="H1357" s="87" t="s">
        <v>967</v>
      </c>
      <c r="I1357" s="87">
        <v>26</v>
      </c>
    </row>
    <row r="1358" spans="1:9" ht="15" customHeight="1" x14ac:dyDescent="0.25">
      <c r="A1358" s="87" t="s">
        <v>33</v>
      </c>
      <c r="B1358" s="87" t="s">
        <v>312</v>
      </c>
      <c r="C1358" s="87">
        <v>1987</v>
      </c>
      <c r="D1358" s="87" t="s">
        <v>18</v>
      </c>
      <c r="E1358" s="116">
        <v>1100</v>
      </c>
      <c r="F1358" s="87" t="s">
        <v>508</v>
      </c>
      <c r="G1358" s="87" t="s">
        <v>967</v>
      </c>
      <c r="H1358" s="87" t="s">
        <v>508</v>
      </c>
      <c r="I1358" s="87">
        <v>26</v>
      </c>
    </row>
    <row r="1359" spans="1:9" ht="15" customHeight="1" x14ac:dyDescent="0.25">
      <c r="A1359" s="87" t="s">
        <v>33</v>
      </c>
      <c r="B1359" s="87" t="s">
        <v>312</v>
      </c>
      <c r="C1359" s="87">
        <v>1988</v>
      </c>
      <c r="D1359" s="87" t="s">
        <v>18</v>
      </c>
      <c r="E1359" s="116">
        <v>1760</v>
      </c>
      <c r="F1359" s="87" t="s">
        <v>508</v>
      </c>
      <c r="G1359" s="87" t="s">
        <v>967</v>
      </c>
      <c r="H1359" s="87" t="s">
        <v>508</v>
      </c>
      <c r="I1359" s="87">
        <v>26</v>
      </c>
    </row>
    <row r="1360" spans="1:9" ht="15" customHeight="1" x14ac:dyDescent="0.25">
      <c r="A1360" s="87" t="s">
        <v>33</v>
      </c>
      <c r="B1360" s="87" t="s">
        <v>312</v>
      </c>
      <c r="C1360" s="87">
        <v>1989</v>
      </c>
      <c r="D1360" s="87" t="s">
        <v>18</v>
      </c>
      <c r="E1360" s="116">
        <v>1160</v>
      </c>
      <c r="F1360" s="87" t="s">
        <v>508</v>
      </c>
      <c r="G1360" s="87" t="s">
        <v>967</v>
      </c>
      <c r="H1360" s="87" t="s">
        <v>508</v>
      </c>
      <c r="I1360" s="87">
        <v>26</v>
      </c>
    </row>
    <row r="1361" spans="1:9" ht="15" customHeight="1" x14ac:dyDescent="0.25">
      <c r="A1361" s="87" t="s">
        <v>33</v>
      </c>
      <c r="B1361" s="87" t="s">
        <v>312</v>
      </c>
      <c r="C1361" s="87">
        <v>1990</v>
      </c>
      <c r="D1361" s="87" t="s">
        <v>18</v>
      </c>
      <c r="E1361" s="116">
        <v>2500</v>
      </c>
      <c r="F1361" s="87" t="s">
        <v>508</v>
      </c>
      <c r="G1361" s="87" t="s">
        <v>967</v>
      </c>
      <c r="H1361" s="87" t="s">
        <v>508</v>
      </c>
      <c r="I1361" s="87">
        <v>26</v>
      </c>
    </row>
    <row r="1362" spans="1:9" ht="15" customHeight="1" x14ac:dyDescent="0.25">
      <c r="A1362" s="87" t="s">
        <v>33</v>
      </c>
      <c r="B1362" s="87" t="s">
        <v>312</v>
      </c>
      <c r="C1362" s="87">
        <v>1991</v>
      </c>
      <c r="D1362" s="87" t="s">
        <v>18</v>
      </c>
      <c r="E1362" s="116">
        <v>1625</v>
      </c>
      <c r="F1362" s="87" t="s">
        <v>508</v>
      </c>
      <c r="G1362" s="87" t="s">
        <v>967</v>
      </c>
      <c r="H1362" s="87" t="s">
        <v>508</v>
      </c>
      <c r="I1362" s="87">
        <v>26</v>
      </c>
    </row>
    <row r="1363" spans="1:9" ht="15" customHeight="1" x14ac:dyDescent="0.25">
      <c r="A1363" s="87" t="s">
        <v>33</v>
      </c>
      <c r="B1363" s="87" t="s">
        <v>312</v>
      </c>
      <c r="C1363" s="87">
        <v>1992</v>
      </c>
      <c r="D1363" s="87" t="s">
        <v>18</v>
      </c>
      <c r="E1363" s="116">
        <v>1000</v>
      </c>
      <c r="F1363" s="87" t="s">
        <v>508</v>
      </c>
      <c r="G1363" s="87" t="s">
        <v>967</v>
      </c>
      <c r="H1363" s="87" t="s">
        <v>508</v>
      </c>
      <c r="I1363" s="87">
        <v>26</v>
      </c>
    </row>
    <row r="1364" spans="1:9" ht="15" customHeight="1" x14ac:dyDescent="0.25">
      <c r="A1364" s="87" t="s">
        <v>33</v>
      </c>
      <c r="B1364" s="87" t="s">
        <v>312</v>
      </c>
      <c r="C1364" s="87">
        <v>1993</v>
      </c>
      <c r="D1364" s="87" t="s">
        <v>18</v>
      </c>
      <c r="E1364" s="116">
        <v>2480</v>
      </c>
      <c r="F1364" s="87" t="s">
        <v>508</v>
      </c>
      <c r="G1364" s="87" t="s">
        <v>967</v>
      </c>
      <c r="H1364" s="87" t="s">
        <v>508</v>
      </c>
      <c r="I1364" s="87">
        <v>26</v>
      </c>
    </row>
    <row r="1365" spans="1:9" ht="15" customHeight="1" x14ac:dyDescent="0.25">
      <c r="A1365" s="87" t="s">
        <v>33</v>
      </c>
      <c r="B1365" s="87" t="s">
        <v>312</v>
      </c>
      <c r="C1365" s="87">
        <v>1994</v>
      </c>
      <c r="D1365" s="87" t="s">
        <v>18</v>
      </c>
      <c r="E1365" s="116">
        <v>2000</v>
      </c>
      <c r="F1365" s="87" t="s">
        <v>508</v>
      </c>
      <c r="G1365" s="87" t="s">
        <v>967</v>
      </c>
      <c r="H1365" s="87" t="s">
        <v>508</v>
      </c>
      <c r="I1365" s="87">
        <v>26</v>
      </c>
    </row>
    <row r="1366" spans="1:9" ht="15" customHeight="1" x14ac:dyDescent="0.25">
      <c r="A1366" s="87" t="s">
        <v>33</v>
      </c>
      <c r="B1366" s="87" t="s">
        <v>312</v>
      </c>
      <c r="C1366" s="87">
        <v>1995</v>
      </c>
      <c r="D1366" s="87" t="s">
        <v>18</v>
      </c>
      <c r="E1366" s="116">
        <v>817</v>
      </c>
      <c r="F1366" s="87" t="s">
        <v>508</v>
      </c>
      <c r="G1366" s="87" t="s">
        <v>967</v>
      </c>
      <c r="H1366" s="87" t="s">
        <v>967</v>
      </c>
      <c r="I1366" s="87">
        <v>26</v>
      </c>
    </row>
    <row r="1367" spans="1:9" ht="15" customHeight="1" x14ac:dyDescent="0.25">
      <c r="A1367" s="87" t="s">
        <v>33</v>
      </c>
      <c r="B1367" s="87" t="s">
        <v>312</v>
      </c>
      <c r="C1367" s="87">
        <v>1996</v>
      </c>
      <c r="D1367" s="87" t="s">
        <v>18</v>
      </c>
      <c r="E1367" s="116">
        <v>1850</v>
      </c>
      <c r="F1367" s="87" t="s">
        <v>508</v>
      </c>
      <c r="G1367" s="87" t="s">
        <v>967</v>
      </c>
      <c r="H1367" s="87" t="s">
        <v>967</v>
      </c>
      <c r="I1367" s="87">
        <v>26</v>
      </c>
    </row>
    <row r="1368" spans="1:9" ht="15" customHeight="1" x14ac:dyDescent="0.25">
      <c r="A1368" s="87" t="s">
        <v>33</v>
      </c>
      <c r="B1368" s="87" t="s">
        <v>312</v>
      </c>
      <c r="C1368" s="87">
        <v>1997</v>
      </c>
      <c r="D1368" s="87" t="s">
        <v>18</v>
      </c>
      <c r="E1368" s="116">
        <v>1800</v>
      </c>
      <c r="F1368" s="87" t="s">
        <v>508</v>
      </c>
      <c r="G1368" s="87" t="s">
        <v>967</v>
      </c>
      <c r="H1368" s="87" t="s">
        <v>967</v>
      </c>
      <c r="I1368" s="87">
        <v>26</v>
      </c>
    </row>
    <row r="1369" spans="1:9" ht="15" customHeight="1" x14ac:dyDescent="0.25">
      <c r="A1369" s="87" t="s">
        <v>33</v>
      </c>
      <c r="B1369" s="87" t="s">
        <v>312</v>
      </c>
      <c r="C1369" s="87">
        <v>1998</v>
      </c>
      <c r="D1369" s="87" t="s">
        <v>18</v>
      </c>
      <c r="E1369" s="116">
        <v>480</v>
      </c>
      <c r="F1369" s="87" t="s">
        <v>555</v>
      </c>
      <c r="G1369" s="87" t="s">
        <v>272</v>
      </c>
      <c r="H1369" s="87" t="s">
        <v>554</v>
      </c>
      <c r="I1369" s="87">
        <v>26</v>
      </c>
    </row>
    <row r="1370" spans="1:9" ht="15" customHeight="1" x14ac:dyDescent="0.25">
      <c r="A1370" s="87" t="s">
        <v>33</v>
      </c>
      <c r="B1370" s="87" t="s">
        <v>312</v>
      </c>
      <c r="C1370" s="87">
        <v>1999</v>
      </c>
      <c r="D1370" s="87" t="s">
        <v>18</v>
      </c>
      <c r="E1370" s="116">
        <v>364</v>
      </c>
      <c r="F1370" s="87" t="s">
        <v>313</v>
      </c>
      <c r="G1370" s="87" t="s">
        <v>272</v>
      </c>
      <c r="H1370" s="87" t="s">
        <v>967</v>
      </c>
      <c r="I1370" s="87">
        <v>26</v>
      </c>
    </row>
    <row r="1371" spans="1:9" ht="15" customHeight="1" x14ac:dyDescent="0.25">
      <c r="A1371" s="87" t="s">
        <v>33</v>
      </c>
      <c r="B1371" s="87" t="s">
        <v>312</v>
      </c>
      <c r="C1371" s="87">
        <v>2000</v>
      </c>
      <c r="D1371" s="87" t="s">
        <v>18</v>
      </c>
      <c r="E1371" s="116">
        <v>382</v>
      </c>
      <c r="F1371" s="87" t="s">
        <v>313</v>
      </c>
      <c r="G1371" s="87" t="s">
        <v>272</v>
      </c>
      <c r="H1371" s="87" t="s">
        <v>556</v>
      </c>
      <c r="I1371" s="87">
        <v>26</v>
      </c>
    </row>
    <row r="1372" spans="1:9" ht="15" customHeight="1" x14ac:dyDescent="0.25">
      <c r="A1372" s="87" t="s">
        <v>33</v>
      </c>
      <c r="B1372" s="87" t="s">
        <v>312</v>
      </c>
      <c r="C1372" s="87">
        <v>2001</v>
      </c>
      <c r="D1372" s="87" t="s">
        <v>18</v>
      </c>
      <c r="E1372" s="116">
        <v>503</v>
      </c>
      <c r="F1372" s="87" t="s">
        <v>967</v>
      </c>
      <c r="G1372" s="87" t="s">
        <v>272</v>
      </c>
      <c r="H1372" s="87" t="s">
        <v>557</v>
      </c>
      <c r="I1372" s="87">
        <v>26</v>
      </c>
    </row>
    <row r="1373" spans="1:9" ht="15" customHeight="1" x14ac:dyDescent="0.25">
      <c r="A1373" s="87" t="s">
        <v>33</v>
      </c>
      <c r="B1373" s="87" t="s">
        <v>312</v>
      </c>
      <c r="C1373" s="87">
        <v>2002</v>
      </c>
      <c r="D1373" s="87" t="s">
        <v>18</v>
      </c>
      <c r="E1373" s="116">
        <v>1097</v>
      </c>
      <c r="F1373" s="87" t="s">
        <v>967</v>
      </c>
      <c r="G1373" s="87" t="s">
        <v>272</v>
      </c>
      <c r="H1373" s="87" t="s">
        <v>967</v>
      </c>
      <c r="I1373" s="87">
        <v>26</v>
      </c>
    </row>
    <row r="1374" spans="1:9" ht="15" customHeight="1" x14ac:dyDescent="0.25">
      <c r="A1374" s="87" t="s">
        <v>33</v>
      </c>
      <c r="B1374" s="87" t="s">
        <v>312</v>
      </c>
      <c r="C1374" s="87">
        <v>2003</v>
      </c>
      <c r="D1374" s="87" t="s">
        <v>18</v>
      </c>
      <c r="E1374" s="116">
        <v>2198</v>
      </c>
      <c r="F1374" s="87" t="s">
        <v>967</v>
      </c>
      <c r="G1374" s="87" t="s">
        <v>272</v>
      </c>
      <c r="H1374" s="87" t="s">
        <v>967</v>
      </c>
      <c r="I1374" s="87">
        <v>26</v>
      </c>
    </row>
    <row r="1375" spans="1:9" ht="15" customHeight="1" x14ac:dyDescent="0.25">
      <c r="A1375" s="87" t="s">
        <v>33</v>
      </c>
      <c r="B1375" s="87" t="s">
        <v>312</v>
      </c>
      <c r="C1375" s="87">
        <v>2004</v>
      </c>
      <c r="D1375" s="87" t="s">
        <v>18</v>
      </c>
      <c r="E1375" s="116">
        <v>289</v>
      </c>
      <c r="F1375" s="87" t="s">
        <v>558</v>
      </c>
      <c r="G1375" s="87" t="s">
        <v>272</v>
      </c>
      <c r="H1375" s="87" t="s">
        <v>554</v>
      </c>
      <c r="I1375" s="87">
        <v>26</v>
      </c>
    </row>
    <row r="1376" spans="1:9" ht="15" customHeight="1" x14ac:dyDescent="0.25">
      <c r="A1376" s="87" t="s">
        <v>33</v>
      </c>
      <c r="B1376" s="87" t="s">
        <v>312</v>
      </c>
      <c r="C1376" s="87">
        <v>2005</v>
      </c>
      <c r="D1376" s="87" t="s">
        <v>18</v>
      </c>
      <c r="E1376" s="116">
        <v>526</v>
      </c>
      <c r="F1376" s="87" t="s">
        <v>967</v>
      </c>
      <c r="G1376" s="87" t="s">
        <v>272</v>
      </c>
      <c r="H1376" s="87" t="s">
        <v>967</v>
      </c>
      <c r="I1376" s="87">
        <v>26</v>
      </c>
    </row>
    <row r="1377" spans="1:9" ht="15" customHeight="1" x14ac:dyDescent="0.25">
      <c r="A1377" s="87" t="s">
        <v>33</v>
      </c>
      <c r="B1377" s="87" t="s">
        <v>312</v>
      </c>
      <c r="C1377" s="87">
        <v>2006</v>
      </c>
      <c r="D1377" s="87" t="s">
        <v>18</v>
      </c>
      <c r="E1377" s="116">
        <v>949</v>
      </c>
      <c r="F1377" s="87" t="s">
        <v>967</v>
      </c>
      <c r="G1377" s="87" t="s">
        <v>272</v>
      </c>
      <c r="H1377" s="87" t="s">
        <v>967</v>
      </c>
      <c r="I1377" s="87">
        <v>26</v>
      </c>
    </row>
    <row r="1378" spans="1:9" ht="15" customHeight="1" x14ac:dyDescent="0.25">
      <c r="A1378" s="87" t="s">
        <v>33</v>
      </c>
      <c r="B1378" s="87" t="s">
        <v>312</v>
      </c>
      <c r="C1378" s="87">
        <v>2007</v>
      </c>
      <c r="D1378" s="87" t="s">
        <v>18</v>
      </c>
      <c r="E1378" s="116">
        <v>546</v>
      </c>
      <c r="F1378" s="87" t="s">
        <v>967</v>
      </c>
      <c r="G1378" s="87" t="s">
        <v>272</v>
      </c>
      <c r="H1378" s="87" t="s">
        <v>967</v>
      </c>
      <c r="I1378" s="87">
        <v>26</v>
      </c>
    </row>
    <row r="1379" spans="1:9" ht="15" customHeight="1" x14ac:dyDescent="0.25">
      <c r="A1379" s="87" t="s">
        <v>33</v>
      </c>
      <c r="B1379" s="87" t="s">
        <v>312</v>
      </c>
      <c r="C1379" s="87">
        <v>2008</v>
      </c>
      <c r="D1379" s="87" t="s">
        <v>18</v>
      </c>
      <c r="E1379" s="116">
        <v>449</v>
      </c>
      <c r="F1379" s="87" t="s">
        <v>967</v>
      </c>
      <c r="G1379" s="87" t="s">
        <v>272</v>
      </c>
      <c r="H1379" s="87" t="s">
        <v>967</v>
      </c>
      <c r="I1379" s="87">
        <v>26</v>
      </c>
    </row>
    <row r="1380" spans="1:9" ht="15" customHeight="1" x14ac:dyDescent="0.25">
      <c r="A1380" s="87" t="s">
        <v>33</v>
      </c>
      <c r="B1380" s="87" t="s">
        <v>312</v>
      </c>
      <c r="C1380" s="87">
        <v>2009</v>
      </c>
      <c r="D1380" s="87" t="s">
        <v>18</v>
      </c>
      <c r="E1380" s="116">
        <v>877</v>
      </c>
      <c r="F1380" s="87" t="s">
        <v>967</v>
      </c>
      <c r="G1380" s="87" t="s">
        <v>272</v>
      </c>
      <c r="H1380" s="87" t="s">
        <v>967</v>
      </c>
      <c r="I1380" s="87">
        <v>26</v>
      </c>
    </row>
    <row r="1381" spans="1:9" ht="15" customHeight="1" x14ac:dyDescent="0.25">
      <c r="A1381" s="87" t="s">
        <v>33</v>
      </c>
      <c r="B1381" s="87" t="s">
        <v>312</v>
      </c>
      <c r="C1381" s="87">
        <v>2010</v>
      </c>
      <c r="D1381" s="87" t="s">
        <v>18</v>
      </c>
      <c r="E1381" s="116">
        <v>852</v>
      </c>
      <c r="F1381" s="87" t="s">
        <v>967</v>
      </c>
      <c r="G1381" s="87" t="s">
        <v>272</v>
      </c>
      <c r="H1381" s="87" t="s">
        <v>559</v>
      </c>
      <c r="I1381" s="87">
        <v>26</v>
      </c>
    </row>
    <row r="1382" spans="1:9" ht="15" customHeight="1" x14ac:dyDescent="0.25">
      <c r="A1382" s="87" t="s">
        <v>33</v>
      </c>
      <c r="B1382" s="87" t="s">
        <v>312</v>
      </c>
      <c r="C1382" s="87">
        <v>2011</v>
      </c>
      <c r="D1382" s="87" t="s">
        <v>18</v>
      </c>
      <c r="E1382" s="116">
        <v>408</v>
      </c>
      <c r="F1382" s="87" t="s">
        <v>967</v>
      </c>
      <c r="G1382" s="87" t="s">
        <v>272</v>
      </c>
      <c r="H1382" s="87" t="s">
        <v>967</v>
      </c>
      <c r="I1382" s="87">
        <v>26</v>
      </c>
    </row>
    <row r="1383" spans="1:9" ht="15" customHeight="1" x14ac:dyDescent="0.25">
      <c r="A1383" s="87" t="s">
        <v>33</v>
      </c>
      <c r="B1383" s="87" t="s">
        <v>312</v>
      </c>
      <c r="C1383" s="87">
        <v>2012</v>
      </c>
      <c r="D1383" s="87" t="s">
        <v>18</v>
      </c>
      <c r="E1383" s="116">
        <v>238</v>
      </c>
      <c r="F1383" s="87" t="s">
        <v>967</v>
      </c>
      <c r="G1383" s="87" t="s">
        <v>272</v>
      </c>
      <c r="H1383" s="87" t="s">
        <v>967</v>
      </c>
      <c r="I1383" s="87">
        <v>26</v>
      </c>
    </row>
    <row r="1384" spans="1:9" ht="15" customHeight="1" x14ac:dyDescent="0.25">
      <c r="A1384" s="87" t="s">
        <v>33</v>
      </c>
      <c r="B1384" s="87" t="s">
        <v>312</v>
      </c>
      <c r="C1384" s="87">
        <v>2013</v>
      </c>
      <c r="D1384" s="87" t="s">
        <v>18</v>
      </c>
      <c r="E1384" s="116">
        <v>537</v>
      </c>
      <c r="F1384" s="87" t="s">
        <v>967</v>
      </c>
      <c r="G1384" s="87" t="s">
        <v>272</v>
      </c>
      <c r="H1384" s="87" t="s">
        <v>967</v>
      </c>
      <c r="I1384" s="87">
        <v>26</v>
      </c>
    </row>
    <row r="1385" spans="1:9" ht="15" customHeight="1" x14ac:dyDescent="0.25">
      <c r="A1385" s="87" t="s">
        <v>33</v>
      </c>
      <c r="B1385" s="87" t="s">
        <v>312</v>
      </c>
      <c r="C1385" s="87">
        <v>2014</v>
      </c>
      <c r="D1385" s="87" t="s">
        <v>18</v>
      </c>
      <c r="E1385" s="116">
        <v>242</v>
      </c>
      <c r="F1385" s="87" t="s">
        <v>967</v>
      </c>
      <c r="G1385" s="87" t="s">
        <v>272</v>
      </c>
      <c r="H1385" s="87" t="s">
        <v>967</v>
      </c>
      <c r="I1385" s="87">
        <v>26</v>
      </c>
    </row>
    <row r="1386" spans="1:9" ht="15" customHeight="1" x14ac:dyDescent="0.25">
      <c r="A1386" s="87" t="s">
        <v>33</v>
      </c>
      <c r="B1386" s="87" t="s">
        <v>312</v>
      </c>
      <c r="C1386" s="87">
        <v>2015</v>
      </c>
      <c r="D1386" s="87" t="s">
        <v>18</v>
      </c>
      <c r="E1386" s="116">
        <v>518</v>
      </c>
      <c r="F1386" s="87" t="s">
        <v>967</v>
      </c>
      <c r="G1386" s="87" t="s">
        <v>272</v>
      </c>
      <c r="H1386" s="87" t="s">
        <v>560</v>
      </c>
      <c r="I1386" s="87">
        <v>26</v>
      </c>
    </row>
    <row r="1387" spans="1:9" ht="15" customHeight="1" x14ac:dyDescent="0.25">
      <c r="A1387" s="87" t="s">
        <v>33</v>
      </c>
      <c r="B1387" s="87" t="s">
        <v>312</v>
      </c>
      <c r="C1387" s="87">
        <v>2016</v>
      </c>
      <c r="D1387" s="87" t="s">
        <v>18</v>
      </c>
      <c r="E1387" s="116">
        <v>145</v>
      </c>
      <c r="F1387" s="87" t="s">
        <v>967</v>
      </c>
      <c r="G1387" s="87" t="s">
        <v>272</v>
      </c>
      <c r="H1387" s="87" t="s">
        <v>561</v>
      </c>
      <c r="I1387" s="87">
        <v>26</v>
      </c>
    </row>
    <row r="1388" spans="1:9" ht="15" customHeight="1" x14ac:dyDescent="0.25">
      <c r="A1388" s="87" t="s">
        <v>33</v>
      </c>
      <c r="B1388" s="87" t="s">
        <v>312</v>
      </c>
      <c r="C1388" s="87">
        <v>2017</v>
      </c>
      <c r="D1388" s="87" t="s">
        <v>18</v>
      </c>
      <c r="E1388" s="116">
        <v>138</v>
      </c>
      <c r="F1388" s="87" t="s">
        <v>967</v>
      </c>
      <c r="G1388" s="87" t="s">
        <v>272</v>
      </c>
      <c r="H1388" s="87" t="s">
        <v>967</v>
      </c>
      <c r="I1388" s="87">
        <v>26</v>
      </c>
    </row>
    <row r="1389" spans="1:9" ht="15" customHeight="1" x14ac:dyDescent="0.25">
      <c r="A1389" s="87" t="s">
        <v>33</v>
      </c>
      <c r="B1389" s="87" t="s">
        <v>312</v>
      </c>
      <c r="C1389" s="87">
        <v>2018</v>
      </c>
      <c r="D1389" s="87" t="s">
        <v>18</v>
      </c>
      <c r="E1389" s="116">
        <v>214</v>
      </c>
      <c r="F1389" s="87" t="s">
        <v>967</v>
      </c>
      <c r="G1389" s="87" t="s">
        <v>272</v>
      </c>
      <c r="H1389" s="87" t="s">
        <v>967</v>
      </c>
      <c r="I1389" s="87">
        <v>26</v>
      </c>
    </row>
    <row r="1390" spans="1:9" ht="15" customHeight="1" x14ac:dyDescent="0.25">
      <c r="A1390" s="87" t="s">
        <v>33</v>
      </c>
      <c r="B1390" s="87" t="s">
        <v>312</v>
      </c>
      <c r="C1390" s="87">
        <v>2019</v>
      </c>
      <c r="D1390" s="87" t="s">
        <v>18</v>
      </c>
      <c r="E1390" s="116">
        <v>29</v>
      </c>
      <c r="F1390" s="87" t="s">
        <v>967</v>
      </c>
      <c r="G1390" s="87" t="s">
        <v>272</v>
      </c>
      <c r="H1390" s="87" t="s">
        <v>967</v>
      </c>
      <c r="I1390" s="87">
        <v>26</v>
      </c>
    </row>
    <row r="1391" spans="1:9" ht="15" customHeight="1" x14ac:dyDescent="0.25">
      <c r="A1391" s="87" t="s">
        <v>33</v>
      </c>
      <c r="B1391" s="87" t="s">
        <v>312</v>
      </c>
      <c r="C1391" s="87">
        <v>2020</v>
      </c>
      <c r="D1391" s="87" t="s">
        <v>18</v>
      </c>
      <c r="E1391" s="116">
        <v>245</v>
      </c>
      <c r="F1391" s="87" t="s">
        <v>967</v>
      </c>
      <c r="G1391" s="87" t="s">
        <v>272</v>
      </c>
      <c r="H1391" s="87" t="s">
        <v>967</v>
      </c>
      <c r="I1391" s="87">
        <v>26</v>
      </c>
    </row>
    <row r="1392" spans="1:9" ht="15" customHeight="1" x14ac:dyDescent="0.25">
      <c r="A1392" s="87" t="s">
        <v>33</v>
      </c>
      <c r="B1392" s="87" t="s">
        <v>312</v>
      </c>
      <c r="C1392" s="87">
        <v>2021</v>
      </c>
      <c r="D1392" s="87" t="s">
        <v>18</v>
      </c>
      <c r="E1392" s="116">
        <v>160</v>
      </c>
      <c r="F1392" s="87" t="s">
        <v>967</v>
      </c>
      <c r="G1392" s="87" t="s">
        <v>272</v>
      </c>
      <c r="H1392" s="87" t="s">
        <v>967</v>
      </c>
      <c r="I1392" s="87">
        <v>26</v>
      </c>
    </row>
    <row r="1393" spans="1:9" ht="15" customHeight="1" x14ac:dyDescent="0.25">
      <c r="A1393" s="87" t="s">
        <v>33</v>
      </c>
      <c r="B1393" s="87" t="s">
        <v>312</v>
      </c>
      <c r="C1393" s="87">
        <v>2022</v>
      </c>
      <c r="D1393" s="87" t="s">
        <v>18</v>
      </c>
      <c r="E1393" s="116">
        <v>700</v>
      </c>
      <c r="F1393" s="87" t="s">
        <v>967</v>
      </c>
      <c r="G1393" s="87" t="s">
        <v>272</v>
      </c>
      <c r="H1393" s="87" t="s">
        <v>967</v>
      </c>
      <c r="I1393" s="87">
        <v>26</v>
      </c>
    </row>
    <row r="1394" spans="1:9" ht="15" customHeight="1" x14ac:dyDescent="0.25">
      <c r="A1394" s="87" t="s">
        <v>33</v>
      </c>
      <c r="B1394" s="87" t="s">
        <v>221</v>
      </c>
      <c r="C1394" s="87">
        <v>1975</v>
      </c>
      <c r="D1394" s="87" t="s">
        <v>18</v>
      </c>
      <c r="E1394" s="116">
        <v>12178.501852873402</v>
      </c>
      <c r="F1394" s="87" t="s">
        <v>967</v>
      </c>
      <c r="G1394" s="87" t="s">
        <v>272</v>
      </c>
      <c r="H1394" s="87" t="s">
        <v>967</v>
      </c>
      <c r="I1394" s="87">
        <v>28</v>
      </c>
    </row>
    <row r="1395" spans="1:9" ht="15" customHeight="1" x14ac:dyDescent="0.25">
      <c r="A1395" s="87" t="s">
        <v>33</v>
      </c>
      <c r="B1395" s="87" t="s">
        <v>221</v>
      </c>
      <c r="C1395" s="87">
        <v>1976</v>
      </c>
      <c r="D1395" s="87" t="s">
        <v>18</v>
      </c>
      <c r="E1395" s="116">
        <v>7338.8592711624196</v>
      </c>
      <c r="F1395" s="87" t="s">
        <v>967</v>
      </c>
      <c r="G1395" s="87" t="s">
        <v>272</v>
      </c>
      <c r="H1395" s="87" t="s">
        <v>967</v>
      </c>
      <c r="I1395" s="87">
        <v>28</v>
      </c>
    </row>
    <row r="1396" spans="1:9" ht="15" customHeight="1" x14ac:dyDescent="0.25">
      <c r="A1396" s="87" t="s">
        <v>33</v>
      </c>
      <c r="B1396" s="87" t="s">
        <v>221</v>
      </c>
      <c r="C1396" s="87">
        <v>1977</v>
      </c>
      <c r="D1396" s="87" t="s">
        <v>18</v>
      </c>
      <c r="E1396" s="116">
        <v>7880.7523727836933</v>
      </c>
      <c r="F1396" s="87" t="s">
        <v>967</v>
      </c>
      <c r="G1396" s="87" t="s">
        <v>272</v>
      </c>
      <c r="H1396" s="87" t="s">
        <v>967</v>
      </c>
      <c r="I1396" s="87">
        <v>28</v>
      </c>
    </row>
    <row r="1397" spans="1:9" ht="15" customHeight="1" x14ac:dyDescent="0.25">
      <c r="A1397" s="87" t="s">
        <v>33</v>
      </c>
      <c r="B1397" s="87" t="s">
        <v>221</v>
      </c>
      <c r="C1397" s="87">
        <v>1978</v>
      </c>
      <c r="D1397" s="87" t="s">
        <v>18</v>
      </c>
      <c r="E1397" s="116">
        <v>8421.4125418265558</v>
      </c>
      <c r="F1397" s="87" t="s">
        <v>967</v>
      </c>
      <c r="G1397" s="87" t="s">
        <v>272</v>
      </c>
      <c r="H1397" s="87" t="s">
        <v>967</v>
      </c>
      <c r="I1397" s="87">
        <v>28</v>
      </c>
    </row>
    <row r="1398" spans="1:9" ht="15" customHeight="1" x14ac:dyDescent="0.25">
      <c r="A1398" s="87" t="s">
        <v>33</v>
      </c>
      <c r="B1398" s="87" t="s">
        <v>221</v>
      </c>
      <c r="C1398" s="87">
        <v>1979</v>
      </c>
      <c r="D1398" s="87" t="s">
        <v>18</v>
      </c>
      <c r="E1398" s="116">
        <v>3831.1237744396649</v>
      </c>
      <c r="F1398" s="87" t="s">
        <v>967</v>
      </c>
      <c r="G1398" s="87" t="s">
        <v>272</v>
      </c>
      <c r="H1398" s="87" t="s">
        <v>967</v>
      </c>
      <c r="I1398" s="87">
        <v>28</v>
      </c>
    </row>
    <row r="1399" spans="1:9" ht="15" customHeight="1" x14ac:dyDescent="0.25">
      <c r="A1399" s="87" t="s">
        <v>33</v>
      </c>
      <c r="B1399" s="87" t="s">
        <v>221</v>
      </c>
      <c r="C1399" s="87">
        <v>1980</v>
      </c>
      <c r="D1399" s="87" t="s">
        <v>18</v>
      </c>
      <c r="E1399" s="116">
        <v>5704.4886810593553</v>
      </c>
      <c r="F1399" s="87" t="s">
        <v>967</v>
      </c>
      <c r="G1399" s="87" t="s">
        <v>272</v>
      </c>
      <c r="H1399" s="87" t="s">
        <v>967</v>
      </c>
      <c r="I1399" s="87">
        <v>28</v>
      </c>
    </row>
    <row r="1400" spans="1:9" ht="15" customHeight="1" x14ac:dyDescent="0.25">
      <c r="A1400" s="87" t="s">
        <v>33</v>
      </c>
      <c r="B1400" s="87" t="s">
        <v>221</v>
      </c>
      <c r="C1400" s="87">
        <v>1981</v>
      </c>
      <c r="D1400" s="87" t="s">
        <v>18</v>
      </c>
      <c r="E1400" s="116">
        <v>4163.8111419203742</v>
      </c>
      <c r="F1400" s="87" t="s">
        <v>967</v>
      </c>
      <c r="G1400" s="87" t="s">
        <v>272</v>
      </c>
      <c r="H1400" s="87" t="s">
        <v>967</v>
      </c>
      <c r="I1400" s="87">
        <v>28</v>
      </c>
    </row>
    <row r="1401" spans="1:9" ht="15" customHeight="1" x14ac:dyDescent="0.25">
      <c r="A1401" s="87" t="s">
        <v>33</v>
      </c>
      <c r="B1401" s="87" t="s">
        <v>221</v>
      </c>
      <c r="C1401" s="87">
        <v>1982</v>
      </c>
      <c r="D1401" s="87" t="s">
        <v>18</v>
      </c>
      <c r="E1401" s="116">
        <v>6032.5337529639182</v>
      </c>
      <c r="F1401" s="87" t="s">
        <v>967</v>
      </c>
      <c r="G1401" s="87" t="s">
        <v>272</v>
      </c>
      <c r="H1401" s="87" t="s">
        <v>967</v>
      </c>
      <c r="I1401" s="87">
        <v>28</v>
      </c>
    </row>
    <row r="1402" spans="1:9" ht="15" customHeight="1" x14ac:dyDescent="0.25">
      <c r="A1402" s="87" t="s">
        <v>33</v>
      </c>
      <c r="B1402" s="87" t="s">
        <v>221</v>
      </c>
      <c r="C1402" s="87">
        <v>1983</v>
      </c>
      <c r="D1402" s="87" t="s">
        <v>18</v>
      </c>
      <c r="E1402" s="116">
        <v>6795.6154421331294</v>
      </c>
      <c r="F1402" s="87" t="s">
        <v>967</v>
      </c>
      <c r="G1402" s="87" t="s">
        <v>272</v>
      </c>
      <c r="H1402" s="87" t="s">
        <v>967</v>
      </c>
      <c r="I1402" s="87">
        <v>28</v>
      </c>
    </row>
    <row r="1403" spans="1:9" ht="15" customHeight="1" x14ac:dyDescent="0.25">
      <c r="A1403" s="87" t="s">
        <v>33</v>
      </c>
      <c r="B1403" s="87" t="s">
        <v>221</v>
      </c>
      <c r="C1403" s="87">
        <v>1984</v>
      </c>
      <c r="D1403" s="87" t="s">
        <v>18</v>
      </c>
      <c r="E1403" s="116">
        <v>4826.2800525873326</v>
      </c>
      <c r="F1403" s="87" t="s">
        <v>967</v>
      </c>
      <c r="G1403" s="87" t="s">
        <v>272</v>
      </c>
      <c r="H1403" s="87" t="s">
        <v>967</v>
      </c>
      <c r="I1403" s="87">
        <v>28</v>
      </c>
    </row>
    <row r="1404" spans="1:9" ht="15" customHeight="1" x14ac:dyDescent="0.25">
      <c r="A1404" s="87" t="s">
        <v>33</v>
      </c>
      <c r="B1404" s="87" t="s">
        <v>221</v>
      </c>
      <c r="C1404" s="87">
        <v>1985</v>
      </c>
      <c r="D1404" s="87" t="s">
        <v>18</v>
      </c>
      <c r="E1404" s="116">
        <v>5156.2323955272295</v>
      </c>
      <c r="F1404" s="87" t="s">
        <v>967</v>
      </c>
      <c r="G1404" s="87" t="s">
        <v>272</v>
      </c>
      <c r="H1404" s="87" t="s">
        <v>967</v>
      </c>
      <c r="I1404" s="87">
        <v>28</v>
      </c>
    </row>
    <row r="1405" spans="1:9" ht="15" customHeight="1" x14ac:dyDescent="0.25">
      <c r="A1405" s="87" t="s">
        <v>33</v>
      </c>
      <c r="B1405" s="87" t="s">
        <v>221</v>
      </c>
      <c r="C1405" s="87">
        <v>1986</v>
      </c>
      <c r="D1405" s="87" t="s">
        <v>18</v>
      </c>
      <c r="E1405" s="116">
        <v>8421.4125418265558</v>
      </c>
      <c r="F1405" s="87" t="s">
        <v>967</v>
      </c>
      <c r="G1405" s="87" t="s">
        <v>272</v>
      </c>
      <c r="H1405" s="87" t="s">
        <v>967</v>
      </c>
      <c r="I1405" s="87">
        <v>28</v>
      </c>
    </row>
    <row r="1406" spans="1:9" ht="15" customHeight="1" x14ac:dyDescent="0.25">
      <c r="A1406" s="87" t="s">
        <v>33</v>
      </c>
      <c r="B1406" s="87" t="s">
        <v>221</v>
      </c>
      <c r="C1406" s="87">
        <v>1987</v>
      </c>
      <c r="D1406" s="87" t="s">
        <v>18</v>
      </c>
      <c r="E1406" s="116">
        <v>10036.934761628918</v>
      </c>
      <c r="F1406" s="87" t="s">
        <v>967</v>
      </c>
      <c r="G1406" s="87" t="s">
        <v>272</v>
      </c>
      <c r="H1406" s="87" t="s">
        <v>967</v>
      </c>
      <c r="I1406" s="87">
        <v>28</v>
      </c>
    </row>
    <row r="1407" spans="1:9" ht="15" customHeight="1" x14ac:dyDescent="0.25">
      <c r="A1407" s="87" t="s">
        <v>33</v>
      </c>
      <c r="B1407" s="87" t="s">
        <v>221</v>
      </c>
      <c r="C1407" s="87">
        <v>1988</v>
      </c>
      <c r="D1407" s="87" t="s">
        <v>18</v>
      </c>
      <c r="E1407" s="116">
        <v>9000.8228696970473</v>
      </c>
      <c r="F1407" s="87" t="s">
        <v>967</v>
      </c>
      <c r="G1407" s="87" t="s">
        <v>272</v>
      </c>
      <c r="H1407" s="87" t="s">
        <v>967</v>
      </c>
      <c r="I1407" s="87">
        <v>28</v>
      </c>
    </row>
    <row r="1408" spans="1:9" ht="15" customHeight="1" x14ac:dyDescent="0.25">
      <c r="A1408" s="87" t="s">
        <v>33</v>
      </c>
      <c r="B1408" s="87" t="s">
        <v>221</v>
      </c>
      <c r="C1408" s="87">
        <v>1989</v>
      </c>
      <c r="D1408" s="87" t="s">
        <v>18</v>
      </c>
      <c r="E1408" s="116">
        <v>3497.3256254231114</v>
      </c>
      <c r="F1408" s="87" t="s">
        <v>967</v>
      </c>
      <c r="G1408" s="87" t="s">
        <v>272</v>
      </c>
      <c r="H1408" s="87" t="s">
        <v>967</v>
      </c>
      <c r="I1408" s="87">
        <v>28</v>
      </c>
    </row>
    <row r="1409" spans="1:9" ht="15" customHeight="1" x14ac:dyDescent="0.25">
      <c r="A1409" s="87" t="s">
        <v>33</v>
      </c>
      <c r="B1409" s="87" t="s">
        <v>221</v>
      </c>
      <c r="C1409" s="87">
        <v>1990</v>
      </c>
      <c r="D1409" s="87" t="s">
        <v>18</v>
      </c>
      <c r="E1409" s="116">
        <v>7127.1620006159419</v>
      </c>
      <c r="F1409" s="87" t="s">
        <v>967</v>
      </c>
      <c r="G1409" s="87" t="s">
        <v>272</v>
      </c>
      <c r="H1409" s="87" t="s">
        <v>967</v>
      </c>
      <c r="I1409" s="87">
        <v>28</v>
      </c>
    </row>
    <row r="1410" spans="1:9" ht="15" customHeight="1" x14ac:dyDescent="0.25">
      <c r="A1410" s="87" t="s">
        <v>33</v>
      </c>
      <c r="B1410" s="87" t="s">
        <v>221</v>
      </c>
      <c r="C1410" s="87">
        <v>1991</v>
      </c>
      <c r="D1410" s="87" t="s">
        <v>18</v>
      </c>
      <c r="E1410" s="116">
        <v>8313.3740977256948</v>
      </c>
      <c r="F1410" s="87" t="s">
        <v>967</v>
      </c>
      <c r="G1410" s="87" t="s">
        <v>272</v>
      </c>
      <c r="H1410" s="87" t="s">
        <v>967</v>
      </c>
      <c r="I1410" s="87">
        <v>28</v>
      </c>
    </row>
    <row r="1411" spans="1:9" ht="15" customHeight="1" x14ac:dyDescent="0.25">
      <c r="A1411" s="87" t="s">
        <v>33</v>
      </c>
      <c r="B1411" s="87" t="s">
        <v>221</v>
      </c>
      <c r="C1411" s="87">
        <v>1992</v>
      </c>
      <c r="D1411" s="87" t="s">
        <v>18</v>
      </c>
      <c r="E1411" s="116">
        <v>12357.84129262898</v>
      </c>
      <c r="F1411" s="87" t="s">
        <v>967</v>
      </c>
      <c r="G1411" s="87" t="s">
        <v>272</v>
      </c>
      <c r="H1411" s="87" t="s">
        <v>967</v>
      </c>
      <c r="I1411" s="87">
        <v>28</v>
      </c>
    </row>
    <row r="1412" spans="1:9" ht="15" customHeight="1" x14ac:dyDescent="0.25">
      <c r="A1412" s="87" t="s">
        <v>33</v>
      </c>
      <c r="B1412" s="87" t="s">
        <v>221</v>
      </c>
      <c r="C1412" s="87">
        <v>1993</v>
      </c>
      <c r="D1412" s="87" t="s">
        <v>18</v>
      </c>
      <c r="E1412" s="116">
        <v>7168.432287944599</v>
      </c>
      <c r="F1412" s="87" t="s">
        <v>967</v>
      </c>
      <c r="G1412" s="87" t="s">
        <v>272</v>
      </c>
      <c r="H1412" s="87" t="s">
        <v>967</v>
      </c>
      <c r="I1412" s="87">
        <v>28</v>
      </c>
    </row>
    <row r="1413" spans="1:9" ht="15" customHeight="1" x14ac:dyDescent="0.25">
      <c r="A1413" s="87" t="s">
        <v>33</v>
      </c>
      <c r="B1413" s="87" t="s">
        <v>221</v>
      </c>
      <c r="C1413" s="87">
        <v>1994</v>
      </c>
      <c r="D1413" s="87" t="s">
        <v>18</v>
      </c>
      <c r="E1413" s="116">
        <v>6430.8179517910394</v>
      </c>
      <c r="F1413" s="87" t="s">
        <v>967</v>
      </c>
      <c r="G1413" s="87" t="s">
        <v>272</v>
      </c>
      <c r="H1413" s="87" t="s">
        <v>967</v>
      </c>
      <c r="I1413" s="87">
        <v>28</v>
      </c>
    </row>
    <row r="1414" spans="1:9" ht="15" customHeight="1" x14ac:dyDescent="0.25">
      <c r="A1414" s="87" t="s">
        <v>33</v>
      </c>
      <c r="B1414" s="87" t="s">
        <v>221</v>
      </c>
      <c r="C1414" s="87">
        <v>1995</v>
      </c>
      <c r="D1414" s="87" t="s">
        <v>18</v>
      </c>
      <c r="E1414" s="116">
        <v>11602.577040346574</v>
      </c>
      <c r="F1414" s="87" t="s">
        <v>967</v>
      </c>
      <c r="G1414" s="87" t="s">
        <v>272</v>
      </c>
      <c r="H1414" s="87" t="s">
        <v>967</v>
      </c>
      <c r="I1414" s="87">
        <v>28</v>
      </c>
    </row>
    <row r="1415" spans="1:9" ht="15" customHeight="1" x14ac:dyDescent="0.25">
      <c r="A1415" s="87" t="s">
        <v>33</v>
      </c>
      <c r="B1415" s="87" t="s">
        <v>221</v>
      </c>
      <c r="C1415" s="87">
        <v>1996</v>
      </c>
      <c r="D1415" s="87" t="s">
        <v>18</v>
      </c>
      <c r="E1415" s="116">
        <v>18543.121611770104</v>
      </c>
      <c r="F1415" s="87" t="s">
        <v>967</v>
      </c>
      <c r="G1415" s="87" t="s">
        <v>272</v>
      </c>
      <c r="H1415" s="87" t="s">
        <v>967</v>
      </c>
      <c r="I1415" s="87">
        <v>28</v>
      </c>
    </row>
    <row r="1416" spans="1:9" ht="15" customHeight="1" x14ac:dyDescent="0.25">
      <c r="A1416" s="87" t="s">
        <v>33</v>
      </c>
      <c r="B1416" s="87" t="s">
        <v>221</v>
      </c>
      <c r="C1416" s="87">
        <v>1997</v>
      </c>
      <c r="D1416" s="87" t="s">
        <v>18</v>
      </c>
      <c r="E1416" s="116">
        <v>17774.665333490073</v>
      </c>
      <c r="F1416" s="87" t="s">
        <v>967</v>
      </c>
      <c r="G1416" s="87" t="s">
        <v>272</v>
      </c>
      <c r="H1416" s="87" t="s">
        <v>967</v>
      </c>
      <c r="I1416" s="87">
        <v>28</v>
      </c>
    </row>
    <row r="1417" spans="1:9" ht="15" customHeight="1" x14ac:dyDescent="0.25">
      <c r="A1417" s="87" t="s">
        <v>33</v>
      </c>
      <c r="B1417" s="87" t="s">
        <v>221</v>
      </c>
      <c r="C1417" s="87">
        <v>1998</v>
      </c>
      <c r="D1417" s="87" t="s">
        <v>18</v>
      </c>
      <c r="E1417" s="116">
        <v>15952.177823879336</v>
      </c>
      <c r="F1417" s="87" t="s">
        <v>967</v>
      </c>
      <c r="G1417" s="87" t="s">
        <v>272</v>
      </c>
      <c r="H1417" s="87" t="s">
        <v>967</v>
      </c>
      <c r="I1417" s="87">
        <v>28</v>
      </c>
    </row>
    <row r="1418" spans="1:9" ht="15" customHeight="1" x14ac:dyDescent="0.25">
      <c r="A1418" s="87" t="s">
        <v>33</v>
      </c>
      <c r="B1418" s="87" t="s">
        <v>221</v>
      </c>
      <c r="C1418" s="87">
        <v>1999</v>
      </c>
      <c r="D1418" s="87" t="s">
        <v>18</v>
      </c>
      <c r="E1418" s="116">
        <v>9950.9951635797024</v>
      </c>
      <c r="F1418" s="87" t="s">
        <v>967</v>
      </c>
      <c r="G1418" s="87" t="s">
        <v>272</v>
      </c>
      <c r="H1418" s="87" t="s">
        <v>967</v>
      </c>
      <c r="I1418" s="87">
        <v>28</v>
      </c>
    </row>
    <row r="1419" spans="1:9" ht="15" customHeight="1" x14ac:dyDescent="0.25">
      <c r="A1419" s="87" t="s">
        <v>33</v>
      </c>
      <c r="B1419" s="87" t="s">
        <v>221</v>
      </c>
      <c r="C1419" s="87">
        <v>2000</v>
      </c>
      <c r="D1419" s="87" t="s">
        <v>18</v>
      </c>
      <c r="E1419" s="116">
        <v>10220.553451266927</v>
      </c>
      <c r="F1419" s="87" t="s">
        <v>967</v>
      </c>
      <c r="G1419" s="87" t="s">
        <v>272</v>
      </c>
      <c r="H1419" s="87" t="s">
        <v>967</v>
      </c>
      <c r="I1419" s="87">
        <v>28</v>
      </c>
    </row>
    <row r="1420" spans="1:9" ht="15" customHeight="1" x14ac:dyDescent="0.25">
      <c r="A1420" s="87" t="s">
        <v>33</v>
      </c>
      <c r="B1420" s="87" t="s">
        <v>221</v>
      </c>
      <c r="C1420" s="87">
        <v>2001</v>
      </c>
      <c r="D1420" s="87" t="s">
        <v>18</v>
      </c>
      <c r="E1420" s="116">
        <v>12062.102313296544</v>
      </c>
      <c r="F1420" s="87" t="s">
        <v>967</v>
      </c>
      <c r="G1420" s="87" t="s">
        <v>272</v>
      </c>
      <c r="H1420" s="87" t="s">
        <v>967</v>
      </c>
      <c r="I1420" s="87">
        <v>28</v>
      </c>
    </row>
    <row r="1421" spans="1:9" ht="15" customHeight="1" x14ac:dyDescent="0.25">
      <c r="A1421" s="87" t="s">
        <v>33</v>
      </c>
      <c r="B1421" s="87" t="s">
        <v>221</v>
      </c>
      <c r="C1421" s="87">
        <v>2002</v>
      </c>
      <c r="D1421" s="87" t="s">
        <v>18</v>
      </c>
      <c r="E1421" s="116">
        <v>12207.329581974198</v>
      </c>
      <c r="F1421" s="87" t="s">
        <v>967</v>
      </c>
      <c r="G1421" s="87" t="s">
        <v>272</v>
      </c>
      <c r="H1421" s="87" t="s">
        <v>967</v>
      </c>
      <c r="I1421" s="87">
        <v>28</v>
      </c>
    </row>
    <row r="1422" spans="1:9" ht="15" customHeight="1" x14ac:dyDescent="0.25">
      <c r="A1422" s="87" t="s">
        <v>33</v>
      </c>
      <c r="B1422" s="87" t="s">
        <v>221</v>
      </c>
      <c r="C1422" s="87">
        <v>2003</v>
      </c>
      <c r="D1422" s="87" t="s">
        <v>18</v>
      </c>
      <c r="E1422" s="116">
        <v>23406.667025882842</v>
      </c>
      <c r="F1422" s="87" t="s">
        <v>967</v>
      </c>
      <c r="G1422" s="87" t="s">
        <v>272</v>
      </c>
      <c r="H1422" s="87" t="s">
        <v>967</v>
      </c>
      <c r="I1422" s="87">
        <v>28</v>
      </c>
    </row>
    <row r="1423" spans="1:9" ht="15" customHeight="1" x14ac:dyDescent="0.25">
      <c r="A1423" s="87" t="s">
        <v>33</v>
      </c>
      <c r="B1423" s="87" t="s">
        <v>221</v>
      </c>
      <c r="C1423" s="87">
        <v>2004</v>
      </c>
      <c r="D1423" s="87" t="s">
        <v>18</v>
      </c>
      <c r="E1423" s="116">
        <v>17790.507945602505</v>
      </c>
      <c r="F1423" s="87" t="s">
        <v>967</v>
      </c>
      <c r="G1423" s="87" t="s">
        <v>272</v>
      </c>
      <c r="H1423" s="87" t="s">
        <v>967</v>
      </c>
      <c r="I1423" s="87">
        <v>28</v>
      </c>
    </row>
    <row r="1424" spans="1:9" ht="15" customHeight="1" x14ac:dyDescent="0.25">
      <c r="A1424" s="87" t="s">
        <v>33</v>
      </c>
      <c r="B1424" s="87" t="s">
        <v>221</v>
      </c>
      <c r="C1424" s="87">
        <v>2005</v>
      </c>
      <c r="D1424" s="87" t="s">
        <v>18</v>
      </c>
      <c r="E1424" s="116">
        <v>8602.8156344052077</v>
      </c>
      <c r="F1424" s="87" t="s">
        <v>967</v>
      </c>
      <c r="G1424" s="87" t="s">
        <v>272</v>
      </c>
      <c r="H1424" s="87" t="s">
        <v>967</v>
      </c>
      <c r="I1424" s="87">
        <v>28</v>
      </c>
    </row>
    <row r="1425" spans="1:9" ht="15" customHeight="1" x14ac:dyDescent="0.25">
      <c r="A1425" s="87" t="s">
        <v>33</v>
      </c>
      <c r="B1425" s="87" t="s">
        <v>221</v>
      </c>
      <c r="C1425" s="87">
        <v>2006</v>
      </c>
      <c r="D1425" s="87" t="s">
        <v>18</v>
      </c>
      <c r="E1425" s="116">
        <v>5924.3499920078057</v>
      </c>
      <c r="F1425" s="87" t="s">
        <v>967</v>
      </c>
      <c r="G1425" s="87" t="s">
        <v>272</v>
      </c>
      <c r="H1425" s="87" t="s">
        <v>967</v>
      </c>
      <c r="I1425" s="87">
        <v>28</v>
      </c>
    </row>
    <row r="1426" spans="1:9" ht="15" customHeight="1" x14ac:dyDescent="0.25">
      <c r="A1426" s="87" t="s">
        <v>33</v>
      </c>
      <c r="B1426" s="87" t="s">
        <v>221</v>
      </c>
      <c r="C1426" s="87">
        <v>2007</v>
      </c>
      <c r="D1426" s="87" t="s">
        <v>18</v>
      </c>
      <c r="E1426" s="116">
        <v>5008.9515815796549</v>
      </c>
      <c r="F1426" s="87" t="s">
        <v>967</v>
      </c>
      <c r="G1426" s="87" t="s">
        <v>272</v>
      </c>
      <c r="H1426" s="87" t="s">
        <v>967</v>
      </c>
      <c r="I1426" s="87">
        <v>28</v>
      </c>
    </row>
    <row r="1427" spans="1:9" ht="15" customHeight="1" x14ac:dyDescent="0.25">
      <c r="A1427" s="87" t="s">
        <v>33</v>
      </c>
      <c r="B1427" s="87" t="s">
        <v>221</v>
      </c>
      <c r="C1427" s="87">
        <v>2008</v>
      </c>
      <c r="D1427" s="87" t="s">
        <v>18</v>
      </c>
      <c r="E1427" s="116">
        <v>5907.9524914131198</v>
      </c>
      <c r="F1427" s="87" t="s">
        <v>967</v>
      </c>
      <c r="G1427" s="87" t="s">
        <v>272</v>
      </c>
      <c r="H1427" s="87" t="s">
        <v>967</v>
      </c>
      <c r="I1427" s="87">
        <v>28</v>
      </c>
    </row>
    <row r="1428" spans="1:9" ht="15" customHeight="1" x14ac:dyDescent="0.25">
      <c r="A1428" s="87" t="s">
        <v>33</v>
      </c>
      <c r="B1428" s="87" t="s">
        <v>221</v>
      </c>
      <c r="C1428" s="87">
        <v>2009</v>
      </c>
      <c r="D1428" s="87" t="s">
        <v>18</v>
      </c>
      <c r="E1428" s="116">
        <v>9708.0886386865441</v>
      </c>
      <c r="F1428" s="87" t="s">
        <v>967</v>
      </c>
      <c r="G1428" s="87" t="s">
        <v>272</v>
      </c>
      <c r="H1428" s="87" t="s">
        <v>967</v>
      </c>
      <c r="I1428" s="87">
        <v>28</v>
      </c>
    </row>
    <row r="1429" spans="1:9" ht="15" customHeight="1" x14ac:dyDescent="0.25">
      <c r="A1429" s="87" t="s">
        <v>33</v>
      </c>
      <c r="B1429" s="87" t="s">
        <v>221</v>
      </c>
      <c r="C1429" s="87">
        <v>2010</v>
      </c>
      <c r="D1429" s="87" t="s">
        <v>18</v>
      </c>
      <c r="E1429" s="116">
        <v>7490</v>
      </c>
      <c r="F1429" s="87" t="s">
        <v>967</v>
      </c>
      <c r="G1429" s="87" t="s">
        <v>273</v>
      </c>
      <c r="H1429" s="87" t="s">
        <v>967</v>
      </c>
      <c r="I1429" s="87">
        <v>28</v>
      </c>
    </row>
    <row r="1430" spans="1:9" ht="15" customHeight="1" x14ac:dyDescent="0.25">
      <c r="A1430" s="87" t="s">
        <v>33</v>
      </c>
      <c r="B1430" s="87" t="s">
        <v>221</v>
      </c>
      <c r="C1430" s="87">
        <v>2011</v>
      </c>
      <c r="D1430" s="87" t="s">
        <v>18</v>
      </c>
      <c r="E1430" s="116">
        <v>8396</v>
      </c>
      <c r="F1430" s="87" t="s">
        <v>967</v>
      </c>
      <c r="G1430" s="87" t="s">
        <v>273</v>
      </c>
      <c r="H1430" s="87" t="s">
        <v>967</v>
      </c>
      <c r="I1430" s="87">
        <v>28</v>
      </c>
    </row>
    <row r="1431" spans="1:9" ht="15" customHeight="1" x14ac:dyDescent="0.25">
      <c r="A1431" s="87" t="s">
        <v>33</v>
      </c>
      <c r="B1431" s="87" t="s">
        <v>221</v>
      </c>
      <c r="C1431" s="87">
        <v>2012</v>
      </c>
      <c r="D1431" s="87" t="s">
        <v>18</v>
      </c>
      <c r="E1431" s="116">
        <v>4255</v>
      </c>
      <c r="F1431" s="87" t="s">
        <v>967</v>
      </c>
      <c r="G1431" s="87" t="s">
        <v>273</v>
      </c>
      <c r="H1431" s="87" t="s">
        <v>967</v>
      </c>
      <c r="I1431" s="87">
        <v>28</v>
      </c>
    </row>
    <row r="1432" spans="1:9" ht="15" customHeight="1" x14ac:dyDescent="0.25">
      <c r="A1432" s="87" t="s">
        <v>33</v>
      </c>
      <c r="B1432" s="87" t="s">
        <v>221</v>
      </c>
      <c r="C1432" s="87">
        <v>2013</v>
      </c>
      <c r="D1432" s="87" t="s">
        <v>18</v>
      </c>
      <c r="E1432" s="116">
        <v>4200</v>
      </c>
      <c r="F1432" s="87" t="s">
        <v>967</v>
      </c>
      <c r="G1432" s="87" t="s">
        <v>273</v>
      </c>
      <c r="H1432" s="87" t="s">
        <v>967</v>
      </c>
      <c r="I1432" s="87">
        <v>28</v>
      </c>
    </row>
    <row r="1433" spans="1:9" ht="15" customHeight="1" x14ac:dyDescent="0.25">
      <c r="A1433" s="87" t="s">
        <v>33</v>
      </c>
      <c r="B1433" s="87" t="s">
        <v>221</v>
      </c>
      <c r="C1433" s="87">
        <v>2014</v>
      </c>
      <c r="D1433" s="87" t="s">
        <v>18</v>
      </c>
      <c r="E1433" s="116">
        <v>13246</v>
      </c>
      <c r="F1433" s="87" t="s">
        <v>967</v>
      </c>
      <c r="G1433" s="87" t="s">
        <v>273</v>
      </c>
      <c r="H1433" s="87" t="s">
        <v>967</v>
      </c>
      <c r="I1433" s="87">
        <v>28</v>
      </c>
    </row>
    <row r="1434" spans="1:9" ht="15" customHeight="1" x14ac:dyDescent="0.25">
      <c r="A1434" s="87" t="s">
        <v>33</v>
      </c>
      <c r="B1434" s="87" t="s">
        <v>221</v>
      </c>
      <c r="C1434" s="87">
        <v>2015</v>
      </c>
      <c r="D1434" s="87" t="s">
        <v>18</v>
      </c>
      <c r="E1434" s="116">
        <v>10921</v>
      </c>
      <c r="F1434" s="87" t="s">
        <v>967</v>
      </c>
      <c r="G1434" s="87" t="s">
        <v>273</v>
      </c>
      <c r="H1434" s="87" t="s">
        <v>967</v>
      </c>
      <c r="I1434" s="87">
        <v>28</v>
      </c>
    </row>
    <row r="1435" spans="1:9" ht="15" customHeight="1" x14ac:dyDescent="0.25">
      <c r="A1435" s="87" t="s">
        <v>33</v>
      </c>
      <c r="B1435" s="87" t="s">
        <v>221</v>
      </c>
      <c r="C1435" s="87">
        <v>2016</v>
      </c>
      <c r="D1435" s="87" t="s">
        <v>18</v>
      </c>
      <c r="E1435" s="116">
        <v>4123</v>
      </c>
      <c r="F1435" s="87" t="s">
        <v>967</v>
      </c>
      <c r="G1435" s="87" t="s">
        <v>273</v>
      </c>
      <c r="H1435" s="87" t="s">
        <v>967</v>
      </c>
      <c r="I1435" s="87">
        <v>28</v>
      </c>
    </row>
    <row r="1436" spans="1:9" ht="15" customHeight="1" x14ac:dyDescent="0.25">
      <c r="A1436" s="87" t="s">
        <v>33</v>
      </c>
      <c r="B1436" s="87" t="s">
        <v>221</v>
      </c>
      <c r="C1436" s="87">
        <v>2017</v>
      </c>
      <c r="D1436" s="87" t="s">
        <v>18</v>
      </c>
      <c r="E1436" s="116">
        <v>3591</v>
      </c>
      <c r="F1436" s="87" t="s">
        <v>967</v>
      </c>
      <c r="G1436" s="87" t="s">
        <v>273</v>
      </c>
      <c r="H1436" s="87" t="s">
        <v>967</v>
      </c>
      <c r="I1436" s="87">
        <v>28</v>
      </c>
    </row>
    <row r="1437" spans="1:9" ht="15" customHeight="1" x14ac:dyDescent="0.25">
      <c r="A1437" s="87" t="s">
        <v>33</v>
      </c>
      <c r="B1437" s="87" t="s">
        <v>221</v>
      </c>
      <c r="C1437" s="87">
        <v>2018</v>
      </c>
      <c r="D1437" s="87" t="s">
        <v>18</v>
      </c>
      <c r="E1437" s="116">
        <v>2191</v>
      </c>
      <c r="F1437" s="87" t="s">
        <v>967</v>
      </c>
      <c r="G1437" s="87" t="s">
        <v>273</v>
      </c>
      <c r="H1437" s="87" t="s">
        <v>967</v>
      </c>
      <c r="I1437" s="87">
        <v>28</v>
      </c>
    </row>
    <row r="1438" spans="1:9" ht="15" customHeight="1" x14ac:dyDescent="0.25">
      <c r="A1438" s="87" t="s">
        <v>33</v>
      </c>
      <c r="B1438" s="87" t="s">
        <v>221</v>
      </c>
      <c r="C1438" s="87">
        <v>2019</v>
      </c>
      <c r="D1438" s="87" t="s">
        <v>18</v>
      </c>
      <c r="E1438" s="116">
        <v>2529.5202137755682</v>
      </c>
      <c r="F1438" s="87" t="s">
        <v>967</v>
      </c>
      <c r="G1438" s="87" t="s">
        <v>272</v>
      </c>
      <c r="H1438" s="87" t="s">
        <v>967</v>
      </c>
      <c r="I1438" s="87">
        <v>28</v>
      </c>
    </row>
    <row r="1439" spans="1:9" ht="15" customHeight="1" x14ac:dyDescent="0.25">
      <c r="A1439" s="87" t="s">
        <v>33</v>
      </c>
      <c r="B1439" s="87" t="s">
        <v>221</v>
      </c>
      <c r="C1439" s="87">
        <v>2020</v>
      </c>
      <c r="D1439" s="87" t="s">
        <v>18</v>
      </c>
      <c r="E1439" s="116">
        <v>6195</v>
      </c>
      <c r="F1439" s="87" t="s">
        <v>967</v>
      </c>
      <c r="G1439" s="87" t="s">
        <v>273</v>
      </c>
      <c r="H1439" s="87" t="s">
        <v>967</v>
      </c>
      <c r="I1439" s="87">
        <v>28</v>
      </c>
    </row>
    <row r="1440" spans="1:9" ht="15" customHeight="1" x14ac:dyDescent="0.25">
      <c r="A1440" s="87" t="s">
        <v>33</v>
      </c>
      <c r="B1440" s="87" t="s">
        <v>221</v>
      </c>
      <c r="C1440" s="87">
        <v>2021</v>
      </c>
      <c r="D1440" s="87" t="s">
        <v>18</v>
      </c>
      <c r="E1440" s="116">
        <v>5271</v>
      </c>
      <c r="F1440" s="87" t="s">
        <v>967</v>
      </c>
      <c r="G1440" s="87" t="s">
        <v>273</v>
      </c>
      <c r="H1440" s="87" t="s">
        <v>967</v>
      </c>
      <c r="I1440" s="87">
        <v>28</v>
      </c>
    </row>
    <row r="1441" spans="1:9" ht="15" customHeight="1" x14ac:dyDescent="0.25">
      <c r="A1441" s="87" t="s">
        <v>33</v>
      </c>
      <c r="B1441" s="87" t="s">
        <v>221</v>
      </c>
      <c r="C1441" s="87">
        <v>2022</v>
      </c>
      <c r="D1441" s="87" t="s">
        <v>18</v>
      </c>
      <c r="E1441" s="116">
        <v>13532</v>
      </c>
      <c r="F1441" s="87" t="s">
        <v>967</v>
      </c>
      <c r="G1441" s="87" t="s">
        <v>273</v>
      </c>
      <c r="H1441" s="87" t="s">
        <v>967</v>
      </c>
      <c r="I1441" s="87">
        <v>28</v>
      </c>
    </row>
    <row r="1442" spans="1:9" ht="15" customHeight="1" x14ac:dyDescent="0.25">
      <c r="A1442" s="87" t="s">
        <v>33</v>
      </c>
      <c r="B1442" s="87" t="s">
        <v>314</v>
      </c>
      <c r="C1442" s="87">
        <v>1975</v>
      </c>
      <c r="D1442" s="87" t="s">
        <v>18</v>
      </c>
      <c r="E1442" s="116">
        <v>100</v>
      </c>
      <c r="F1442" s="87" t="s">
        <v>508</v>
      </c>
      <c r="G1442" s="87" t="s">
        <v>967</v>
      </c>
      <c r="H1442" s="87" t="s">
        <v>508</v>
      </c>
      <c r="I1442" s="87">
        <v>31</v>
      </c>
    </row>
    <row r="1443" spans="1:9" ht="15" customHeight="1" x14ac:dyDescent="0.25">
      <c r="A1443" s="87" t="s">
        <v>33</v>
      </c>
      <c r="B1443" s="87" t="s">
        <v>314</v>
      </c>
      <c r="C1443" s="87">
        <v>1976</v>
      </c>
      <c r="D1443" s="87" t="s">
        <v>18</v>
      </c>
      <c r="E1443" s="116">
        <v>350</v>
      </c>
      <c r="F1443" s="87" t="s">
        <v>508</v>
      </c>
      <c r="G1443" s="87" t="s">
        <v>967</v>
      </c>
      <c r="H1443" s="87" t="s">
        <v>508</v>
      </c>
      <c r="I1443" s="87">
        <v>31</v>
      </c>
    </row>
    <row r="1444" spans="1:9" ht="15" customHeight="1" x14ac:dyDescent="0.25">
      <c r="A1444" s="87" t="s">
        <v>33</v>
      </c>
      <c r="B1444" s="87" t="s">
        <v>314</v>
      </c>
      <c r="C1444" s="87">
        <v>1977</v>
      </c>
      <c r="D1444" s="87" t="s">
        <v>18</v>
      </c>
      <c r="E1444" s="116">
        <v>450</v>
      </c>
      <c r="F1444" s="87" t="s">
        <v>508</v>
      </c>
      <c r="G1444" s="87" t="s">
        <v>967</v>
      </c>
      <c r="H1444" s="87" t="s">
        <v>508</v>
      </c>
      <c r="I1444" s="87">
        <v>31</v>
      </c>
    </row>
    <row r="1445" spans="1:9" ht="15" customHeight="1" x14ac:dyDescent="0.25">
      <c r="A1445" s="87" t="s">
        <v>33</v>
      </c>
      <c r="B1445" s="87" t="s">
        <v>314</v>
      </c>
      <c r="C1445" s="87">
        <v>1978</v>
      </c>
      <c r="D1445" s="87" t="s">
        <v>18</v>
      </c>
      <c r="E1445" s="116">
        <v>350</v>
      </c>
      <c r="F1445" s="87" t="s">
        <v>508</v>
      </c>
      <c r="G1445" s="87" t="s">
        <v>967</v>
      </c>
      <c r="H1445" s="87" t="s">
        <v>508</v>
      </c>
      <c r="I1445" s="87">
        <v>31</v>
      </c>
    </row>
    <row r="1446" spans="1:9" ht="15" customHeight="1" x14ac:dyDescent="0.25">
      <c r="A1446" s="87" t="s">
        <v>33</v>
      </c>
      <c r="B1446" s="87" t="s">
        <v>314</v>
      </c>
      <c r="C1446" s="87">
        <v>1979</v>
      </c>
      <c r="D1446" s="87" t="s">
        <v>18</v>
      </c>
      <c r="E1446" s="116">
        <v>200</v>
      </c>
      <c r="F1446" s="87" t="s">
        <v>508</v>
      </c>
      <c r="G1446" s="87" t="s">
        <v>967</v>
      </c>
      <c r="H1446" s="87" t="s">
        <v>508</v>
      </c>
      <c r="I1446" s="87">
        <v>31</v>
      </c>
    </row>
    <row r="1447" spans="1:9" ht="15" customHeight="1" x14ac:dyDescent="0.25">
      <c r="A1447" s="87" t="s">
        <v>33</v>
      </c>
      <c r="B1447" s="87" t="s">
        <v>314</v>
      </c>
      <c r="C1447" s="87">
        <v>1980</v>
      </c>
      <c r="D1447" s="87" t="s">
        <v>18</v>
      </c>
      <c r="E1447" s="116">
        <v>250</v>
      </c>
      <c r="F1447" s="87" t="s">
        <v>508</v>
      </c>
      <c r="G1447" s="87" t="s">
        <v>967</v>
      </c>
      <c r="H1447" s="87" t="s">
        <v>508</v>
      </c>
      <c r="I1447" s="87">
        <v>31</v>
      </c>
    </row>
    <row r="1448" spans="1:9" ht="15" customHeight="1" x14ac:dyDescent="0.25">
      <c r="A1448" s="87" t="s">
        <v>33</v>
      </c>
      <c r="B1448" s="87" t="s">
        <v>314</v>
      </c>
      <c r="C1448" s="87">
        <v>1981</v>
      </c>
      <c r="D1448" s="87" t="s">
        <v>18</v>
      </c>
      <c r="E1448" s="116">
        <v>200</v>
      </c>
      <c r="F1448" s="87" t="s">
        <v>508</v>
      </c>
      <c r="G1448" s="87" t="s">
        <v>967</v>
      </c>
      <c r="H1448" s="87" t="s">
        <v>508</v>
      </c>
      <c r="I1448" s="87">
        <v>31</v>
      </c>
    </row>
    <row r="1449" spans="1:9" ht="15" customHeight="1" x14ac:dyDescent="0.25">
      <c r="A1449" s="87" t="s">
        <v>33</v>
      </c>
      <c r="B1449" s="87" t="s">
        <v>314</v>
      </c>
      <c r="C1449" s="87">
        <v>1982</v>
      </c>
      <c r="D1449" s="87" t="s">
        <v>18</v>
      </c>
      <c r="E1449" s="116">
        <v>-1</v>
      </c>
      <c r="F1449" s="87" t="s">
        <v>900</v>
      </c>
      <c r="G1449" s="87" t="s">
        <v>272</v>
      </c>
      <c r="H1449" s="87" t="s">
        <v>900</v>
      </c>
      <c r="I1449" s="87">
        <v>31</v>
      </c>
    </row>
    <row r="1450" spans="1:9" ht="15" customHeight="1" x14ac:dyDescent="0.25">
      <c r="A1450" s="87" t="s">
        <v>33</v>
      </c>
      <c r="B1450" s="87" t="s">
        <v>314</v>
      </c>
      <c r="C1450" s="87">
        <v>1983</v>
      </c>
      <c r="D1450" s="87" t="s">
        <v>18</v>
      </c>
      <c r="E1450" s="116">
        <v>-1</v>
      </c>
      <c r="F1450" s="87" t="s">
        <v>900</v>
      </c>
      <c r="G1450" s="87" t="s">
        <v>272</v>
      </c>
      <c r="H1450" s="87" t="s">
        <v>900</v>
      </c>
      <c r="I1450" s="87">
        <v>31</v>
      </c>
    </row>
    <row r="1451" spans="1:9" ht="15" customHeight="1" x14ac:dyDescent="0.25">
      <c r="A1451" s="87" t="s">
        <v>33</v>
      </c>
      <c r="B1451" s="87" t="s">
        <v>314</v>
      </c>
      <c r="C1451" s="87">
        <v>1984</v>
      </c>
      <c r="D1451" s="87" t="s">
        <v>18</v>
      </c>
      <c r="E1451" s="116">
        <v>300</v>
      </c>
      <c r="F1451" s="87" t="s">
        <v>508</v>
      </c>
      <c r="G1451" s="87" t="s">
        <v>967</v>
      </c>
      <c r="H1451" s="87" t="s">
        <v>508</v>
      </c>
      <c r="I1451" s="87">
        <v>31</v>
      </c>
    </row>
    <row r="1452" spans="1:9" ht="15" customHeight="1" x14ac:dyDescent="0.25">
      <c r="A1452" s="87" t="s">
        <v>33</v>
      </c>
      <c r="B1452" s="87" t="s">
        <v>314</v>
      </c>
      <c r="C1452" s="87">
        <v>1985</v>
      </c>
      <c r="D1452" s="87" t="s">
        <v>18</v>
      </c>
      <c r="E1452" s="116">
        <v>400</v>
      </c>
      <c r="F1452" s="87" t="s">
        <v>508</v>
      </c>
      <c r="G1452" s="87" t="s">
        <v>967</v>
      </c>
      <c r="H1452" s="87" t="s">
        <v>508</v>
      </c>
      <c r="I1452" s="87">
        <v>31</v>
      </c>
    </row>
    <row r="1453" spans="1:9" ht="15" customHeight="1" x14ac:dyDescent="0.25">
      <c r="A1453" s="87" t="s">
        <v>33</v>
      </c>
      <c r="B1453" s="87" t="s">
        <v>314</v>
      </c>
      <c r="C1453" s="87">
        <v>1986</v>
      </c>
      <c r="D1453" s="87" t="s">
        <v>18</v>
      </c>
      <c r="E1453" s="116">
        <v>400</v>
      </c>
      <c r="F1453" s="87" t="s">
        <v>508</v>
      </c>
      <c r="G1453" s="87" t="s">
        <v>967</v>
      </c>
      <c r="H1453" s="87" t="s">
        <v>508</v>
      </c>
      <c r="I1453" s="87">
        <v>31</v>
      </c>
    </row>
    <row r="1454" spans="1:9" ht="15" customHeight="1" x14ac:dyDescent="0.25">
      <c r="A1454" s="87" t="s">
        <v>33</v>
      </c>
      <c r="B1454" s="87" t="s">
        <v>314</v>
      </c>
      <c r="C1454" s="87">
        <v>1987</v>
      </c>
      <c r="D1454" s="87" t="s">
        <v>18</v>
      </c>
      <c r="E1454" s="116">
        <v>450</v>
      </c>
      <c r="F1454" s="87" t="s">
        <v>508</v>
      </c>
      <c r="G1454" s="87" t="s">
        <v>967</v>
      </c>
      <c r="H1454" s="87" t="s">
        <v>508</v>
      </c>
      <c r="I1454" s="87">
        <v>31</v>
      </c>
    </row>
    <row r="1455" spans="1:9" ht="15" customHeight="1" x14ac:dyDescent="0.25">
      <c r="A1455" s="87" t="s">
        <v>33</v>
      </c>
      <c r="B1455" s="87" t="s">
        <v>314</v>
      </c>
      <c r="C1455" s="87">
        <v>1988</v>
      </c>
      <c r="D1455" s="87" t="s">
        <v>18</v>
      </c>
      <c r="E1455" s="116">
        <v>300</v>
      </c>
      <c r="F1455" s="87" t="s">
        <v>508</v>
      </c>
      <c r="G1455" s="87" t="s">
        <v>967</v>
      </c>
      <c r="H1455" s="87" t="s">
        <v>508</v>
      </c>
      <c r="I1455" s="87">
        <v>31</v>
      </c>
    </row>
    <row r="1456" spans="1:9" ht="15" customHeight="1" x14ac:dyDescent="0.25">
      <c r="A1456" s="87" t="s">
        <v>33</v>
      </c>
      <c r="B1456" s="87" t="s">
        <v>314</v>
      </c>
      <c r="C1456" s="87">
        <v>1989</v>
      </c>
      <c r="D1456" s="87" t="s">
        <v>18</v>
      </c>
      <c r="E1456" s="116">
        <v>200</v>
      </c>
      <c r="F1456" s="87" t="s">
        <v>508</v>
      </c>
      <c r="G1456" s="87" t="s">
        <v>967</v>
      </c>
      <c r="H1456" s="87" t="s">
        <v>508</v>
      </c>
      <c r="I1456" s="87">
        <v>31</v>
      </c>
    </row>
    <row r="1457" spans="1:9" ht="15" customHeight="1" x14ac:dyDescent="0.25">
      <c r="A1457" s="87" t="s">
        <v>33</v>
      </c>
      <c r="B1457" s="87" t="s">
        <v>314</v>
      </c>
      <c r="C1457" s="87">
        <v>1990</v>
      </c>
      <c r="D1457" s="87" t="s">
        <v>18</v>
      </c>
      <c r="E1457" s="116">
        <v>250</v>
      </c>
      <c r="F1457" s="87" t="s">
        <v>508</v>
      </c>
      <c r="G1457" s="87" t="s">
        <v>967</v>
      </c>
      <c r="H1457" s="87" t="s">
        <v>508</v>
      </c>
      <c r="I1457" s="87">
        <v>31</v>
      </c>
    </row>
    <row r="1458" spans="1:9" ht="15" customHeight="1" x14ac:dyDescent="0.25">
      <c r="A1458" s="87" t="s">
        <v>33</v>
      </c>
      <c r="B1458" s="87" t="s">
        <v>314</v>
      </c>
      <c r="C1458" s="87">
        <v>1991</v>
      </c>
      <c r="D1458" s="87" t="s">
        <v>18</v>
      </c>
      <c r="E1458" s="116">
        <v>600</v>
      </c>
      <c r="F1458" s="87" t="s">
        <v>508</v>
      </c>
      <c r="G1458" s="87" t="s">
        <v>967</v>
      </c>
      <c r="H1458" s="87" t="s">
        <v>508</v>
      </c>
      <c r="I1458" s="87">
        <v>31</v>
      </c>
    </row>
    <row r="1459" spans="1:9" ht="15" customHeight="1" x14ac:dyDescent="0.25">
      <c r="A1459" s="87" t="s">
        <v>33</v>
      </c>
      <c r="B1459" s="87" t="s">
        <v>314</v>
      </c>
      <c r="C1459" s="87">
        <v>1992</v>
      </c>
      <c r="D1459" s="87" t="s">
        <v>18</v>
      </c>
      <c r="E1459" s="116">
        <v>540</v>
      </c>
      <c r="F1459" s="87" t="s">
        <v>508</v>
      </c>
      <c r="G1459" s="87" t="s">
        <v>967</v>
      </c>
      <c r="H1459" s="87" t="s">
        <v>508</v>
      </c>
      <c r="I1459" s="87">
        <v>31</v>
      </c>
    </row>
    <row r="1460" spans="1:9" ht="15" customHeight="1" x14ac:dyDescent="0.25">
      <c r="A1460" s="87" t="s">
        <v>33</v>
      </c>
      <c r="B1460" s="87" t="s">
        <v>314</v>
      </c>
      <c r="C1460" s="87">
        <v>1993</v>
      </c>
      <c r="D1460" s="87" t="s">
        <v>18</v>
      </c>
      <c r="E1460" s="116">
        <v>450</v>
      </c>
      <c r="F1460" s="87" t="s">
        <v>508</v>
      </c>
      <c r="G1460" s="87" t="s">
        <v>967</v>
      </c>
      <c r="H1460" s="87" t="s">
        <v>508</v>
      </c>
      <c r="I1460" s="87">
        <v>31</v>
      </c>
    </row>
    <row r="1461" spans="1:9" ht="15" customHeight="1" x14ac:dyDescent="0.25">
      <c r="A1461" s="87" t="s">
        <v>33</v>
      </c>
      <c r="B1461" s="87" t="s">
        <v>314</v>
      </c>
      <c r="C1461" s="87">
        <v>1994</v>
      </c>
      <c r="D1461" s="87" t="s">
        <v>18</v>
      </c>
      <c r="E1461" s="116">
        <v>508</v>
      </c>
      <c r="F1461" s="87" t="s">
        <v>508</v>
      </c>
      <c r="G1461" s="87" t="s">
        <v>967</v>
      </c>
      <c r="H1461" s="87" t="s">
        <v>508</v>
      </c>
      <c r="I1461" s="87">
        <v>31</v>
      </c>
    </row>
    <row r="1462" spans="1:9" ht="15" customHeight="1" x14ac:dyDescent="0.25">
      <c r="A1462" s="87" t="s">
        <v>33</v>
      </c>
      <c r="B1462" s="87" t="s">
        <v>314</v>
      </c>
      <c r="C1462" s="87">
        <v>1995</v>
      </c>
      <c r="D1462" s="87" t="s">
        <v>18</v>
      </c>
      <c r="E1462" s="116">
        <v>786</v>
      </c>
      <c r="F1462" s="87" t="s">
        <v>967</v>
      </c>
      <c r="G1462" s="87" t="s">
        <v>967</v>
      </c>
      <c r="H1462" s="87" t="s">
        <v>633</v>
      </c>
      <c r="I1462" s="87">
        <v>31</v>
      </c>
    </row>
    <row r="1463" spans="1:9" ht="15" customHeight="1" x14ac:dyDescent="0.25">
      <c r="A1463" s="87" t="s">
        <v>33</v>
      </c>
      <c r="B1463" s="87" t="s">
        <v>314</v>
      </c>
      <c r="C1463" s="87">
        <v>1996</v>
      </c>
      <c r="D1463" s="87" t="s">
        <v>18</v>
      </c>
      <c r="E1463" s="116">
        <v>1250</v>
      </c>
      <c r="F1463" s="87" t="s">
        <v>967</v>
      </c>
      <c r="G1463" s="87" t="s">
        <v>967</v>
      </c>
      <c r="H1463" s="87" t="s">
        <v>633</v>
      </c>
      <c r="I1463" s="87">
        <v>31</v>
      </c>
    </row>
    <row r="1464" spans="1:9" ht="15" customHeight="1" x14ac:dyDescent="0.25">
      <c r="A1464" s="87" t="s">
        <v>33</v>
      </c>
      <c r="B1464" s="87" t="s">
        <v>314</v>
      </c>
      <c r="C1464" s="87">
        <v>1997</v>
      </c>
      <c r="D1464" s="87" t="s">
        <v>18</v>
      </c>
      <c r="E1464" s="116">
        <v>806</v>
      </c>
      <c r="F1464" s="87" t="s">
        <v>967</v>
      </c>
      <c r="G1464" s="87" t="s">
        <v>967</v>
      </c>
      <c r="H1464" s="87" t="s">
        <v>633</v>
      </c>
      <c r="I1464" s="87">
        <v>31</v>
      </c>
    </row>
    <row r="1465" spans="1:9" ht="15" customHeight="1" x14ac:dyDescent="0.25">
      <c r="A1465" s="87" t="s">
        <v>33</v>
      </c>
      <c r="B1465" s="87" t="s">
        <v>314</v>
      </c>
      <c r="C1465" s="87">
        <v>1998</v>
      </c>
      <c r="D1465" s="87" t="s">
        <v>18</v>
      </c>
      <c r="E1465" s="116">
        <v>651</v>
      </c>
      <c r="F1465" s="87" t="s">
        <v>634</v>
      </c>
      <c r="G1465" s="87" t="s">
        <v>272</v>
      </c>
      <c r="H1465" s="87" t="s">
        <v>967</v>
      </c>
      <c r="I1465" s="87">
        <v>31</v>
      </c>
    </row>
    <row r="1466" spans="1:9" ht="15" customHeight="1" x14ac:dyDescent="0.25">
      <c r="A1466" s="87" t="s">
        <v>33</v>
      </c>
      <c r="B1466" s="87" t="s">
        <v>314</v>
      </c>
      <c r="C1466" s="87">
        <v>1999</v>
      </c>
      <c r="D1466" s="87" t="s">
        <v>18</v>
      </c>
      <c r="E1466" s="116">
        <v>417</v>
      </c>
      <c r="F1466" s="87" t="s">
        <v>634</v>
      </c>
      <c r="G1466" s="87" t="s">
        <v>272</v>
      </c>
      <c r="H1466" s="87" t="s">
        <v>967</v>
      </c>
      <c r="I1466" s="87">
        <v>31</v>
      </c>
    </row>
    <row r="1467" spans="1:9" ht="15" customHeight="1" x14ac:dyDescent="0.25">
      <c r="A1467" s="87" t="s">
        <v>33</v>
      </c>
      <c r="B1467" s="87" t="s">
        <v>314</v>
      </c>
      <c r="C1467" s="87">
        <v>2000</v>
      </c>
      <c r="D1467" s="87" t="s">
        <v>18</v>
      </c>
      <c r="E1467" s="116">
        <v>493</v>
      </c>
      <c r="F1467" s="87" t="s">
        <v>908</v>
      </c>
      <c r="G1467" s="87" t="s">
        <v>967</v>
      </c>
      <c r="H1467" s="87" t="s">
        <v>929</v>
      </c>
      <c r="I1467" s="87">
        <v>31</v>
      </c>
    </row>
    <row r="1468" spans="1:9" ht="15" customHeight="1" x14ac:dyDescent="0.25">
      <c r="A1468" s="87" t="s">
        <v>33</v>
      </c>
      <c r="B1468" s="87" t="s">
        <v>314</v>
      </c>
      <c r="C1468" s="87">
        <v>2001</v>
      </c>
      <c r="D1468" s="87" t="s">
        <v>18</v>
      </c>
      <c r="E1468" s="116">
        <v>458</v>
      </c>
      <c r="F1468" s="87" t="s">
        <v>635</v>
      </c>
      <c r="G1468" s="87" t="s">
        <v>274</v>
      </c>
      <c r="H1468" s="87" t="s">
        <v>967</v>
      </c>
      <c r="I1468" s="87">
        <v>31</v>
      </c>
    </row>
    <row r="1469" spans="1:9" ht="15" customHeight="1" x14ac:dyDescent="0.25">
      <c r="A1469" s="87" t="s">
        <v>33</v>
      </c>
      <c r="B1469" s="87" t="s">
        <v>314</v>
      </c>
      <c r="C1469" s="87">
        <v>2002</v>
      </c>
      <c r="D1469" s="87" t="s">
        <v>18</v>
      </c>
      <c r="E1469" s="116">
        <v>420</v>
      </c>
      <c r="F1469" s="87" t="s">
        <v>635</v>
      </c>
      <c r="G1469" s="87" t="s">
        <v>272</v>
      </c>
      <c r="H1469" s="87" t="s">
        <v>967</v>
      </c>
      <c r="I1469" s="87">
        <v>31</v>
      </c>
    </row>
    <row r="1470" spans="1:9" ht="15" customHeight="1" x14ac:dyDescent="0.25">
      <c r="A1470" s="87" t="s">
        <v>33</v>
      </c>
      <c r="B1470" s="87" t="s">
        <v>314</v>
      </c>
      <c r="C1470" s="87">
        <v>2003</v>
      </c>
      <c r="D1470" s="87" t="s">
        <v>18</v>
      </c>
      <c r="E1470" s="116">
        <v>1038</v>
      </c>
      <c r="F1470" s="87" t="s">
        <v>635</v>
      </c>
      <c r="G1470" s="87" t="s">
        <v>272</v>
      </c>
      <c r="H1470" s="87" t="s">
        <v>967</v>
      </c>
      <c r="I1470" s="87">
        <v>31</v>
      </c>
    </row>
    <row r="1471" spans="1:9" ht="15" customHeight="1" x14ac:dyDescent="0.25">
      <c r="A1471" s="87" t="s">
        <v>33</v>
      </c>
      <c r="B1471" s="87" t="s">
        <v>314</v>
      </c>
      <c r="C1471" s="87">
        <v>2004</v>
      </c>
      <c r="D1471" s="87" t="s">
        <v>18</v>
      </c>
      <c r="E1471" s="116">
        <v>828</v>
      </c>
      <c r="F1471" s="87" t="s">
        <v>904</v>
      </c>
      <c r="G1471" s="87" t="s">
        <v>272</v>
      </c>
      <c r="H1471" s="87" t="s">
        <v>904</v>
      </c>
      <c r="I1471" s="87">
        <v>31</v>
      </c>
    </row>
    <row r="1472" spans="1:9" ht="15" customHeight="1" x14ac:dyDescent="0.25">
      <c r="A1472" s="87" t="s">
        <v>33</v>
      </c>
      <c r="B1472" s="87" t="s">
        <v>314</v>
      </c>
      <c r="C1472" s="87">
        <v>2005</v>
      </c>
      <c r="D1472" s="87" t="s">
        <v>18</v>
      </c>
      <c r="E1472" s="116">
        <v>-1</v>
      </c>
      <c r="F1472" s="87" t="s">
        <v>904</v>
      </c>
      <c r="G1472" s="87" t="s">
        <v>272</v>
      </c>
      <c r="H1472" s="87" t="s">
        <v>904</v>
      </c>
      <c r="I1472" s="87">
        <v>31</v>
      </c>
    </row>
    <row r="1473" spans="1:9" ht="15" customHeight="1" x14ac:dyDescent="0.25">
      <c r="A1473" s="87" t="s">
        <v>33</v>
      </c>
      <c r="B1473" s="87" t="s">
        <v>314</v>
      </c>
      <c r="C1473" s="87">
        <v>2006</v>
      </c>
      <c r="D1473" s="87" t="s">
        <v>18</v>
      </c>
      <c r="E1473" s="116">
        <v>-1</v>
      </c>
      <c r="F1473" s="87" t="s">
        <v>904</v>
      </c>
      <c r="G1473" s="87" t="s">
        <v>272</v>
      </c>
      <c r="H1473" s="87" t="s">
        <v>904</v>
      </c>
      <c r="I1473" s="87">
        <v>31</v>
      </c>
    </row>
    <row r="1474" spans="1:9" ht="15" customHeight="1" x14ac:dyDescent="0.25">
      <c r="A1474" s="87" t="s">
        <v>33</v>
      </c>
      <c r="B1474" s="87" t="s">
        <v>314</v>
      </c>
      <c r="C1474" s="87">
        <v>2007</v>
      </c>
      <c r="D1474" s="87" t="s">
        <v>18</v>
      </c>
      <c r="E1474" s="116">
        <v>-1</v>
      </c>
      <c r="F1474" s="87" t="s">
        <v>904</v>
      </c>
      <c r="G1474" s="87" t="s">
        <v>272</v>
      </c>
      <c r="H1474" s="87" t="s">
        <v>904</v>
      </c>
      <c r="I1474" s="87">
        <v>31</v>
      </c>
    </row>
    <row r="1475" spans="1:9" ht="15" customHeight="1" x14ac:dyDescent="0.25">
      <c r="A1475" s="87" t="s">
        <v>33</v>
      </c>
      <c r="B1475" s="87" t="s">
        <v>314</v>
      </c>
      <c r="C1475" s="87">
        <v>2008</v>
      </c>
      <c r="D1475" s="87" t="s">
        <v>18</v>
      </c>
      <c r="E1475" s="116">
        <v>-1</v>
      </c>
      <c r="F1475" s="87" t="s">
        <v>904</v>
      </c>
      <c r="G1475" s="87" t="s">
        <v>272</v>
      </c>
      <c r="H1475" s="87" t="s">
        <v>904</v>
      </c>
      <c r="I1475" s="87">
        <v>31</v>
      </c>
    </row>
    <row r="1476" spans="1:9" ht="15" customHeight="1" x14ac:dyDescent="0.25">
      <c r="A1476" s="87" t="s">
        <v>33</v>
      </c>
      <c r="B1476" s="87" t="s">
        <v>314</v>
      </c>
      <c r="C1476" s="87">
        <v>2009</v>
      </c>
      <c r="D1476" s="87" t="s">
        <v>18</v>
      </c>
      <c r="E1476" s="116">
        <v>-1</v>
      </c>
      <c r="F1476" s="87" t="s">
        <v>904</v>
      </c>
      <c r="G1476" s="87" t="s">
        <v>272</v>
      </c>
      <c r="H1476" s="87" t="s">
        <v>904</v>
      </c>
      <c r="I1476" s="87">
        <v>31</v>
      </c>
    </row>
    <row r="1477" spans="1:9" ht="15" customHeight="1" x14ac:dyDescent="0.25">
      <c r="A1477" s="87" t="s">
        <v>33</v>
      </c>
      <c r="B1477" s="87" t="s">
        <v>314</v>
      </c>
      <c r="C1477" s="87">
        <v>2010</v>
      </c>
      <c r="D1477" s="87" t="s">
        <v>18</v>
      </c>
      <c r="E1477" s="116">
        <v>1085</v>
      </c>
      <c r="F1477" s="87" t="s">
        <v>908</v>
      </c>
      <c r="G1477" s="87" t="s">
        <v>967</v>
      </c>
      <c r="H1477" s="87" t="s">
        <v>929</v>
      </c>
      <c r="I1477" s="87">
        <v>31</v>
      </c>
    </row>
    <row r="1478" spans="1:9" ht="15" customHeight="1" x14ac:dyDescent="0.25">
      <c r="A1478" s="87" t="s">
        <v>33</v>
      </c>
      <c r="B1478" s="87" t="s">
        <v>314</v>
      </c>
      <c r="C1478" s="87">
        <v>2011</v>
      </c>
      <c r="D1478" s="87" t="s">
        <v>18</v>
      </c>
      <c r="E1478" s="116">
        <v>-1</v>
      </c>
      <c r="F1478" s="87" t="s">
        <v>904</v>
      </c>
      <c r="G1478" s="87" t="s">
        <v>272</v>
      </c>
      <c r="H1478" s="87" t="s">
        <v>904</v>
      </c>
      <c r="I1478" s="87">
        <v>31</v>
      </c>
    </row>
    <row r="1479" spans="1:9" ht="15" customHeight="1" x14ac:dyDescent="0.25">
      <c r="A1479" s="87" t="s">
        <v>33</v>
      </c>
      <c r="B1479" s="87" t="s">
        <v>314</v>
      </c>
      <c r="C1479" s="87">
        <v>2012</v>
      </c>
      <c r="D1479" s="87" t="s">
        <v>18</v>
      </c>
      <c r="E1479" s="116">
        <v>-1</v>
      </c>
      <c r="F1479" s="87" t="s">
        <v>904</v>
      </c>
      <c r="G1479" s="87" t="s">
        <v>272</v>
      </c>
      <c r="H1479" s="87" t="s">
        <v>904</v>
      </c>
      <c r="I1479" s="87">
        <v>31</v>
      </c>
    </row>
    <row r="1480" spans="1:9" ht="15" customHeight="1" x14ac:dyDescent="0.25">
      <c r="A1480" s="87" t="s">
        <v>33</v>
      </c>
      <c r="B1480" s="87" t="s">
        <v>314</v>
      </c>
      <c r="C1480" s="87">
        <v>2013</v>
      </c>
      <c r="D1480" s="87" t="s">
        <v>18</v>
      </c>
      <c r="E1480" s="116">
        <v>-1</v>
      </c>
      <c r="F1480" s="87" t="s">
        <v>904</v>
      </c>
      <c r="G1480" s="87" t="s">
        <v>272</v>
      </c>
      <c r="H1480" s="87" t="s">
        <v>904</v>
      </c>
      <c r="I1480" s="87">
        <v>31</v>
      </c>
    </row>
    <row r="1481" spans="1:9" ht="15" customHeight="1" x14ac:dyDescent="0.25">
      <c r="A1481" s="87" t="s">
        <v>33</v>
      </c>
      <c r="B1481" s="87" t="s">
        <v>314</v>
      </c>
      <c r="C1481" s="87">
        <v>2014</v>
      </c>
      <c r="D1481" s="87" t="s">
        <v>18</v>
      </c>
      <c r="E1481" s="116">
        <v>-1</v>
      </c>
      <c r="F1481" s="87" t="s">
        <v>904</v>
      </c>
      <c r="G1481" s="87" t="s">
        <v>272</v>
      </c>
      <c r="H1481" s="87" t="s">
        <v>904</v>
      </c>
      <c r="I1481" s="87">
        <v>31</v>
      </c>
    </row>
    <row r="1482" spans="1:9" ht="15" customHeight="1" x14ac:dyDescent="0.25">
      <c r="A1482" s="87" t="s">
        <v>33</v>
      </c>
      <c r="B1482" s="87" t="s">
        <v>314</v>
      </c>
      <c r="C1482" s="87">
        <v>2015</v>
      </c>
      <c r="D1482" s="87" t="s">
        <v>18</v>
      </c>
      <c r="E1482" s="116">
        <v>1052</v>
      </c>
      <c r="F1482" s="87" t="s">
        <v>908</v>
      </c>
      <c r="G1482" s="87" t="s">
        <v>967</v>
      </c>
      <c r="H1482" s="87" t="s">
        <v>929</v>
      </c>
      <c r="I1482" s="87">
        <v>31</v>
      </c>
    </row>
    <row r="1483" spans="1:9" ht="15" customHeight="1" x14ac:dyDescent="0.25">
      <c r="A1483" s="87" t="s">
        <v>33</v>
      </c>
      <c r="B1483" s="87" t="s">
        <v>314</v>
      </c>
      <c r="C1483" s="87">
        <v>2016</v>
      </c>
      <c r="D1483" s="87" t="s">
        <v>18</v>
      </c>
      <c r="E1483" s="116">
        <v>205</v>
      </c>
      <c r="F1483" s="87" t="s">
        <v>908</v>
      </c>
      <c r="G1483" s="87" t="s">
        <v>967</v>
      </c>
      <c r="H1483" s="87" t="s">
        <v>929</v>
      </c>
      <c r="I1483" s="87">
        <v>31</v>
      </c>
    </row>
    <row r="1484" spans="1:9" ht="15" customHeight="1" x14ac:dyDescent="0.25">
      <c r="A1484" s="87" t="s">
        <v>33</v>
      </c>
      <c r="B1484" s="87" t="s">
        <v>314</v>
      </c>
      <c r="C1484" s="87">
        <v>2017</v>
      </c>
      <c r="D1484" s="87" t="s">
        <v>18</v>
      </c>
      <c r="E1484" s="116">
        <v>48</v>
      </c>
      <c r="F1484" s="87" t="s">
        <v>967</v>
      </c>
      <c r="G1484" s="87" t="s">
        <v>272</v>
      </c>
      <c r="H1484" s="87" t="s">
        <v>967</v>
      </c>
      <c r="I1484" s="87">
        <v>31</v>
      </c>
    </row>
    <row r="1485" spans="1:9" ht="15" customHeight="1" x14ac:dyDescent="0.25">
      <c r="A1485" s="87" t="s">
        <v>33</v>
      </c>
      <c r="B1485" s="87" t="s">
        <v>314</v>
      </c>
      <c r="C1485" s="87">
        <v>2018</v>
      </c>
      <c r="D1485" s="87" t="s">
        <v>18</v>
      </c>
      <c r="E1485" s="116">
        <v>94</v>
      </c>
      <c r="F1485" s="87" t="s">
        <v>967</v>
      </c>
      <c r="G1485" s="87" t="s">
        <v>272</v>
      </c>
      <c r="H1485" s="87" t="s">
        <v>967</v>
      </c>
      <c r="I1485" s="87">
        <v>31</v>
      </c>
    </row>
    <row r="1486" spans="1:9" ht="15" customHeight="1" x14ac:dyDescent="0.25">
      <c r="A1486" s="87" t="s">
        <v>33</v>
      </c>
      <c r="B1486" s="87" t="s">
        <v>314</v>
      </c>
      <c r="C1486" s="87">
        <v>2019</v>
      </c>
      <c r="D1486" s="87" t="s">
        <v>18</v>
      </c>
      <c r="E1486" s="116">
        <v>145</v>
      </c>
      <c r="F1486" s="87" t="s">
        <v>967</v>
      </c>
      <c r="G1486" s="87" t="s">
        <v>272</v>
      </c>
      <c r="H1486" s="87" t="s">
        <v>967</v>
      </c>
      <c r="I1486" s="87">
        <v>31</v>
      </c>
    </row>
    <row r="1487" spans="1:9" ht="15" customHeight="1" x14ac:dyDescent="0.25">
      <c r="A1487" s="87" t="s">
        <v>33</v>
      </c>
      <c r="B1487" s="87" t="s">
        <v>314</v>
      </c>
      <c r="C1487" s="87">
        <v>2020</v>
      </c>
      <c r="D1487" s="87" t="s">
        <v>18</v>
      </c>
      <c r="E1487" s="116">
        <v>485</v>
      </c>
      <c r="F1487" s="87" t="s">
        <v>967</v>
      </c>
      <c r="G1487" s="87" t="s">
        <v>272</v>
      </c>
      <c r="H1487" s="87" t="s">
        <v>967</v>
      </c>
      <c r="I1487" s="87">
        <v>31</v>
      </c>
    </row>
    <row r="1488" spans="1:9" ht="15" customHeight="1" x14ac:dyDescent="0.25">
      <c r="A1488" s="87" t="s">
        <v>33</v>
      </c>
      <c r="B1488" s="87" t="s">
        <v>314</v>
      </c>
      <c r="C1488" s="87">
        <v>2021</v>
      </c>
      <c r="D1488" s="87" t="s">
        <v>18</v>
      </c>
      <c r="E1488" s="116">
        <v>118</v>
      </c>
      <c r="F1488" s="87" t="s">
        <v>967</v>
      </c>
      <c r="G1488" s="87" t="s">
        <v>272</v>
      </c>
      <c r="H1488" s="87" t="s">
        <v>967</v>
      </c>
      <c r="I1488" s="87">
        <v>31</v>
      </c>
    </row>
    <row r="1489" spans="1:9" ht="15" customHeight="1" x14ac:dyDescent="0.25">
      <c r="A1489" s="87" t="s">
        <v>33</v>
      </c>
      <c r="B1489" s="87" t="s">
        <v>314</v>
      </c>
      <c r="C1489" s="87">
        <v>2022</v>
      </c>
      <c r="D1489" s="87" t="s">
        <v>18</v>
      </c>
      <c r="E1489" s="116">
        <v>402</v>
      </c>
      <c r="F1489" s="87" t="s">
        <v>967</v>
      </c>
      <c r="G1489" s="87" t="s">
        <v>272</v>
      </c>
      <c r="H1489" s="87" t="s">
        <v>967</v>
      </c>
      <c r="I1489" s="87">
        <v>31</v>
      </c>
    </row>
    <row r="1490" spans="1:9" ht="15" customHeight="1" x14ac:dyDescent="0.25">
      <c r="A1490" s="87" t="s">
        <v>33</v>
      </c>
      <c r="B1490" s="87" t="s">
        <v>315</v>
      </c>
      <c r="C1490" s="87">
        <v>1975</v>
      </c>
      <c r="D1490" s="87" t="s">
        <v>18</v>
      </c>
      <c r="E1490" s="116">
        <v>-1</v>
      </c>
      <c r="F1490" s="87" t="s">
        <v>508</v>
      </c>
      <c r="G1490" s="87" t="s">
        <v>967</v>
      </c>
      <c r="H1490" s="87" t="s">
        <v>508</v>
      </c>
      <c r="I1490" s="87">
        <v>74</v>
      </c>
    </row>
    <row r="1491" spans="1:9" ht="15" customHeight="1" x14ac:dyDescent="0.25">
      <c r="A1491" s="87" t="s">
        <v>33</v>
      </c>
      <c r="B1491" s="87" t="s">
        <v>315</v>
      </c>
      <c r="C1491" s="87">
        <v>1976</v>
      </c>
      <c r="D1491" s="87" t="s">
        <v>18</v>
      </c>
      <c r="E1491" s="116">
        <v>25</v>
      </c>
      <c r="F1491" s="87" t="s">
        <v>508</v>
      </c>
      <c r="G1491" s="87" t="s">
        <v>967</v>
      </c>
      <c r="H1491" s="87" t="s">
        <v>508</v>
      </c>
      <c r="I1491" s="87">
        <v>74</v>
      </c>
    </row>
    <row r="1492" spans="1:9" ht="15" customHeight="1" x14ac:dyDescent="0.25">
      <c r="A1492" s="87" t="s">
        <v>33</v>
      </c>
      <c r="B1492" s="87" t="s">
        <v>315</v>
      </c>
      <c r="C1492" s="87">
        <v>1977</v>
      </c>
      <c r="D1492" s="87" t="s">
        <v>18</v>
      </c>
      <c r="E1492" s="116">
        <v>25</v>
      </c>
      <c r="F1492" s="87" t="s">
        <v>508</v>
      </c>
      <c r="G1492" s="87" t="s">
        <v>967</v>
      </c>
      <c r="H1492" s="87" t="s">
        <v>508</v>
      </c>
      <c r="I1492" s="87">
        <v>74</v>
      </c>
    </row>
    <row r="1493" spans="1:9" ht="15" customHeight="1" x14ac:dyDescent="0.25">
      <c r="A1493" s="87" t="s">
        <v>33</v>
      </c>
      <c r="B1493" s="87" t="s">
        <v>315</v>
      </c>
      <c r="C1493" s="87">
        <v>1978</v>
      </c>
      <c r="D1493" s="87" t="s">
        <v>18</v>
      </c>
      <c r="E1493" s="116">
        <v>25</v>
      </c>
      <c r="F1493" s="87" t="s">
        <v>508</v>
      </c>
      <c r="G1493" s="87" t="s">
        <v>967</v>
      </c>
      <c r="H1493" s="87" t="s">
        <v>508</v>
      </c>
      <c r="I1493" s="87">
        <v>74</v>
      </c>
    </row>
    <row r="1494" spans="1:9" ht="15" customHeight="1" x14ac:dyDescent="0.25">
      <c r="A1494" s="87" t="s">
        <v>33</v>
      </c>
      <c r="B1494" s="87" t="s">
        <v>315</v>
      </c>
      <c r="C1494" s="87">
        <v>1979</v>
      </c>
      <c r="D1494" s="87" t="s">
        <v>18</v>
      </c>
      <c r="E1494" s="116">
        <v>25</v>
      </c>
      <c r="F1494" s="87" t="s">
        <v>508</v>
      </c>
      <c r="G1494" s="87" t="s">
        <v>967</v>
      </c>
      <c r="H1494" s="87" t="s">
        <v>508</v>
      </c>
      <c r="I1494" s="87">
        <v>74</v>
      </c>
    </row>
    <row r="1495" spans="1:9" ht="15" customHeight="1" x14ac:dyDescent="0.25">
      <c r="A1495" s="87" t="s">
        <v>33</v>
      </c>
      <c r="B1495" s="87" t="s">
        <v>315</v>
      </c>
      <c r="C1495" s="87">
        <v>1980</v>
      </c>
      <c r="D1495" s="87" t="s">
        <v>18</v>
      </c>
      <c r="E1495" s="116">
        <v>-1</v>
      </c>
      <c r="F1495" s="87" t="s">
        <v>508</v>
      </c>
      <c r="G1495" s="87" t="s">
        <v>967</v>
      </c>
      <c r="H1495" s="87" t="s">
        <v>508</v>
      </c>
      <c r="I1495" s="87">
        <v>74</v>
      </c>
    </row>
    <row r="1496" spans="1:9" ht="15" customHeight="1" x14ac:dyDescent="0.25">
      <c r="A1496" s="87" t="s">
        <v>33</v>
      </c>
      <c r="B1496" s="87" t="s">
        <v>315</v>
      </c>
      <c r="C1496" s="87">
        <v>1981</v>
      </c>
      <c r="D1496" s="87" t="s">
        <v>18</v>
      </c>
      <c r="E1496" s="116">
        <v>2</v>
      </c>
      <c r="F1496" s="87" t="s">
        <v>508</v>
      </c>
      <c r="G1496" s="87" t="s">
        <v>967</v>
      </c>
      <c r="H1496" s="87" t="s">
        <v>508</v>
      </c>
      <c r="I1496" s="87">
        <v>74</v>
      </c>
    </row>
    <row r="1497" spans="1:9" ht="15" customHeight="1" x14ac:dyDescent="0.25">
      <c r="A1497" s="87" t="s">
        <v>33</v>
      </c>
      <c r="B1497" s="87" t="s">
        <v>315</v>
      </c>
      <c r="C1497" s="87">
        <v>1982</v>
      </c>
      <c r="D1497" s="87" t="s">
        <v>18</v>
      </c>
      <c r="E1497" s="116">
        <v>-1</v>
      </c>
      <c r="F1497" s="87" t="s">
        <v>508</v>
      </c>
      <c r="G1497" s="87" t="s">
        <v>967</v>
      </c>
      <c r="H1497" s="87" t="s">
        <v>508</v>
      </c>
      <c r="I1497" s="87">
        <v>74</v>
      </c>
    </row>
    <row r="1498" spans="1:9" ht="15" customHeight="1" x14ac:dyDescent="0.25">
      <c r="A1498" s="87" t="s">
        <v>33</v>
      </c>
      <c r="B1498" s="87" t="s">
        <v>315</v>
      </c>
      <c r="C1498" s="87">
        <v>1983</v>
      </c>
      <c r="D1498" s="87" t="s">
        <v>18</v>
      </c>
      <c r="E1498" s="116">
        <v>0</v>
      </c>
      <c r="F1498" s="87" t="s">
        <v>508</v>
      </c>
      <c r="G1498" s="87" t="s">
        <v>967</v>
      </c>
      <c r="H1498" s="87" t="s">
        <v>508</v>
      </c>
      <c r="I1498" s="87">
        <v>74</v>
      </c>
    </row>
    <row r="1499" spans="1:9" ht="15" customHeight="1" x14ac:dyDescent="0.25">
      <c r="A1499" s="87" t="s">
        <v>33</v>
      </c>
      <c r="B1499" s="87" t="s">
        <v>315</v>
      </c>
      <c r="C1499" s="87">
        <v>1984</v>
      </c>
      <c r="D1499" s="87" t="s">
        <v>18</v>
      </c>
      <c r="E1499" s="116">
        <v>0</v>
      </c>
      <c r="F1499" s="87" t="s">
        <v>508</v>
      </c>
      <c r="G1499" s="87" t="s">
        <v>967</v>
      </c>
      <c r="H1499" s="87" t="s">
        <v>508</v>
      </c>
      <c r="I1499" s="87">
        <v>74</v>
      </c>
    </row>
    <row r="1500" spans="1:9" ht="15" customHeight="1" x14ac:dyDescent="0.25">
      <c r="A1500" s="87" t="s">
        <v>33</v>
      </c>
      <c r="B1500" s="87" t="s">
        <v>315</v>
      </c>
      <c r="C1500" s="87">
        <v>1985</v>
      </c>
      <c r="D1500" s="87" t="s">
        <v>18</v>
      </c>
      <c r="E1500" s="116">
        <v>5</v>
      </c>
      <c r="F1500" s="87" t="s">
        <v>508</v>
      </c>
      <c r="G1500" s="87" t="s">
        <v>967</v>
      </c>
      <c r="H1500" s="87" t="s">
        <v>508</v>
      </c>
      <c r="I1500" s="87">
        <v>74</v>
      </c>
    </row>
    <row r="1501" spans="1:9" ht="15" customHeight="1" x14ac:dyDescent="0.25">
      <c r="A1501" s="87" t="s">
        <v>33</v>
      </c>
      <c r="B1501" s="87" t="s">
        <v>315</v>
      </c>
      <c r="C1501" s="87">
        <v>1986</v>
      </c>
      <c r="D1501" s="87" t="s">
        <v>18</v>
      </c>
      <c r="E1501" s="116">
        <v>-1</v>
      </c>
      <c r="F1501" s="87" t="s">
        <v>508</v>
      </c>
      <c r="G1501" s="87" t="s">
        <v>967</v>
      </c>
      <c r="H1501" s="87" t="s">
        <v>508</v>
      </c>
      <c r="I1501" s="87">
        <v>74</v>
      </c>
    </row>
    <row r="1502" spans="1:9" ht="15" customHeight="1" x14ac:dyDescent="0.25">
      <c r="A1502" s="87" t="s">
        <v>33</v>
      </c>
      <c r="B1502" s="87" t="s">
        <v>315</v>
      </c>
      <c r="C1502" s="87">
        <v>1987</v>
      </c>
      <c r="D1502" s="87" t="s">
        <v>18</v>
      </c>
      <c r="E1502" s="116">
        <v>-1</v>
      </c>
      <c r="F1502" s="87" t="s">
        <v>508</v>
      </c>
      <c r="G1502" s="87" t="s">
        <v>967</v>
      </c>
      <c r="H1502" s="87" t="s">
        <v>508</v>
      </c>
      <c r="I1502" s="87">
        <v>74</v>
      </c>
    </row>
    <row r="1503" spans="1:9" ht="15" customHeight="1" x14ac:dyDescent="0.25">
      <c r="A1503" s="87" t="s">
        <v>33</v>
      </c>
      <c r="B1503" s="87" t="s">
        <v>315</v>
      </c>
      <c r="C1503" s="87">
        <v>1988</v>
      </c>
      <c r="D1503" s="87" t="s">
        <v>18</v>
      </c>
      <c r="E1503" s="116">
        <v>-1</v>
      </c>
      <c r="F1503" s="87" t="s">
        <v>508</v>
      </c>
      <c r="G1503" s="87" t="s">
        <v>967</v>
      </c>
      <c r="H1503" s="87" t="s">
        <v>508</v>
      </c>
      <c r="I1503" s="87">
        <v>74</v>
      </c>
    </row>
    <row r="1504" spans="1:9" ht="15" customHeight="1" x14ac:dyDescent="0.25">
      <c r="A1504" s="87" t="s">
        <v>33</v>
      </c>
      <c r="B1504" s="87" t="s">
        <v>315</v>
      </c>
      <c r="C1504" s="87">
        <v>1989</v>
      </c>
      <c r="D1504" s="87" t="s">
        <v>18</v>
      </c>
      <c r="E1504" s="116">
        <v>-1</v>
      </c>
      <c r="F1504" s="87" t="s">
        <v>508</v>
      </c>
      <c r="G1504" s="87" t="s">
        <v>967</v>
      </c>
      <c r="H1504" s="87" t="s">
        <v>508</v>
      </c>
      <c r="I1504" s="87">
        <v>74</v>
      </c>
    </row>
    <row r="1505" spans="1:9" ht="15" customHeight="1" x14ac:dyDescent="0.25">
      <c r="A1505" s="87" t="s">
        <v>33</v>
      </c>
      <c r="B1505" s="87" t="s">
        <v>315</v>
      </c>
      <c r="C1505" s="87">
        <v>1990</v>
      </c>
      <c r="D1505" s="87" t="s">
        <v>18</v>
      </c>
      <c r="E1505" s="116">
        <v>-1</v>
      </c>
      <c r="F1505" s="87" t="s">
        <v>508</v>
      </c>
      <c r="G1505" s="87" t="s">
        <v>967</v>
      </c>
      <c r="H1505" s="87" t="s">
        <v>508</v>
      </c>
      <c r="I1505" s="87">
        <v>74</v>
      </c>
    </row>
    <row r="1506" spans="1:9" ht="15" customHeight="1" x14ac:dyDescent="0.25">
      <c r="A1506" s="87" t="s">
        <v>33</v>
      </c>
      <c r="B1506" s="87" t="s">
        <v>315</v>
      </c>
      <c r="C1506" s="87">
        <v>1991</v>
      </c>
      <c r="D1506" s="87" t="s">
        <v>18</v>
      </c>
      <c r="E1506" s="116">
        <v>-1</v>
      </c>
      <c r="F1506" s="87" t="s">
        <v>508</v>
      </c>
      <c r="G1506" s="87" t="s">
        <v>967</v>
      </c>
      <c r="H1506" s="87" t="s">
        <v>508</v>
      </c>
      <c r="I1506" s="87">
        <v>74</v>
      </c>
    </row>
    <row r="1507" spans="1:9" ht="15" customHeight="1" x14ac:dyDescent="0.25">
      <c r="A1507" s="87" t="s">
        <v>33</v>
      </c>
      <c r="B1507" s="87" t="s">
        <v>315</v>
      </c>
      <c r="C1507" s="87">
        <v>1992</v>
      </c>
      <c r="D1507" s="87" t="s">
        <v>18</v>
      </c>
      <c r="E1507" s="116">
        <v>-1</v>
      </c>
      <c r="F1507" s="87" t="s">
        <v>508</v>
      </c>
      <c r="G1507" s="87" t="s">
        <v>967</v>
      </c>
      <c r="H1507" s="87" t="s">
        <v>508</v>
      </c>
      <c r="I1507" s="87">
        <v>74</v>
      </c>
    </row>
    <row r="1508" spans="1:9" ht="15" customHeight="1" x14ac:dyDescent="0.25">
      <c r="A1508" s="87" t="s">
        <v>33</v>
      </c>
      <c r="B1508" s="87" t="s">
        <v>315</v>
      </c>
      <c r="C1508" s="87">
        <v>1993</v>
      </c>
      <c r="D1508" s="87" t="s">
        <v>18</v>
      </c>
      <c r="E1508" s="116">
        <v>-1</v>
      </c>
      <c r="F1508" s="87" t="s">
        <v>508</v>
      </c>
      <c r="G1508" s="87" t="s">
        <v>967</v>
      </c>
      <c r="H1508" s="87" t="s">
        <v>508</v>
      </c>
      <c r="I1508" s="87">
        <v>74</v>
      </c>
    </row>
    <row r="1509" spans="1:9" ht="15" customHeight="1" x14ac:dyDescent="0.25">
      <c r="A1509" s="87" t="s">
        <v>33</v>
      </c>
      <c r="B1509" s="87" t="s">
        <v>315</v>
      </c>
      <c r="C1509" s="87">
        <v>1994</v>
      </c>
      <c r="D1509" s="87" t="s">
        <v>18</v>
      </c>
      <c r="E1509" s="116">
        <v>5</v>
      </c>
      <c r="F1509" s="87" t="s">
        <v>508</v>
      </c>
      <c r="G1509" s="87" t="s">
        <v>967</v>
      </c>
      <c r="H1509" s="87" t="s">
        <v>508</v>
      </c>
      <c r="I1509" s="87">
        <v>74</v>
      </c>
    </row>
    <row r="1510" spans="1:9" ht="15" customHeight="1" x14ac:dyDescent="0.25">
      <c r="A1510" s="87" t="s">
        <v>33</v>
      </c>
      <c r="B1510" s="87" t="s">
        <v>315</v>
      </c>
      <c r="C1510" s="87">
        <v>1995</v>
      </c>
      <c r="D1510" s="87" t="s">
        <v>18</v>
      </c>
      <c r="E1510" s="116">
        <v>-1</v>
      </c>
      <c r="F1510" s="87" t="s">
        <v>508</v>
      </c>
      <c r="G1510" s="87" t="s">
        <v>967</v>
      </c>
      <c r="H1510" s="87" t="s">
        <v>508</v>
      </c>
      <c r="I1510" s="87">
        <v>74</v>
      </c>
    </row>
    <row r="1511" spans="1:9" ht="15" customHeight="1" x14ac:dyDescent="0.25">
      <c r="A1511" s="87" t="s">
        <v>33</v>
      </c>
      <c r="B1511" s="87" t="s">
        <v>315</v>
      </c>
      <c r="C1511" s="87">
        <v>1996</v>
      </c>
      <c r="D1511" s="87" t="s">
        <v>18</v>
      </c>
      <c r="E1511" s="116">
        <v>0</v>
      </c>
      <c r="F1511" s="87" t="s">
        <v>967</v>
      </c>
      <c r="G1511" s="87" t="s">
        <v>967</v>
      </c>
      <c r="H1511" s="87" t="s">
        <v>967</v>
      </c>
      <c r="I1511" s="87">
        <v>74</v>
      </c>
    </row>
    <row r="1512" spans="1:9" ht="15" customHeight="1" x14ac:dyDescent="0.25">
      <c r="A1512" s="87" t="s">
        <v>33</v>
      </c>
      <c r="B1512" s="87" t="s">
        <v>315</v>
      </c>
      <c r="C1512" s="87">
        <v>1997</v>
      </c>
      <c r="D1512" s="87" t="s">
        <v>18</v>
      </c>
      <c r="E1512" s="116">
        <v>-1</v>
      </c>
      <c r="F1512" s="87" t="s">
        <v>967</v>
      </c>
      <c r="G1512" s="87" t="s">
        <v>967</v>
      </c>
      <c r="H1512" s="87" t="s">
        <v>967</v>
      </c>
      <c r="I1512" s="87">
        <v>74</v>
      </c>
    </row>
    <row r="1513" spans="1:9" ht="15" customHeight="1" x14ac:dyDescent="0.25">
      <c r="A1513" s="87" t="s">
        <v>33</v>
      </c>
      <c r="B1513" s="87" t="s">
        <v>315</v>
      </c>
      <c r="C1513" s="87">
        <v>1998</v>
      </c>
      <c r="D1513" s="87" t="s">
        <v>18</v>
      </c>
      <c r="E1513" s="116">
        <v>0</v>
      </c>
      <c r="F1513" s="87" t="s">
        <v>967</v>
      </c>
      <c r="G1513" s="87" t="s">
        <v>967</v>
      </c>
      <c r="H1513" s="87" t="s">
        <v>967</v>
      </c>
      <c r="I1513" s="87">
        <v>74</v>
      </c>
    </row>
    <row r="1514" spans="1:9" ht="15" customHeight="1" x14ac:dyDescent="0.25">
      <c r="A1514" s="87" t="s">
        <v>33</v>
      </c>
      <c r="B1514" s="87" t="s">
        <v>315</v>
      </c>
      <c r="C1514" s="87">
        <v>1999</v>
      </c>
      <c r="D1514" s="87" t="s">
        <v>18</v>
      </c>
      <c r="E1514" s="116">
        <v>0.01</v>
      </c>
      <c r="F1514" s="87" t="s">
        <v>967</v>
      </c>
      <c r="G1514" s="87" t="s">
        <v>272</v>
      </c>
      <c r="H1514" s="87" t="s">
        <v>967</v>
      </c>
      <c r="I1514" s="87">
        <v>74</v>
      </c>
    </row>
    <row r="1515" spans="1:9" ht="15" customHeight="1" x14ac:dyDescent="0.25">
      <c r="A1515" s="87" t="s">
        <v>33</v>
      </c>
      <c r="B1515" s="87" t="s">
        <v>315</v>
      </c>
      <c r="C1515" s="87">
        <v>2000</v>
      </c>
      <c r="D1515" s="87" t="s">
        <v>18</v>
      </c>
      <c r="E1515" s="116">
        <v>0.01</v>
      </c>
      <c r="F1515" s="87" t="s">
        <v>967</v>
      </c>
      <c r="G1515" s="87" t="s">
        <v>967</v>
      </c>
      <c r="H1515" s="87" t="s">
        <v>967</v>
      </c>
      <c r="I1515" s="87">
        <v>74</v>
      </c>
    </row>
    <row r="1516" spans="1:9" ht="15" customHeight="1" x14ac:dyDescent="0.25">
      <c r="A1516" s="87" t="s">
        <v>33</v>
      </c>
      <c r="B1516" s="87" t="s">
        <v>315</v>
      </c>
      <c r="C1516" s="87">
        <v>2001</v>
      </c>
      <c r="D1516" s="87" t="s">
        <v>18</v>
      </c>
      <c r="E1516" s="116">
        <v>0</v>
      </c>
      <c r="F1516" s="87" t="s">
        <v>967</v>
      </c>
      <c r="G1516" s="87" t="s">
        <v>967</v>
      </c>
      <c r="H1516" s="87" t="s">
        <v>967</v>
      </c>
      <c r="I1516" s="87">
        <v>74</v>
      </c>
    </row>
    <row r="1517" spans="1:9" ht="15" customHeight="1" x14ac:dyDescent="0.25">
      <c r="A1517" s="87" t="s">
        <v>33</v>
      </c>
      <c r="B1517" s="87" t="s">
        <v>315</v>
      </c>
      <c r="C1517" s="87">
        <v>2002</v>
      </c>
      <c r="D1517" s="87" t="s">
        <v>18</v>
      </c>
      <c r="E1517" s="116">
        <v>0</v>
      </c>
      <c r="F1517" s="87" t="s">
        <v>967</v>
      </c>
      <c r="G1517" s="87" t="s">
        <v>967</v>
      </c>
      <c r="H1517" s="87" t="s">
        <v>967</v>
      </c>
      <c r="I1517" s="87">
        <v>74</v>
      </c>
    </row>
    <row r="1518" spans="1:9" ht="15" customHeight="1" x14ac:dyDescent="0.25">
      <c r="A1518" s="87" t="s">
        <v>33</v>
      </c>
      <c r="B1518" s="87" t="s">
        <v>315</v>
      </c>
      <c r="C1518" s="87">
        <v>2003</v>
      </c>
      <c r="D1518" s="87" t="s">
        <v>18</v>
      </c>
      <c r="E1518" s="116">
        <v>3</v>
      </c>
      <c r="F1518" s="87" t="s">
        <v>967</v>
      </c>
      <c r="G1518" s="87" t="s">
        <v>272</v>
      </c>
      <c r="H1518" s="87" t="s">
        <v>967</v>
      </c>
      <c r="I1518" s="87">
        <v>74</v>
      </c>
    </row>
    <row r="1519" spans="1:9" ht="15" customHeight="1" x14ac:dyDescent="0.25">
      <c r="A1519" s="87" t="s">
        <v>33</v>
      </c>
      <c r="B1519" s="87" t="s">
        <v>315</v>
      </c>
      <c r="C1519" s="87">
        <v>2004</v>
      </c>
      <c r="D1519" s="87" t="s">
        <v>18</v>
      </c>
      <c r="E1519" s="116">
        <v>8</v>
      </c>
      <c r="F1519" s="87" t="s">
        <v>967</v>
      </c>
      <c r="G1519" s="87" t="s">
        <v>272</v>
      </c>
      <c r="H1519" s="87" t="s">
        <v>967</v>
      </c>
      <c r="I1519" s="87">
        <v>74</v>
      </c>
    </row>
    <row r="1520" spans="1:9" ht="15" customHeight="1" x14ac:dyDescent="0.25">
      <c r="A1520" s="87" t="s">
        <v>33</v>
      </c>
      <c r="B1520" s="87" t="s">
        <v>315</v>
      </c>
      <c r="C1520" s="87">
        <v>2005</v>
      </c>
      <c r="D1520" s="87" t="s">
        <v>18</v>
      </c>
      <c r="E1520" s="116">
        <v>-1</v>
      </c>
      <c r="F1520" s="87" t="s">
        <v>967</v>
      </c>
      <c r="G1520" s="87" t="s">
        <v>967</v>
      </c>
      <c r="H1520" s="87" t="s">
        <v>967</v>
      </c>
      <c r="I1520" s="87">
        <v>74</v>
      </c>
    </row>
    <row r="1521" spans="1:9" ht="15" customHeight="1" x14ac:dyDescent="0.25">
      <c r="A1521" s="87" t="s">
        <v>33</v>
      </c>
      <c r="B1521" s="87" t="s">
        <v>315</v>
      </c>
      <c r="C1521" s="87">
        <v>2006</v>
      </c>
      <c r="D1521" s="87" t="s">
        <v>18</v>
      </c>
      <c r="E1521" s="116">
        <v>-1</v>
      </c>
      <c r="F1521" s="87" t="s">
        <v>967</v>
      </c>
      <c r="G1521" s="87" t="s">
        <v>967</v>
      </c>
      <c r="H1521" s="87" t="s">
        <v>967</v>
      </c>
      <c r="I1521" s="87">
        <v>74</v>
      </c>
    </row>
    <row r="1522" spans="1:9" ht="15" customHeight="1" x14ac:dyDescent="0.25">
      <c r="A1522" s="87" t="s">
        <v>33</v>
      </c>
      <c r="B1522" s="87" t="s">
        <v>315</v>
      </c>
      <c r="C1522" s="87">
        <v>2007</v>
      </c>
      <c r="D1522" s="87" t="s">
        <v>18</v>
      </c>
      <c r="E1522" s="116">
        <v>-1</v>
      </c>
      <c r="F1522" s="87" t="s">
        <v>967</v>
      </c>
      <c r="G1522" s="87" t="s">
        <v>967</v>
      </c>
      <c r="H1522" s="87" t="s">
        <v>967</v>
      </c>
      <c r="I1522" s="87">
        <v>74</v>
      </c>
    </row>
    <row r="1523" spans="1:9" ht="15" customHeight="1" x14ac:dyDescent="0.25">
      <c r="A1523" s="87" t="s">
        <v>33</v>
      </c>
      <c r="B1523" s="87" t="s">
        <v>315</v>
      </c>
      <c r="C1523" s="87">
        <v>2008</v>
      </c>
      <c r="D1523" s="87" t="s">
        <v>18</v>
      </c>
      <c r="E1523" s="116">
        <v>35</v>
      </c>
      <c r="F1523" s="87" t="s">
        <v>967</v>
      </c>
      <c r="G1523" s="87" t="s">
        <v>272</v>
      </c>
      <c r="H1523" s="87" t="s">
        <v>967</v>
      </c>
      <c r="I1523" s="87">
        <v>74</v>
      </c>
    </row>
    <row r="1524" spans="1:9" ht="15" customHeight="1" x14ac:dyDescent="0.25">
      <c r="A1524" s="87" t="s">
        <v>33</v>
      </c>
      <c r="B1524" s="87" t="s">
        <v>315</v>
      </c>
      <c r="C1524" s="87">
        <v>2009</v>
      </c>
      <c r="D1524" s="87" t="s">
        <v>18</v>
      </c>
      <c r="E1524" s="116">
        <v>18</v>
      </c>
      <c r="F1524" s="87" t="s">
        <v>967</v>
      </c>
      <c r="G1524" s="87" t="s">
        <v>272</v>
      </c>
      <c r="H1524" s="87" t="s">
        <v>967</v>
      </c>
      <c r="I1524" s="87">
        <v>74</v>
      </c>
    </row>
    <row r="1525" spans="1:9" ht="15" customHeight="1" x14ac:dyDescent="0.25">
      <c r="A1525" s="87" t="s">
        <v>33</v>
      </c>
      <c r="B1525" s="87" t="s">
        <v>315</v>
      </c>
      <c r="C1525" s="87">
        <v>2010</v>
      </c>
      <c r="D1525" s="87" t="s">
        <v>18</v>
      </c>
      <c r="E1525" s="116">
        <v>0</v>
      </c>
      <c r="F1525" s="87" t="s">
        <v>967</v>
      </c>
      <c r="G1525" s="87" t="s">
        <v>272</v>
      </c>
      <c r="H1525" s="87" t="s">
        <v>967</v>
      </c>
      <c r="I1525" s="87">
        <v>74</v>
      </c>
    </row>
    <row r="1526" spans="1:9" ht="15" customHeight="1" x14ac:dyDescent="0.25">
      <c r="A1526" s="87" t="s">
        <v>33</v>
      </c>
      <c r="B1526" s="87" t="s">
        <v>315</v>
      </c>
      <c r="C1526" s="87">
        <v>2011</v>
      </c>
      <c r="D1526" s="87" t="s">
        <v>18</v>
      </c>
      <c r="E1526" s="116">
        <v>0</v>
      </c>
      <c r="F1526" s="87" t="s">
        <v>967</v>
      </c>
      <c r="G1526" s="87" t="s">
        <v>272</v>
      </c>
      <c r="H1526" s="87" t="s">
        <v>967</v>
      </c>
      <c r="I1526" s="87">
        <v>74</v>
      </c>
    </row>
    <row r="1527" spans="1:9" ht="15" customHeight="1" x14ac:dyDescent="0.25">
      <c r="A1527" s="87" t="s">
        <v>33</v>
      </c>
      <c r="B1527" s="87" t="s">
        <v>315</v>
      </c>
      <c r="C1527" s="87">
        <v>2012</v>
      </c>
      <c r="D1527" s="87" t="s">
        <v>18</v>
      </c>
      <c r="E1527" s="116">
        <v>6</v>
      </c>
      <c r="F1527" s="87" t="s">
        <v>967</v>
      </c>
      <c r="G1527" s="87" t="s">
        <v>274</v>
      </c>
      <c r="H1527" s="87" t="s">
        <v>967</v>
      </c>
      <c r="I1527" s="87">
        <v>74</v>
      </c>
    </row>
    <row r="1528" spans="1:9" ht="15" customHeight="1" x14ac:dyDescent="0.25">
      <c r="A1528" s="87" t="s">
        <v>33</v>
      </c>
      <c r="B1528" s="87" t="s">
        <v>315</v>
      </c>
      <c r="C1528" s="87">
        <v>2013</v>
      </c>
      <c r="D1528" s="87" t="s">
        <v>18</v>
      </c>
      <c r="E1528" s="116">
        <v>14</v>
      </c>
      <c r="F1528" s="87" t="s">
        <v>967</v>
      </c>
      <c r="G1528" s="87" t="s">
        <v>274</v>
      </c>
      <c r="H1528" s="87" t="s">
        <v>967</v>
      </c>
      <c r="I1528" s="87">
        <v>74</v>
      </c>
    </row>
    <row r="1529" spans="1:9" ht="15" customHeight="1" x14ac:dyDescent="0.25">
      <c r="A1529" s="87" t="s">
        <v>33</v>
      </c>
      <c r="B1529" s="87" t="s">
        <v>315</v>
      </c>
      <c r="C1529" s="87">
        <v>2014</v>
      </c>
      <c r="D1529" s="87" t="s">
        <v>18</v>
      </c>
      <c r="E1529" s="116">
        <v>0</v>
      </c>
      <c r="F1529" s="87" t="s">
        <v>967</v>
      </c>
      <c r="G1529" s="87" t="s">
        <v>272</v>
      </c>
      <c r="H1529" s="87" t="s">
        <v>967</v>
      </c>
      <c r="I1529" s="87">
        <v>74</v>
      </c>
    </row>
    <row r="1530" spans="1:9" ht="15" customHeight="1" x14ac:dyDescent="0.25">
      <c r="A1530" s="87" t="s">
        <v>33</v>
      </c>
      <c r="B1530" s="87" t="s">
        <v>315</v>
      </c>
      <c r="C1530" s="87">
        <v>2015</v>
      </c>
      <c r="D1530" s="87" t="s">
        <v>18</v>
      </c>
      <c r="E1530" s="116">
        <v>0</v>
      </c>
      <c r="F1530" s="87" t="s">
        <v>967</v>
      </c>
      <c r="G1530" s="87" t="s">
        <v>272</v>
      </c>
      <c r="H1530" s="87" t="s">
        <v>685</v>
      </c>
      <c r="I1530" s="87">
        <v>74</v>
      </c>
    </row>
    <row r="1531" spans="1:9" ht="15" customHeight="1" x14ac:dyDescent="0.25">
      <c r="A1531" s="87" t="s">
        <v>33</v>
      </c>
      <c r="B1531" s="87" t="s">
        <v>315</v>
      </c>
      <c r="C1531" s="87">
        <v>2016</v>
      </c>
      <c r="D1531" s="87" t="s">
        <v>18</v>
      </c>
      <c r="E1531" s="116">
        <v>0</v>
      </c>
      <c r="F1531" s="87" t="s">
        <v>967</v>
      </c>
      <c r="G1531" s="87" t="s">
        <v>274</v>
      </c>
      <c r="H1531" s="87" t="s">
        <v>686</v>
      </c>
      <c r="I1531" s="87">
        <v>74</v>
      </c>
    </row>
    <row r="1532" spans="1:9" ht="15" customHeight="1" x14ac:dyDescent="0.25">
      <c r="A1532" s="87" t="s">
        <v>33</v>
      </c>
      <c r="B1532" s="87" t="s">
        <v>315</v>
      </c>
      <c r="C1532" s="87">
        <v>2017</v>
      </c>
      <c r="D1532" s="87" t="s">
        <v>18</v>
      </c>
      <c r="E1532" s="116">
        <v>0</v>
      </c>
      <c r="F1532" s="87" t="s">
        <v>967</v>
      </c>
      <c r="G1532" s="87" t="s">
        <v>272</v>
      </c>
      <c r="H1532" s="87" t="s">
        <v>967</v>
      </c>
      <c r="I1532" s="87">
        <v>74</v>
      </c>
    </row>
    <row r="1533" spans="1:9" ht="15" customHeight="1" x14ac:dyDescent="0.25">
      <c r="A1533" s="87" t="s">
        <v>33</v>
      </c>
      <c r="B1533" s="87" t="s">
        <v>315</v>
      </c>
      <c r="C1533" s="87">
        <v>2018</v>
      </c>
      <c r="D1533" s="87" t="s">
        <v>18</v>
      </c>
      <c r="E1533" s="116">
        <v>5</v>
      </c>
      <c r="F1533" s="87" t="s">
        <v>967</v>
      </c>
      <c r="G1533" s="87" t="s">
        <v>272</v>
      </c>
      <c r="H1533" s="87" t="s">
        <v>967</v>
      </c>
      <c r="I1533" s="87">
        <v>74</v>
      </c>
    </row>
    <row r="1534" spans="1:9" ht="15" customHeight="1" x14ac:dyDescent="0.25">
      <c r="A1534" s="87" t="s">
        <v>33</v>
      </c>
      <c r="B1534" s="87" t="s">
        <v>315</v>
      </c>
      <c r="C1534" s="87">
        <v>2019</v>
      </c>
      <c r="D1534" s="87" t="s">
        <v>18</v>
      </c>
      <c r="E1534" s="116">
        <v>0</v>
      </c>
      <c r="F1534" s="87" t="s">
        <v>967</v>
      </c>
      <c r="G1534" s="87" t="s">
        <v>272</v>
      </c>
      <c r="H1534" s="87" t="s">
        <v>967</v>
      </c>
      <c r="I1534" s="87">
        <v>74</v>
      </c>
    </row>
    <row r="1535" spans="1:9" ht="15" customHeight="1" x14ac:dyDescent="0.25">
      <c r="A1535" s="87" t="s">
        <v>33</v>
      </c>
      <c r="B1535" s="87" t="s">
        <v>315</v>
      </c>
      <c r="C1535" s="87">
        <v>2020</v>
      </c>
      <c r="D1535" s="87" t="s">
        <v>18</v>
      </c>
      <c r="E1535" s="116">
        <v>0</v>
      </c>
      <c r="F1535" s="87" t="s">
        <v>967</v>
      </c>
      <c r="G1535" s="87" t="s">
        <v>272</v>
      </c>
      <c r="H1535" s="87" t="s">
        <v>967</v>
      </c>
      <c r="I1535" s="87">
        <v>74</v>
      </c>
    </row>
    <row r="1536" spans="1:9" ht="15" customHeight="1" x14ac:dyDescent="0.25">
      <c r="A1536" s="87" t="s">
        <v>33</v>
      </c>
      <c r="B1536" s="87" t="s">
        <v>315</v>
      </c>
      <c r="C1536" s="87">
        <v>2021</v>
      </c>
      <c r="D1536" s="87" t="s">
        <v>18</v>
      </c>
      <c r="E1536" s="116">
        <v>2</v>
      </c>
      <c r="F1536" s="87" t="s">
        <v>1059</v>
      </c>
      <c r="G1536" s="87" t="s">
        <v>272</v>
      </c>
      <c r="H1536" s="87" t="s">
        <v>967</v>
      </c>
      <c r="I1536" s="87">
        <v>74</v>
      </c>
    </row>
    <row r="1537" spans="1:9" ht="15" customHeight="1" x14ac:dyDescent="0.25">
      <c r="A1537" s="87" t="s">
        <v>33</v>
      </c>
      <c r="B1537" s="87" t="s">
        <v>315</v>
      </c>
      <c r="C1537" s="87">
        <v>2022</v>
      </c>
      <c r="D1537" s="87" t="s">
        <v>18</v>
      </c>
      <c r="E1537" s="116">
        <v>0</v>
      </c>
      <c r="F1537" s="87" t="s">
        <v>967</v>
      </c>
      <c r="G1537" s="87" t="s">
        <v>272</v>
      </c>
      <c r="H1537" s="87" t="s">
        <v>967</v>
      </c>
      <c r="I1537" s="87">
        <v>74</v>
      </c>
    </row>
    <row r="1538" spans="1:9" ht="15" customHeight="1" x14ac:dyDescent="0.25">
      <c r="A1538" s="87" t="s">
        <v>33</v>
      </c>
      <c r="B1538" s="87" t="s">
        <v>316</v>
      </c>
      <c r="C1538" s="87">
        <v>1975</v>
      </c>
      <c r="D1538" s="87" t="s">
        <v>18</v>
      </c>
      <c r="E1538" s="116">
        <v>75</v>
      </c>
      <c r="F1538" s="87" t="s">
        <v>508</v>
      </c>
      <c r="G1538" s="87" t="s">
        <v>967</v>
      </c>
      <c r="H1538" s="87" t="s">
        <v>508</v>
      </c>
      <c r="I1538" s="87">
        <v>75</v>
      </c>
    </row>
    <row r="1539" spans="1:9" ht="15" customHeight="1" x14ac:dyDescent="0.25">
      <c r="A1539" s="87" t="s">
        <v>33</v>
      </c>
      <c r="B1539" s="87" t="s">
        <v>316</v>
      </c>
      <c r="C1539" s="87">
        <v>1976</v>
      </c>
      <c r="D1539" s="87" t="s">
        <v>18</v>
      </c>
      <c r="E1539" s="116">
        <v>-1</v>
      </c>
      <c r="F1539" s="87" t="s">
        <v>900</v>
      </c>
      <c r="G1539" s="87" t="s">
        <v>272</v>
      </c>
      <c r="H1539" s="87" t="s">
        <v>900</v>
      </c>
      <c r="I1539" s="87">
        <v>75</v>
      </c>
    </row>
    <row r="1540" spans="1:9" ht="15" customHeight="1" x14ac:dyDescent="0.25">
      <c r="A1540" s="87" t="s">
        <v>33</v>
      </c>
      <c r="B1540" s="87" t="s">
        <v>316</v>
      </c>
      <c r="C1540" s="87">
        <v>1977</v>
      </c>
      <c r="D1540" s="87" t="s">
        <v>18</v>
      </c>
      <c r="E1540" s="116">
        <v>200</v>
      </c>
      <c r="F1540" s="87" t="s">
        <v>508</v>
      </c>
      <c r="G1540" s="87" t="s">
        <v>967</v>
      </c>
      <c r="H1540" s="87" t="s">
        <v>508</v>
      </c>
      <c r="I1540" s="87">
        <v>75</v>
      </c>
    </row>
    <row r="1541" spans="1:9" ht="15" customHeight="1" x14ac:dyDescent="0.25">
      <c r="A1541" s="87" t="s">
        <v>33</v>
      </c>
      <c r="B1541" s="87" t="s">
        <v>316</v>
      </c>
      <c r="C1541" s="87">
        <v>1978</v>
      </c>
      <c r="D1541" s="87" t="s">
        <v>18</v>
      </c>
      <c r="E1541" s="116">
        <v>200</v>
      </c>
      <c r="F1541" s="87" t="s">
        <v>508</v>
      </c>
      <c r="G1541" s="87" t="s">
        <v>967</v>
      </c>
      <c r="H1541" s="87" t="s">
        <v>508</v>
      </c>
      <c r="I1541" s="87">
        <v>75</v>
      </c>
    </row>
    <row r="1542" spans="1:9" ht="15" customHeight="1" x14ac:dyDescent="0.25">
      <c r="A1542" s="87" t="s">
        <v>33</v>
      </c>
      <c r="B1542" s="87" t="s">
        <v>316</v>
      </c>
      <c r="C1542" s="87">
        <v>1979</v>
      </c>
      <c r="D1542" s="87" t="s">
        <v>18</v>
      </c>
      <c r="E1542" s="116">
        <v>75</v>
      </c>
      <c r="F1542" s="87" t="s">
        <v>508</v>
      </c>
      <c r="G1542" s="87" t="s">
        <v>967</v>
      </c>
      <c r="H1542" s="87" t="s">
        <v>508</v>
      </c>
      <c r="I1542" s="87">
        <v>75</v>
      </c>
    </row>
    <row r="1543" spans="1:9" ht="15" customHeight="1" x14ac:dyDescent="0.25">
      <c r="A1543" s="87" t="s">
        <v>33</v>
      </c>
      <c r="B1543" s="87" t="s">
        <v>316</v>
      </c>
      <c r="C1543" s="87">
        <v>1980</v>
      </c>
      <c r="D1543" s="87" t="s">
        <v>18</v>
      </c>
      <c r="E1543" s="116">
        <v>25</v>
      </c>
      <c r="F1543" s="87" t="s">
        <v>508</v>
      </c>
      <c r="G1543" s="87" t="s">
        <v>967</v>
      </c>
      <c r="H1543" s="87" t="s">
        <v>508</v>
      </c>
      <c r="I1543" s="87">
        <v>75</v>
      </c>
    </row>
    <row r="1544" spans="1:9" ht="15" customHeight="1" x14ac:dyDescent="0.25">
      <c r="A1544" s="87" t="s">
        <v>33</v>
      </c>
      <c r="B1544" s="87" t="s">
        <v>316</v>
      </c>
      <c r="C1544" s="87">
        <v>1981</v>
      </c>
      <c r="D1544" s="87" t="s">
        <v>18</v>
      </c>
      <c r="E1544" s="116">
        <v>13</v>
      </c>
      <c r="F1544" s="87" t="s">
        <v>508</v>
      </c>
      <c r="G1544" s="87" t="s">
        <v>967</v>
      </c>
      <c r="H1544" s="87" t="s">
        <v>508</v>
      </c>
      <c r="I1544" s="87">
        <v>75</v>
      </c>
    </row>
    <row r="1545" spans="1:9" ht="15" customHeight="1" x14ac:dyDescent="0.25">
      <c r="A1545" s="87" t="s">
        <v>33</v>
      </c>
      <c r="B1545" s="87" t="s">
        <v>316</v>
      </c>
      <c r="C1545" s="87">
        <v>1982</v>
      </c>
      <c r="D1545" s="87" t="s">
        <v>18</v>
      </c>
      <c r="E1545" s="116">
        <v>15</v>
      </c>
      <c r="F1545" s="87" t="s">
        <v>508</v>
      </c>
      <c r="G1545" s="87" t="s">
        <v>967</v>
      </c>
      <c r="H1545" s="87" t="s">
        <v>508</v>
      </c>
      <c r="I1545" s="87">
        <v>75</v>
      </c>
    </row>
    <row r="1546" spans="1:9" ht="15" customHeight="1" x14ac:dyDescent="0.25">
      <c r="A1546" s="87" t="s">
        <v>33</v>
      </c>
      <c r="B1546" s="87" t="s">
        <v>316</v>
      </c>
      <c r="C1546" s="87">
        <v>1983</v>
      </c>
      <c r="D1546" s="87" t="s">
        <v>18</v>
      </c>
      <c r="E1546" s="116">
        <v>10</v>
      </c>
      <c r="F1546" s="87" t="s">
        <v>508</v>
      </c>
      <c r="G1546" s="87" t="s">
        <v>967</v>
      </c>
      <c r="H1546" s="87" t="s">
        <v>508</v>
      </c>
      <c r="I1546" s="87">
        <v>75</v>
      </c>
    </row>
    <row r="1547" spans="1:9" ht="15" customHeight="1" x14ac:dyDescent="0.25">
      <c r="A1547" s="87" t="s">
        <v>33</v>
      </c>
      <c r="B1547" s="87" t="s">
        <v>316</v>
      </c>
      <c r="C1547" s="87">
        <v>1984</v>
      </c>
      <c r="D1547" s="87" t="s">
        <v>18</v>
      </c>
      <c r="E1547" s="116">
        <v>0</v>
      </c>
      <c r="F1547" s="87" t="s">
        <v>508</v>
      </c>
      <c r="G1547" s="87" t="s">
        <v>967</v>
      </c>
      <c r="H1547" s="87" t="s">
        <v>508</v>
      </c>
      <c r="I1547" s="87">
        <v>75</v>
      </c>
    </row>
    <row r="1548" spans="1:9" ht="15" customHeight="1" x14ac:dyDescent="0.25">
      <c r="A1548" s="87" t="s">
        <v>33</v>
      </c>
      <c r="B1548" s="87" t="s">
        <v>316</v>
      </c>
      <c r="C1548" s="87">
        <v>1985</v>
      </c>
      <c r="D1548" s="87" t="s">
        <v>18</v>
      </c>
      <c r="E1548" s="116">
        <v>0</v>
      </c>
      <c r="F1548" s="87" t="s">
        <v>508</v>
      </c>
      <c r="G1548" s="87" t="s">
        <v>967</v>
      </c>
      <c r="H1548" s="87" t="s">
        <v>508</v>
      </c>
      <c r="I1548" s="87">
        <v>75</v>
      </c>
    </row>
    <row r="1549" spans="1:9" ht="15" customHeight="1" x14ac:dyDescent="0.25">
      <c r="A1549" s="87" t="s">
        <v>33</v>
      </c>
      <c r="B1549" s="87" t="s">
        <v>316</v>
      </c>
      <c r="C1549" s="87">
        <v>1986</v>
      </c>
      <c r="D1549" s="87" t="s">
        <v>18</v>
      </c>
      <c r="E1549" s="116">
        <v>125</v>
      </c>
      <c r="F1549" s="87" t="s">
        <v>508</v>
      </c>
      <c r="G1549" s="87" t="s">
        <v>967</v>
      </c>
      <c r="H1549" s="87" t="s">
        <v>508</v>
      </c>
      <c r="I1549" s="87">
        <v>75</v>
      </c>
    </row>
    <row r="1550" spans="1:9" ht="15" customHeight="1" x14ac:dyDescent="0.25">
      <c r="A1550" s="87" t="s">
        <v>33</v>
      </c>
      <c r="B1550" s="87" t="s">
        <v>316</v>
      </c>
      <c r="C1550" s="87">
        <v>1987</v>
      </c>
      <c r="D1550" s="87" t="s">
        <v>18</v>
      </c>
      <c r="E1550" s="116">
        <v>10</v>
      </c>
      <c r="F1550" s="87" t="s">
        <v>508</v>
      </c>
      <c r="G1550" s="87" t="s">
        <v>967</v>
      </c>
      <c r="H1550" s="87" t="s">
        <v>508</v>
      </c>
      <c r="I1550" s="87">
        <v>75</v>
      </c>
    </row>
    <row r="1551" spans="1:9" ht="15" customHeight="1" x14ac:dyDescent="0.25">
      <c r="A1551" s="87" t="s">
        <v>33</v>
      </c>
      <c r="B1551" s="87" t="s">
        <v>316</v>
      </c>
      <c r="C1551" s="87">
        <v>1988</v>
      </c>
      <c r="D1551" s="87" t="s">
        <v>18</v>
      </c>
      <c r="E1551" s="116">
        <v>100</v>
      </c>
      <c r="F1551" s="87" t="s">
        <v>508</v>
      </c>
      <c r="G1551" s="87" t="s">
        <v>967</v>
      </c>
      <c r="H1551" s="87" t="s">
        <v>508</v>
      </c>
      <c r="I1551" s="87">
        <v>75</v>
      </c>
    </row>
    <row r="1552" spans="1:9" ht="15" customHeight="1" x14ac:dyDescent="0.25">
      <c r="A1552" s="87" t="s">
        <v>33</v>
      </c>
      <c r="B1552" s="87" t="s">
        <v>316</v>
      </c>
      <c r="C1552" s="87">
        <v>1989</v>
      </c>
      <c r="D1552" s="87" t="s">
        <v>18</v>
      </c>
      <c r="E1552" s="116">
        <v>-1</v>
      </c>
      <c r="F1552" s="87" t="s">
        <v>900</v>
      </c>
      <c r="G1552" s="87" t="s">
        <v>967</v>
      </c>
      <c r="H1552" s="87" t="s">
        <v>900</v>
      </c>
      <c r="I1552" s="87">
        <v>75</v>
      </c>
    </row>
    <row r="1553" spans="1:9" ht="15" customHeight="1" x14ac:dyDescent="0.25">
      <c r="A1553" s="87" t="s">
        <v>33</v>
      </c>
      <c r="B1553" s="87" t="s">
        <v>316</v>
      </c>
      <c r="C1553" s="87">
        <v>1990</v>
      </c>
      <c r="D1553" s="87" t="s">
        <v>18</v>
      </c>
      <c r="E1553" s="116">
        <v>0</v>
      </c>
      <c r="F1553" s="87" t="s">
        <v>508</v>
      </c>
      <c r="G1553" s="87" t="s">
        <v>967</v>
      </c>
      <c r="H1553" s="87" t="s">
        <v>508</v>
      </c>
      <c r="I1553" s="87">
        <v>75</v>
      </c>
    </row>
    <row r="1554" spans="1:9" ht="15" customHeight="1" x14ac:dyDescent="0.25">
      <c r="A1554" s="87" t="s">
        <v>33</v>
      </c>
      <c r="B1554" s="87" t="s">
        <v>316</v>
      </c>
      <c r="C1554" s="87">
        <v>1991</v>
      </c>
      <c r="D1554" s="87" t="s">
        <v>18</v>
      </c>
      <c r="E1554" s="116">
        <v>-1</v>
      </c>
      <c r="F1554" s="87" t="s">
        <v>900</v>
      </c>
      <c r="G1554" s="87" t="s">
        <v>967</v>
      </c>
      <c r="H1554" s="87" t="s">
        <v>900</v>
      </c>
      <c r="I1554" s="87">
        <v>75</v>
      </c>
    </row>
    <row r="1555" spans="1:9" ht="15" customHeight="1" x14ac:dyDescent="0.25">
      <c r="A1555" s="87" t="s">
        <v>33</v>
      </c>
      <c r="B1555" s="87" t="s">
        <v>316</v>
      </c>
      <c r="C1555" s="87">
        <v>1992</v>
      </c>
      <c r="D1555" s="87" t="s">
        <v>18</v>
      </c>
      <c r="E1555" s="116">
        <v>-1</v>
      </c>
      <c r="F1555" s="87" t="s">
        <v>900</v>
      </c>
      <c r="G1555" s="87" t="s">
        <v>967</v>
      </c>
      <c r="H1555" s="87" t="s">
        <v>900</v>
      </c>
      <c r="I1555" s="87">
        <v>75</v>
      </c>
    </row>
    <row r="1556" spans="1:9" ht="15" customHeight="1" x14ac:dyDescent="0.25">
      <c r="A1556" s="87" t="s">
        <v>33</v>
      </c>
      <c r="B1556" s="87" t="s">
        <v>316</v>
      </c>
      <c r="C1556" s="87">
        <v>1993</v>
      </c>
      <c r="D1556" s="87" t="s">
        <v>18</v>
      </c>
      <c r="E1556" s="116">
        <v>-1</v>
      </c>
      <c r="F1556" s="87" t="s">
        <v>900</v>
      </c>
      <c r="G1556" s="87" t="s">
        <v>967</v>
      </c>
      <c r="H1556" s="87" t="s">
        <v>900</v>
      </c>
      <c r="I1556" s="87">
        <v>75</v>
      </c>
    </row>
    <row r="1557" spans="1:9" ht="15" customHeight="1" x14ac:dyDescent="0.25">
      <c r="A1557" s="87" t="s">
        <v>33</v>
      </c>
      <c r="B1557" s="87" t="s">
        <v>316</v>
      </c>
      <c r="C1557" s="87">
        <v>1994</v>
      </c>
      <c r="D1557" s="87" t="s">
        <v>18</v>
      </c>
      <c r="E1557" s="116">
        <v>30</v>
      </c>
      <c r="F1557" s="87" t="s">
        <v>508</v>
      </c>
      <c r="G1557" s="87" t="s">
        <v>967</v>
      </c>
      <c r="H1557" s="87" t="s">
        <v>508</v>
      </c>
      <c r="I1557" s="87">
        <v>75</v>
      </c>
    </row>
    <row r="1558" spans="1:9" ht="15" customHeight="1" x14ac:dyDescent="0.25">
      <c r="A1558" s="87" t="s">
        <v>33</v>
      </c>
      <c r="B1558" s="87" t="s">
        <v>316</v>
      </c>
      <c r="C1558" s="87">
        <v>1995</v>
      </c>
      <c r="D1558" s="87" t="s">
        <v>18</v>
      </c>
      <c r="E1558" s="116">
        <v>-1</v>
      </c>
      <c r="F1558" s="87" t="s">
        <v>900</v>
      </c>
      <c r="G1558" s="87" t="s">
        <v>967</v>
      </c>
      <c r="H1558" s="87" t="s">
        <v>900</v>
      </c>
      <c r="I1558" s="87">
        <v>75</v>
      </c>
    </row>
    <row r="1559" spans="1:9" ht="15" customHeight="1" x14ac:dyDescent="0.25">
      <c r="A1559" s="87" t="s">
        <v>33</v>
      </c>
      <c r="B1559" s="87" t="s">
        <v>316</v>
      </c>
      <c r="C1559" s="87">
        <v>1996</v>
      </c>
      <c r="D1559" s="87" t="s">
        <v>18</v>
      </c>
      <c r="E1559" s="116">
        <v>20</v>
      </c>
      <c r="F1559" s="87" t="s">
        <v>967</v>
      </c>
      <c r="G1559" s="87" t="s">
        <v>967</v>
      </c>
      <c r="H1559" s="87" t="s">
        <v>967</v>
      </c>
      <c r="I1559" s="87">
        <v>75</v>
      </c>
    </row>
    <row r="1560" spans="1:9" ht="15" customHeight="1" x14ac:dyDescent="0.25">
      <c r="A1560" s="87" t="s">
        <v>33</v>
      </c>
      <c r="B1560" s="87" t="s">
        <v>316</v>
      </c>
      <c r="C1560" s="87">
        <v>1997</v>
      </c>
      <c r="D1560" s="87" t="s">
        <v>18</v>
      </c>
      <c r="E1560" s="116">
        <v>48</v>
      </c>
      <c r="F1560" s="87" t="s">
        <v>967</v>
      </c>
      <c r="G1560" s="87" t="s">
        <v>967</v>
      </c>
      <c r="H1560" s="87" t="s">
        <v>967</v>
      </c>
      <c r="I1560" s="87">
        <v>75</v>
      </c>
    </row>
    <row r="1561" spans="1:9" ht="15" customHeight="1" x14ac:dyDescent="0.25">
      <c r="A1561" s="87" t="s">
        <v>33</v>
      </c>
      <c r="B1561" s="87" t="s">
        <v>316</v>
      </c>
      <c r="C1561" s="87">
        <v>1998</v>
      </c>
      <c r="D1561" s="87" t="s">
        <v>18</v>
      </c>
      <c r="E1561" s="116">
        <v>-1</v>
      </c>
      <c r="F1561" s="87" t="s">
        <v>909</v>
      </c>
      <c r="G1561" s="87" t="s">
        <v>272</v>
      </c>
      <c r="H1561" s="87" t="s">
        <v>909</v>
      </c>
      <c r="I1561" s="87">
        <v>75</v>
      </c>
    </row>
    <row r="1562" spans="1:9" ht="15" customHeight="1" x14ac:dyDescent="0.25">
      <c r="A1562" s="87" t="s">
        <v>33</v>
      </c>
      <c r="B1562" s="87" t="s">
        <v>316</v>
      </c>
      <c r="C1562" s="87">
        <v>1999</v>
      </c>
      <c r="D1562" s="87" t="s">
        <v>18</v>
      </c>
      <c r="E1562" s="116">
        <v>-1</v>
      </c>
      <c r="F1562" s="87" t="s">
        <v>904</v>
      </c>
      <c r="G1562" s="87" t="s">
        <v>272</v>
      </c>
      <c r="H1562" s="87" t="s">
        <v>904</v>
      </c>
      <c r="I1562" s="87">
        <v>75</v>
      </c>
    </row>
    <row r="1563" spans="1:9" ht="15" customHeight="1" x14ac:dyDescent="0.25">
      <c r="A1563" s="87" t="s">
        <v>33</v>
      </c>
      <c r="B1563" s="87" t="s">
        <v>316</v>
      </c>
      <c r="C1563" s="87">
        <v>2000</v>
      </c>
      <c r="D1563" s="87" t="s">
        <v>18</v>
      </c>
      <c r="E1563" s="116">
        <v>-1</v>
      </c>
      <c r="F1563" s="87" t="s">
        <v>900</v>
      </c>
      <c r="G1563" s="87" t="s">
        <v>272</v>
      </c>
      <c r="H1563" s="87" t="s">
        <v>900</v>
      </c>
      <c r="I1563" s="87">
        <v>75</v>
      </c>
    </row>
    <row r="1564" spans="1:9" ht="15" customHeight="1" x14ac:dyDescent="0.25">
      <c r="A1564" s="87" t="s">
        <v>33</v>
      </c>
      <c r="B1564" s="87" t="s">
        <v>316</v>
      </c>
      <c r="C1564" s="87">
        <v>2001</v>
      </c>
      <c r="D1564" s="87" t="s">
        <v>18</v>
      </c>
      <c r="E1564" s="116">
        <v>215</v>
      </c>
      <c r="F1564" s="87" t="s">
        <v>967</v>
      </c>
      <c r="G1564" s="87" t="s">
        <v>967</v>
      </c>
      <c r="H1564" s="87" t="s">
        <v>967</v>
      </c>
      <c r="I1564" s="87">
        <v>75</v>
      </c>
    </row>
    <row r="1565" spans="1:9" ht="15" customHeight="1" x14ac:dyDescent="0.25">
      <c r="A1565" s="87" t="s">
        <v>33</v>
      </c>
      <c r="B1565" s="87" t="s">
        <v>316</v>
      </c>
      <c r="C1565" s="87">
        <v>2002</v>
      </c>
      <c r="D1565" s="87" t="s">
        <v>18</v>
      </c>
      <c r="E1565" s="116">
        <v>300</v>
      </c>
      <c r="F1565" s="87" t="s">
        <v>967</v>
      </c>
      <c r="G1565" s="87" t="s">
        <v>272</v>
      </c>
      <c r="H1565" s="87" t="s">
        <v>967</v>
      </c>
      <c r="I1565" s="87">
        <v>75</v>
      </c>
    </row>
    <row r="1566" spans="1:9" ht="15" customHeight="1" x14ac:dyDescent="0.25">
      <c r="A1566" s="87" t="s">
        <v>33</v>
      </c>
      <c r="B1566" s="87" t="s">
        <v>316</v>
      </c>
      <c r="C1566" s="87">
        <v>2003</v>
      </c>
      <c r="D1566" s="87" t="s">
        <v>18</v>
      </c>
      <c r="E1566" s="116">
        <v>345</v>
      </c>
      <c r="F1566" s="87" t="s">
        <v>967</v>
      </c>
      <c r="G1566" s="87" t="s">
        <v>274</v>
      </c>
      <c r="H1566" s="87" t="s">
        <v>967</v>
      </c>
      <c r="I1566" s="87">
        <v>75</v>
      </c>
    </row>
    <row r="1567" spans="1:9" ht="15" customHeight="1" x14ac:dyDescent="0.25">
      <c r="A1567" s="87" t="s">
        <v>33</v>
      </c>
      <c r="B1567" s="87" t="s">
        <v>316</v>
      </c>
      <c r="C1567" s="87">
        <v>2004</v>
      </c>
      <c r="D1567" s="87" t="s">
        <v>18</v>
      </c>
      <c r="E1567" s="116">
        <v>245</v>
      </c>
      <c r="F1567" s="87" t="s">
        <v>967</v>
      </c>
      <c r="G1567" s="87" t="s">
        <v>272</v>
      </c>
      <c r="H1567" s="87" t="s">
        <v>687</v>
      </c>
      <c r="I1567" s="87">
        <v>75</v>
      </c>
    </row>
    <row r="1568" spans="1:9" ht="15" customHeight="1" x14ac:dyDescent="0.25">
      <c r="A1568" s="87" t="s">
        <v>33</v>
      </c>
      <c r="B1568" s="87" t="s">
        <v>316</v>
      </c>
      <c r="C1568" s="87">
        <v>2005</v>
      </c>
      <c r="D1568" s="87" t="s">
        <v>18</v>
      </c>
      <c r="E1568" s="116">
        <v>265</v>
      </c>
      <c r="F1568" s="87" t="s">
        <v>967</v>
      </c>
      <c r="G1568" s="87" t="s">
        <v>272</v>
      </c>
      <c r="H1568" s="87" t="s">
        <v>967</v>
      </c>
      <c r="I1568" s="87">
        <v>75</v>
      </c>
    </row>
    <row r="1569" spans="1:9" ht="15" customHeight="1" x14ac:dyDescent="0.25">
      <c r="A1569" s="87" t="s">
        <v>33</v>
      </c>
      <c r="B1569" s="87" t="s">
        <v>316</v>
      </c>
      <c r="C1569" s="87">
        <v>2006</v>
      </c>
      <c r="D1569" s="87" t="s">
        <v>18</v>
      </c>
      <c r="E1569" s="116">
        <v>111</v>
      </c>
      <c r="F1569" s="87" t="s">
        <v>967</v>
      </c>
      <c r="G1569" s="87" t="s">
        <v>272</v>
      </c>
      <c r="H1569" s="87" t="s">
        <v>967</v>
      </c>
      <c r="I1569" s="87">
        <v>75</v>
      </c>
    </row>
    <row r="1570" spans="1:9" ht="15" customHeight="1" x14ac:dyDescent="0.25">
      <c r="A1570" s="87" t="s">
        <v>33</v>
      </c>
      <c r="B1570" s="87" t="s">
        <v>316</v>
      </c>
      <c r="C1570" s="87">
        <v>2007</v>
      </c>
      <c r="D1570" s="87" t="s">
        <v>18</v>
      </c>
      <c r="E1570" s="116">
        <v>97</v>
      </c>
      <c r="F1570" s="87" t="s">
        <v>967</v>
      </c>
      <c r="G1570" s="87" t="s">
        <v>272</v>
      </c>
      <c r="H1570" s="87" t="s">
        <v>967</v>
      </c>
      <c r="I1570" s="87">
        <v>75</v>
      </c>
    </row>
    <row r="1571" spans="1:9" ht="15" customHeight="1" x14ac:dyDescent="0.25">
      <c r="A1571" s="87" t="s">
        <v>33</v>
      </c>
      <c r="B1571" s="87" t="s">
        <v>316</v>
      </c>
      <c r="C1571" s="87">
        <v>2008</v>
      </c>
      <c r="D1571" s="87" t="s">
        <v>18</v>
      </c>
      <c r="E1571" s="116">
        <v>639</v>
      </c>
      <c r="F1571" s="87" t="s">
        <v>967</v>
      </c>
      <c r="G1571" s="87" t="s">
        <v>272</v>
      </c>
      <c r="H1571" s="87" t="s">
        <v>688</v>
      </c>
      <c r="I1571" s="87">
        <v>75</v>
      </c>
    </row>
    <row r="1572" spans="1:9" ht="15" customHeight="1" x14ac:dyDescent="0.25">
      <c r="A1572" s="87" t="s">
        <v>33</v>
      </c>
      <c r="B1572" s="87" t="s">
        <v>316</v>
      </c>
      <c r="C1572" s="87">
        <v>2009</v>
      </c>
      <c r="D1572" s="87" t="s">
        <v>18</v>
      </c>
      <c r="E1572" s="116">
        <v>189</v>
      </c>
      <c r="F1572" s="87" t="s">
        <v>967</v>
      </c>
      <c r="G1572" s="87" t="s">
        <v>272</v>
      </c>
      <c r="H1572" s="87" t="s">
        <v>967</v>
      </c>
      <c r="I1572" s="87">
        <v>75</v>
      </c>
    </row>
    <row r="1573" spans="1:9" ht="15" customHeight="1" x14ac:dyDescent="0.25">
      <c r="A1573" s="87" t="s">
        <v>33</v>
      </c>
      <c r="B1573" s="87" t="s">
        <v>316</v>
      </c>
      <c r="C1573" s="87">
        <v>2010</v>
      </c>
      <c r="D1573" s="87" t="s">
        <v>18</v>
      </c>
      <c r="E1573" s="116">
        <v>225</v>
      </c>
      <c r="F1573" s="87" t="s">
        <v>967</v>
      </c>
      <c r="G1573" s="87" t="s">
        <v>272</v>
      </c>
      <c r="H1573" s="87" t="s">
        <v>967</v>
      </c>
      <c r="I1573" s="87">
        <v>75</v>
      </c>
    </row>
    <row r="1574" spans="1:9" ht="15" customHeight="1" x14ac:dyDescent="0.25">
      <c r="A1574" s="87" t="s">
        <v>33</v>
      </c>
      <c r="B1574" s="87" t="s">
        <v>316</v>
      </c>
      <c r="C1574" s="87">
        <v>2011</v>
      </c>
      <c r="D1574" s="87" t="s">
        <v>18</v>
      </c>
      <c r="E1574" s="116">
        <v>37</v>
      </c>
      <c r="F1574" s="87" t="s">
        <v>967</v>
      </c>
      <c r="G1574" s="87" t="s">
        <v>272</v>
      </c>
      <c r="H1574" s="87" t="s">
        <v>967</v>
      </c>
      <c r="I1574" s="87">
        <v>75</v>
      </c>
    </row>
    <row r="1575" spans="1:9" ht="15" customHeight="1" x14ac:dyDescent="0.25">
      <c r="A1575" s="87" t="s">
        <v>33</v>
      </c>
      <c r="B1575" s="87" t="s">
        <v>316</v>
      </c>
      <c r="C1575" s="87">
        <v>2012</v>
      </c>
      <c r="D1575" s="87" t="s">
        <v>18</v>
      </c>
      <c r="E1575" s="116">
        <v>35</v>
      </c>
      <c r="F1575" s="87" t="s">
        <v>967</v>
      </c>
      <c r="G1575" s="87" t="s">
        <v>274</v>
      </c>
      <c r="H1575" s="87" t="s">
        <v>967</v>
      </c>
      <c r="I1575" s="87">
        <v>75</v>
      </c>
    </row>
    <row r="1576" spans="1:9" ht="15" customHeight="1" x14ac:dyDescent="0.25">
      <c r="A1576" s="87" t="s">
        <v>33</v>
      </c>
      <c r="B1576" s="87" t="s">
        <v>316</v>
      </c>
      <c r="C1576" s="87">
        <v>2013</v>
      </c>
      <c r="D1576" s="87" t="s">
        <v>18</v>
      </c>
      <c r="E1576" s="116">
        <v>80</v>
      </c>
      <c r="F1576" s="87" t="s">
        <v>967</v>
      </c>
      <c r="G1576" s="87" t="s">
        <v>274</v>
      </c>
      <c r="H1576" s="87" t="s">
        <v>967</v>
      </c>
      <c r="I1576" s="87">
        <v>75</v>
      </c>
    </row>
    <row r="1577" spans="1:9" ht="15" customHeight="1" x14ac:dyDescent="0.25">
      <c r="A1577" s="87" t="s">
        <v>33</v>
      </c>
      <c r="B1577" s="87" t="s">
        <v>316</v>
      </c>
      <c r="C1577" s="87">
        <v>2014</v>
      </c>
      <c r="D1577" s="87" t="s">
        <v>18</v>
      </c>
      <c r="E1577" s="116">
        <v>75</v>
      </c>
      <c r="F1577" s="87" t="s">
        <v>967</v>
      </c>
      <c r="G1577" s="87" t="s">
        <v>272</v>
      </c>
      <c r="H1577" s="87" t="s">
        <v>967</v>
      </c>
      <c r="I1577" s="87">
        <v>75</v>
      </c>
    </row>
    <row r="1578" spans="1:9" ht="15" customHeight="1" x14ac:dyDescent="0.25">
      <c r="A1578" s="87" t="s">
        <v>33</v>
      </c>
      <c r="B1578" s="87" t="s">
        <v>316</v>
      </c>
      <c r="C1578" s="87">
        <v>2015</v>
      </c>
      <c r="D1578" s="87" t="s">
        <v>18</v>
      </c>
      <c r="E1578" s="116">
        <v>117</v>
      </c>
      <c r="F1578" s="87" t="s">
        <v>967</v>
      </c>
      <c r="G1578" s="87" t="s">
        <v>272</v>
      </c>
      <c r="H1578" s="87" t="s">
        <v>689</v>
      </c>
      <c r="I1578" s="87">
        <v>75</v>
      </c>
    </row>
    <row r="1579" spans="1:9" ht="15" customHeight="1" x14ac:dyDescent="0.25">
      <c r="A1579" s="87" t="s">
        <v>33</v>
      </c>
      <c r="B1579" s="87" t="s">
        <v>316</v>
      </c>
      <c r="C1579" s="87">
        <v>2016</v>
      </c>
      <c r="D1579" s="87" t="s">
        <v>18</v>
      </c>
      <c r="E1579" s="116">
        <v>37</v>
      </c>
      <c r="F1579" s="87" t="s">
        <v>967</v>
      </c>
      <c r="G1579" s="87" t="s">
        <v>274</v>
      </c>
      <c r="H1579" s="87" t="s">
        <v>690</v>
      </c>
      <c r="I1579" s="87">
        <v>75</v>
      </c>
    </row>
    <row r="1580" spans="1:9" ht="15" customHeight="1" x14ac:dyDescent="0.25">
      <c r="A1580" s="87" t="s">
        <v>33</v>
      </c>
      <c r="B1580" s="87" t="s">
        <v>316</v>
      </c>
      <c r="C1580" s="87">
        <v>2017</v>
      </c>
      <c r="D1580" s="87" t="s">
        <v>18</v>
      </c>
      <c r="E1580" s="116">
        <v>35</v>
      </c>
      <c r="F1580" s="87" t="s">
        <v>967</v>
      </c>
      <c r="G1580" s="87" t="s">
        <v>274</v>
      </c>
      <c r="H1580" s="87" t="s">
        <v>967</v>
      </c>
      <c r="I1580" s="87">
        <v>75</v>
      </c>
    </row>
    <row r="1581" spans="1:9" ht="15" customHeight="1" x14ac:dyDescent="0.25">
      <c r="A1581" s="87" t="s">
        <v>33</v>
      </c>
      <c r="B1581" s="87" t="s">
        <v>316</v>
      </c>
      <c r="C1581" s="87">
        <v>2018</v>
      </c>
      <c r="D1581" s="87" t="s">
        <v>18</v>
      </c>
      <c r="E1581" s="116">
        <v>42</v>
      </c>
      <c r="F1581" s="87" t="s">
        <v>967</v>
      </c>
      <c r="G1581" s="87" t="s">
        <v>274</v>
      </c>
      <c r="H1581" s="87" t="s">
        <v>930</v>
      </c>
      <c r="I1581" s="87">
        <v>75</v>
      </c>
    </row>
    <row r="1582" spans="1:9" ht="15" customHeight="1" x14ac:dyDescent="0.25">
      <c r="A1582" s="87" t="s">
        <v>33</v>
      </c>
      <c r="B1582" s="87" t="s">
        <v>316</v>
      </c>
      <c r="C1582" s="87">
        <v>2019</v>
      </c>
      <c r="D1582" s="87" t="s">
        <v>18</v>
      </c>
      <c r="E1582" s="116">
        <v>11</v>
      </c>
      <c r="F1582" s="87" t="s">
        <v>967</v>
      </c>
      <c r="G1582" s="87" t="s">
        <v>274</v>
      </c>
      <c r="H1582" s="87" t="s">
        <v>967</v>
      </c>
      <c r="I1582" s="87">
        <v>75</v>
      </c>
    </row>
    <row r="1583" spans="1:9" ht="15" customHeight="1" x14ac:dyDescent="0.25">
      <c r="A1583" s="87" t="s">
        <v>33</v>
      </c>
      <c r="B1583" s="87" t="s">
        <v>316</v>
      </c>
      <c r="C1583" s="87">
        <v>2020</v>
      </c>
      <c r="D1583" s="87" t="s">
        <v>18</v>
      </c>
      <c r="E1583" s="116">
        <v>25</v>
      </c>
      <c r="F1583" s="87" t="s">
        <v>967</v>
      </c>
      <c r="G1583" s="87" t="s">
        <v>272</v>
      </c>
      <c r="H1583" s="87" t="s">
        <v>967</v>
      </c>
      <c r="I1583" s="87">
        <v>75</v>
      </c>
    </row>
    <row r="1584" spans="1:9" ht="15" customHeight="1" x14ac:dyDescent="0.25">
      <c r="A1584" s="87" t="s">
        <v>33</v>
      </c>
      <c r="B1584" s="87" t="s">
        <v>316</v>
      </c>
      <c r="C1584" s="87">
        <v>2021</v>
      </c>
      <c r="D1584" s="87" t="s">
        <v>18</v>
      </c>
      <c r="E1584" s="116">
        <v>51</v>
      </c>
      <c r="F1584" s="87" t="s">
        <v>967</v>
      </c>
      <c r="G1584" s="87" t="s">
        <v>272</v>
      </c>
      <c r="H1584" s="87" t="s">
        <v>967</v>
      </c>
      <c r="I1584" s="87">
        <v>75</v>
      </c>
    </row>
    <row r="1585" spans="1:9" ht="15" customHeight="1" x14ac:dyDescent="0.25">
      <c r="A1585" s="87" t="s">
        <v>33</v>
      </c>
      <c r="B1585" s="87" t="s">
        <v>316</v>
      </c>
      <c r="C1585" s="87">
        <v>2022</v>
      </c>
      <c r="D1585" s="87" t="s">
        <v>18</v>
      </c>
      <c r="E1585" s="116">
        <v>28</v>
      </c>
      <c r="F1585" s="87" t="s">
        <v>967</v>
      </c>
      <c r="G1585" s="87" t="s">
        <v>272</v>
      </c>
      <c r="H1585" s="87" t="s">
        <v>967</v>
      </c>
      <c r="I1585" s="87">
        <v>75</v>
      </c>
    </row>
    <row r="1586" spans="1:9" ht="15" customHeight="1" x14ac:dyDescent="0.25">
      <c r="A1586" s="87" t="s">
        <v>33</v>
      </c>
      <c r="B1586" s="87" t="s">
        <v>319</v>
      </c>
      <c r="C1586" s="87">
        <v>1975</v>
      </c>
      <c r="D1586" s="87" t="s">
        <v>18</v>
      </c>
      <c r="E1586" s="116">
        <v>1500</v>
      </c>
      <c r="F1586" s="87" t="s">
        <v>508</v>
      </c>
      <c r="G1586" s="87" t="s">
        <v>967</v>
      </c>
      <c r="H1586" s="87" t="s">
        <v>508</v>
      </c>
      <c r="I1586" s="87">
        <v>19</v>
      </c>
    </row>
    <row r="1587" spans="1:9" ht="15" customHeight="1" x14ac:dyDescent="0.25">
      <c r="A1587" s="87" t="s">
        <v>33</v>
      </c>
      <c r="B1587" s="87" t="s">
        <v>319</v>
      </c>
      <c r="C1587" s="87">
        <v>1976</v>
      </c>
      <c r="D1587" s="87" t="s">
        <v>18</v>
      </c>
      <c r="E1587" s="116">
        <v>1200</v>
      </c>
      <c r="F1587" s="87" t="s">
        <v>508</v>
      </c>
      <c r="G1587" s="87" t="s">
        <v>967</v>
      </c>
      <c r="H1587" s="87" t="s">
        <v>508</v>
      </c>
      <c r="I1587" s="87">
        <v>19</v>
      </c>
    </row>
    <row r="1588" spans="1:9" ht="15" customHeight="1" x14ac:dyDescent="0.25">
      <c r="A1588" s="87" t="s">
        <v>33</v>
      </c>
      <c r="B1588" s="87" t="s">
        <v>319</v>
      </c>
      <c r="C1588" s="87">
        <v>1977</v>
      </c>
      <c r="D1588" s="87" t="s">
        <v>18</v>
      </c>
      <c r="E1588" s="116">
        <v>2000</v>
      </c>
      <c r="F1588" s="87" t="s">
        <v>508</v>
      </c>
      <c r="G1588" s="87" t="s">
        <v>967</v>
      </c>
      <c r="H1588" s="87" t="s">
        <v>508</v>
      </c>
      <c r="I1588" s="87">
        <v>19</v>
      </c>
    </row>
    <row r="1589" spans="1:9" ht="15" customHeight="1" x14ac:dyDescent="0.25">
      <c r="A1589" s="87" t="s">
        <v>33</v>
      </c>
      <c r="B1589" s="87" t="s">
        <v>319</v>
      </c>
      <c r="C1589" s="87">
        <v>1978</v>
      </c>
      <c r="D1589" s="87" t="s">
        <v>18</v>
      </c>
      <c r="E1589" s="116">
        <v>2600</v>
      </c>
      <c r="F1589" s="87" t="s">
        <v>508</v>
      </c>
      <c r="G1589" s="87" t="s">
        <v>967</v>
      </c>
      <c r="H1589" s="87" t="s">
        <v>508</v>
      </c>
      <c r="I1589" s="87">
        <v>19</v>
      </c>
    </row>
    <row r="1590" spans="1:9" ht="15" customHeight="1" x14ac:dyDescent="0.25">
      <c r="A1590" s="87" t="s">
        <v>33</v>
      </c>
      <c r="B1590" s="87" t="s">
        <v>319</v>
      </c>
      <c r="C1590" s="87">
        <v>1979</v>
      </c>
      <c r="D1590" s="87" t="s">
        <v>18</v>
      </c>
      <c r="E1590" s="116">
        <v>1800</v>
      </c>
      <c r="F1590" s="87" t="s">
        <v>508</v>
      </c>
      <c r="G1590" s="87" t="s">
        <v>967</v>
      </c>
      <c r="H1590" s="87" t="s">
        <v>508</v>
      </c>
      <c r="I1590" s="87">
        <v>19</v>
      </c>
    </row>
    <row r="1591" spans="1:9" ht="15" customHeight="1" x14ac:dyDescent="0.25">
      <c r="A1591" s="87" t="s">
        <v>33</v>
      </c>
      <c r="B1591" s="87" t="s">
        <v>319</v>
      </c>
      <c r="C1591" s="87">
        <v>1980</v>
      </c>
      <c r="D1591" s="87" t="s">
        <v>18</v>
      </c>
      <c r="E1591" s="116">
        <v>2038</v>
      </c>
      <c r="F1591" s="87" t="s">
        <v>892</v>
      </c>
      <c r="G1591" s="87" t="s">
        <v>967</v>
      </c>
      <c r="H1591" s="87" t="s">
        <v>931</v>
      </c>
      <c r="I1591" s="87">
        <v>19</v>
      </c>
    </row>
    <row r="1592" spans="1:9" ht="15" customHeight="1" x14ac:dyDescent="0.25">
      <c r="A1592" s="87" t="s">
        <v>33</v>
      </c>
      <c r="B1592" s="87" t="s">
        <v>319</v>
      </c>
      <c r="C1592" s="87">
        <v>1981</v>
      </c>
      <c r="D1592" s="87" t="s">
        <v>18</v>
      </c>
      <c r="E1592" s="116">
        <v>2814</v>
      </c>
      <c r="F1592" s="87" t="s">
        <v>892</v>
      </c>
      <c r="G1592" s="87" t="s">
        <v>967</v>
      </c>
      <c r="H1592" s="87" t="s">
        <v>931</v>
      </c>
      <c r="I1592" s="87">
        <v>19</v>
      </c>
    </row>
    <row r="1593" spans="1:9" ht="15" customHeight="1" x14ac:dyDescent="0.25">
      <c r="A1593" s="87" t="s">
        <v>33</v>
      </c>
      <c r="B1593" s="87" t="s">
        <v>319</v>
      </c>
      <c r="C1593" s="87">
        <v>1982</v>
      </c>
      <c r="D1593" s="87" t="s">
        <v>18</v>
      </c>
      <c r="E1593" s="116">
        <v>1590</v>
      </c>
      <c r="F1593" s="87" t="s">
        <v>892</v>
      </c>
      <c r="G1593" s="87" t="s">
        <v>967</v>
      </c>
      <c r="H1593" s="87" t="s">
        <v>931</v>
      </c>
      <c r="I1593" s="87">
        <v>19</v>
      </c>
    </row>
    <row r="1594" spans="1:9" ht="15" customHeight="1" x14ac:dyDescent="0.25">
      <c r="A1594" s="87" t="s">
        <v>33</v>
      </c>
      <c r="B1594" s="87" t="s">
        <v>319</v>
      </c>
      <c r="C1594" s="87">
        <v>1983</v>
      </c>
      <c r="D1594" s="87" t="s">
        <v>18</v>
      </c>
      <c r="E1594" s="116">
        <v>1114</v>
      </c>
      <c r="F1594" s="87" t="s">
        <v>892</v>
      </c>
      <c r="G1594" s="87" t="s">
        <v>967</v>
      </c>
      <c r="H1594" s="87" t="s">
        <v>931</v>
      </c>
      <c r="I1594" s="87">
        <v>19</v>
      </c>
    </row>
    <row r="1595" spans="1:9" ht="15" customHeight="1" x14ac:dyDescent="0.25">
      <c r="A1595" s="87" t="s">
        <v>33</v>
      </c>
      <c r="B1595" s="87" t="s">
        <v>319</v>
      </c>
      <c r="C1595" s="87">
        <v>1984</v>
      </c>
      <c r="D1595" s="87" t="s">
        <v>18</v>
      </c>
      <c r="E1595" s="116">
        <v>2099</v>
      </c>
      <c r="F1595" s="87" t="s">
        <v>892</v>
      </c>
      <c r="G1595" s="87" t="s">
        <v>967</v>
      </c>
      <c r="H1595" s="87" t="s">
        <v>931</v>
      </c>
      <c r="I1595" s="87">
        <v>19</v>
      </c>
    </row>
    <row r="1596" spans="1:9" ht="15" customHeight="1" x14ac:dyDescent="0.25">
      <c r="A1596" s="87" t="s">
        <v>33</v>
      </c>
      <c r="B1596" s="87" t="s">
        <v>319</v>
      </c>
      <c r="C1596" s="87">
        <v>1985</v>
      </c>
      <c r="D1596" s="87" t="s">
        <v>18</v>
      </c>
      <c r="E1596" s="116">
        <v>2591</v>
      </c>
      <c r="F1596" s="87" t="s">
        <v>892</v>
      </c>
      <c r="G1596" s="87" t="s">
        <v>967</v>
      </c>
      <c r="H1596" s="87" t="s">
        <v>931</v>
      </c>
      <c r="I1596" s="87">
        <v>19</v>
      </c>
    </row>
    <row r="1597" spans="1:9" ht="15" customHeight="1" x14ac:dyDescent="0.25">
      <c r="A1597" s="87" t="s">
        <v>33</v>
      </c>
      <c r="B1597" s="87" t="s">
        <v>319</v>
      </c>
      <c r="C1597" s="87">
        <v>1986</v>
      </c>
      <c r="D1597" s="87" t="s">
        <v>18</v>
      </c>
      <c r="E1597" s="116">
        <v>2685</v>
      </c>
      <c r="F1597" s="87" t="s">
        <v>892</v>
      </c>
      <c r="G1597" s="87" t="s">
        <v>967</v>
      </c>
      <c r="H1597" s="87" t="s">
        <v>931</v>
      </c>
      <c r="I1597" s="87">
        <v>19</v>
      </c>
    </row>
    <row r="1598" spans="1:9" ht="15" customHeight="1" x14ac:dyDescent="0.25">
      <c r="A1598" s="87" t="s">
        <v>33</v>
      </c>
      <c r="B1598" s="87" t="s">
        <v>319</v>
      </c>
      <c r="C1598" s="87">
        <v>1987</v>
      </c>
      <c r="D1598" s="87" t="s">
        <v>18</v>
      </c>
      <c r="E1598" s="116">
        <v>2042</v>
      </c>
      <c r="F1598" s="87" t="s">
        <v>892</v>
      </c>
      <c r="G1598" s="87" t="s">
        <v>967</v>
      </c>
      <c r="H1598" s="87" t="s">
        <v>931</v>
      </c>
      <c r="I1598" s="87">
        <v>19</v>
      </c>
    </row>
    <row r="1599" spans="1:9" ht="15" customHeight="1" x14ac:dyDescent="0.25">
      <c r="A1599" s="87" t="s">
        <v>33</v>
      </c>
      <c r="B1599" s="87" t="s">
        <v>319</v>
      </c>
      <c r="C1599" s="87">
        <v>1988</v>
      </c>
      <c r="D1599" s="87" t="s">
        <v>18</v>
      </c>
      <c r="E1599" s="116">
        <v>2801</v>
      </c>
      <c r="F1599" s="87" t="s">
        <v>892</v>
      </c>
      <c r="G1599" s="87" t="s">
        <v>967</v>
      </c>
      <c r="H1599" s="87" t="s">
        <v>931</v>
      </c>
      <c r="I1599" s="87">
        <v>19</v>
      </c>
    </row>
    <row r="1600" spans="1:9" ht="15" customHeight="1" x14ac:dyDescent="0.25">
      <c r="A1600" s="87" t="s">
        <v>33</v>
      </c>
      <c r="B1600" s="87" t="s">
        <v>319</v>
      </c>
      <c r="C1600" s="87">
        <v>1989</v>
      </c>
      <c r="D1600" s="87" t="s">
        <v>18</v>
      </c>
      <c r="E1600" s="116">
        <v>2928</v>
      </c>
      <c r="F1600" s="87" t="s">
        <v>893</v>
      </c>
      <c r="G1600" s="87" t="s">
        <v>274</v>
      </c>
      <c r="H1600" s="87" t="s">
        <v>967</v>
      </c>
      <c r="I1600" s="87">
        <v>19</v>
      </c>
    </row>
    <row r="1601" spans="1:9" ht="15" customHeight="1" x14ac:dyDescent="0.25">
      <c r="A1601" s="87" t="s">
        <v>33</v>
      </c>
      <c r="B1601" s="87" t="s">
        <v>319</v>
      </c>
      <c r="C1601" s="87">
        <v>1990</v>
      </c>
      <c r="D1601" s="87" t="s">
        <v>18</v>
      </c>
      <c r="E1601" s="116">
        <v>2628</v>
      </c>
      <c r="F1601" s="87" t="s">
        <v>893</v>
      </c>
      <c r="G1601" s="87" t="s">
        <v>274</v>
      </c>
      <c r="H1601" s="87" t="s">
        <v>967</v>
      </c>
      <c r="I1601" s="87">
        <v>19</v>
      </c>
    </row>
    <row r="1602" spans="1:9" ht="15" customHeight="1" x14ac:dyDescent="0.25">
      <c r="A1602" s="87" t="s">
        <v>33</v>
      </c>
      <c r="B1602" s="87" t="s">
        <v>319</v>
      </c>
      <c r="C1602" s="87">
        <v>1991</v>
      </c>
      <c r="D1602" s="87" t="s">
        <v>18</v>
      </c>
      <c r="E1602" s="116">
        <v>2371</v>
      </c>
      <c r="F1602" s="87" t="s">
        <v>893</v>
      </c>
      <c r="G1602" s="87" t="s">
        <v>274</v>
      </c>
      <c r="H1602" s="87" t="s">
        <v>967</v>
      </c>
      <c r="I1602" s="87">
        <v>19</v>
      </c>
    </row>
    <row r="1603" spans="1:9" ht="15" customHeight="1" x14ac:dyDescent="0.25">
      <c r="A1603" s="87" t="s">
        <v>33</v>
      </c>
      <c r="B1603" s="87" t="s">
        <v>319</v>
      </c>
      <c r="C1603" s="87">
        <v>1992</v>
      </c>
      <c r="D1603" s="87" t="s">
        <v>18</v>
      </c>
      <c r="E1603" s="116">
        <v>2451</v>
      </c>
      <c r="F1603" s="87" t="s">
        <v>893</v>
      </c>
      <c r="G1603" s="87" t="s">
        <v>274</v>
      </c>
      <c r="H1603" s="87" t="s">
        <v>967</v>
      </c>
      <c r="I1603" s="87">
        <v>19</v>
      </c>
    </row>
    <row r="1604" spans="1:9" ht="15" customHeight="1" x14ac:dyDescent="0.25">
      <c r="A1604" s="87" t="s">
        <v>33</v>
      </c>
      <c r="B1604" s="87" t="s">
        <v>319</v>
      </c>
      <c r="C1604" s="87">
        <v>1993</v>
      </c>
      <c r="D1604" s="87" t="s">
        <v>18</v>
      </c>
      <c r="E1604" s="116">
        <v>685</v>
      </c>
      <c r="F1604" s="87" t="s">
        <v>893</v>
      </c>
      <c r="G1604" s="87" t="s">
        <v>274</v>
      </c>
      <c r="H1604" s="87" t="s">
        <v>967</v>
      </c>
      <c r="I1604" s="87">
        <v>19</v>
      </c>
    </row>
    <row r="1605" spans="1:9" ht="15" customHeight="1" x14ac:dyDescent="0.25">
      <c r="A1605" s="87" t="s">
        <v>33</v>
      </c>
      <c r="B1605" s="87" t="s">
        <v>319</v>
      </c>
      <c r="C1605" s="87">
        <v>1994</v>
      </c>
      <c r="D1605" s="87" t="s">
        <v>18</v>
      </c>
      <c r="E1605" s="116">
        <v>1138</v>
      </c>
      <c r="F1605" s="87" t="s">
        <v>893</v>
      </c>
      <c r="G1605" s="87" t="s">
        <v>274</v>
      </c>
      <c r="H1605" s="87" t="s">
        <v>967</v>
      </c>
      <c r="I1605" s="87">
        <v>19</v>
      </c>
    </row>
    <row r="1606" spans="1:9" ht="15" customHeight="1" x14ac:dyDescent="0.25">
      <c r="A1606" s="87" t="s">
        <v>33</v>
      </c>
      <c r="B1606" s="87" t="s">
        <v>319</v>
      </c>
      <c r="C1606" s="87">
        <v>1995</v>
      </c>
      <c r="D1606" s="87" t="s">
        <v>18</v>
      </c>
      <c r="E1606" s="116">
        <v>1736</v>
      </c>
      <c r="F1606" s="87" t="s">
        <v>893</v>
      </c>
      <c r="G1606" s="87" t="s">
        <v>274</v>
      </c>
      <c r="H1606" s="87" t="s">
        <v>967</v>
      </c>
      <c r="I1606" s="87">
        <v>19</v>
      </c>
    </row>
    <row r="1607" spans="1:9" ht="15" customHeight="1" x14ac:dyDescent="0.25">
      <c r="A1607" s="87" t="s">
        <v>33</v>
      </c>
      <c r="B1607" s="87" t="s">
        <v>319</v>
      </c>
      <c r="C1607" s="87">
        <v>1996</v>
      </c>
      <c r="D1607" s="87" t="s">
        <v>18</v>
      </c>
      <c r="E1607" s="116">
        <v>2005</v>
      </c>
      <c r="F1607" s="87" t="s">
        <v>893</v>
      </c>
      <c r="G1607" s="87" t="s">
        <v>274</v>
      </c>
      <c r="H1607" s="87" t="s">
        <v>967</v>
      </c>
      <c r="I1607" s="87">
        <v>19</v>
      </c>
    </row>
    <row r="1608" spans="1:9" ht="15" customHeight="1" x14ac:dyDescent="0.25">
      <c r="A1608" s="87" t="s">
        <v>33</v>
      </c>
      <c r="B1608" s="87" t="s">
        <v>319</v>
      </c>
      <c r="C1608" s="87">
        <v>1997</v>
      </c>
      <c r="D1608" s="87" t="s">
        <v>18</v>
      </c>
      <c r="E1608" s="116">
        <v>2021</v>
      </c>
      <c r="F1608" s="87" t="s">
        <v>893</v>
      </c>
      <c r="G1608" s="87" t="s">
        <v>274</v>
      </c>
      <c r="H1608" s="87" t="s">
        <v>967</v>
      </c>
      <c r="I1608" s="87">
        <v>19</v>
      </c>
    </row>
    <row r="1609" spans="1:9" ht="15" customHeight="1" x14ac:dyDescent="0.25">
      <c r="A1609" s="87" t="s">
        <v>33</v>
      </c>
      <c r="B1609" s="87" t="s">
        <v>319</v>
      </c>
      <c r="C1609" s="87">
        <v>1998</v>
      </c>
      <c r="D1609" s="87" t="s">
        <v>18</v>
      </c>
      <c r="E1609" s="116">
        <v>1919</v>
      </c>
      <c r="F1609" s="87" t="s">
        <v>893</v>
      </c>
      <c r="G1609" s="87" t="s">
        <v>274</v>
      </c>
      <c r="H1609" s="87" t="s">
        <v>967</v>
      </c>
      <c r="I1609" s="87">
        <v>19</v>
      </c>
    </row>
    <row r="1610" spans="1:9" ht="15" customHeight="1" x14ac:dyDescent="0.25">
      <c r="A1610" s="87" t="s">
        <v>33</v>
      </c>
      <c r="B1610" s="87" t="s">
        <v>319</v>
      </c>
      <c r="C1610" s="87">
        <v>1999</v>
      </c>
      <c r="D1610" s="87" t="s">
        <v>18</v>
      </c>
      <c r="E1610" s="116">
        <v>1876</v>
      </c>
      <c r="F1610" s="87" t="s">
        <v>893</v>
      </c>
      <c r="G1610" s="87" t="s">
        <v>274</v>
      </c>
      <c r="H1610" s="87" t="s">
        <v>967</v>
      </c>
      <c r="I1610" s="87">
        <v>19</v>
      </c>
    </row>
    <row r="1611" spans="1:9" ht="15" customHeight="1" x14ac:dyDescent="0.25">
      <c r="A1611" s="87" t="s">
        <v>33</v>
      </c>
      <c r="B1611" s="87" t="s">
        <v>319</v>
      </c>
      <c r="C1611" s="87">
        <v>2000</v>
      </c>
      <c r="D1611" s="87" t="s">
        <v>18</v>
      </c>
      <c r="E1611" s="116">
        <v>3459</v>
      </c>
      <c r="F1611" s="87" t="s">
        <v>893</v>
      </c>
      <c r="G1611" s="87" t="s">
        <v>274</v>
      </c>
      <c r="H1611" s="87" t="s">
        <v>967</v>
      </c>
      <c r="I1611" s="87">
        <v>19</v>
      </c>
    </row>
    <row r="1612" spans="1:9" ht="15" customHeight="1" x14ac:dyDescent="0.25">
      <c r="A1612" s="87" t="s">
        <v>33</v>
      </c>
      <c r="B1612" s="87" t="s">
        <v>319</v>
      </c>
      <c r="C1612" s="87">
        <v>2001</v>
      </c>
      <c r="D1612" s="87" t="s">
        <v>18</v>
      </c>
      <c r="E1612" s="116">
        <v>5526</v>
      </c>
      <c r="F1612" s="87" t="s">
        <v>893</v>
      </c>
      <c r="G1612" s="87" t="s">
        <v>274</v>
      </c>
      <c r="H1612" s="87" t="s">
        <v>967</v>
      </c>
      <c r="I1612" s="87">
        <v>19</v>
      </c>
    </row>
    <row r="1613" spans="1:9" ht="15" customHeight="1" x14ac:dyDescent="0.25">
      <c r="A1613" s="87" t="s">
        <v>33</v>
      </c>
      <c r="B1613" s="87" t="s">
        <v>319</v>
      </c>
      <c r="C1613" s="87">
        <v>2002</v>
      </c>
      <c r="D1613" s="87" t="s">
        <v>18</v>
      </c>
      <c r="E1613" s="116">
        <v>3397</v>
      </c>
      <c r="F1613" s="87" t="s">
        <v>893</v>
      </c>
      <c r="G1613" s="87" t="s">
        <v>274</v>
      </c>
      <c r="H1613" s="87" t="s">
        <v>967</v>
      </c>
      <c r="I1613" s="87">
        <v>19</v>
      </c>
    </row>
    <row r="1614" spans="1:9" ht="15" customHeight="1" x14ac:dyDescent="0.25">
      <c r="A1614" s="87" t="s">
        <v>33</v>
      </c>
      <c r="B1614" s="87" t="s">
        <v>319</v>
      </c>
      <c r="C1614" s="87">
        <v>2003</v>
      </c>
      <c r="D1614" s="87" t="s">
        <v>18</v>
      </c>
      <c r="E1614" s="116">
        <v>5121</v>
      </c>
      <c r="F1614" s="87" t="s">
        <v>893</v>
      </c>
      <c r="G1614" s="87" t="s">
        <v>274</v>
      </c>
      <c r="H1614" s="87" t="s">
        <v>967</v>
      </c>
      <c r="I1614" s="87">
        <v>19</v>
      </c>
    </row>
    <row r="1615" spans="1:9" ht="15" customHeight="1" x14ac:dyDescent="0.25">
      <c r="A1615" s="87" t="s">
        <v>33</v>
      </c>
      <c r="B1615" s="87" t="s">
        <v>319</v>
      </c>
      <c r="C1615" s="87">
        <v>2004</v>
      </c>
      <c r="D1615" s="87" t="s">
        <v>18</v>
      </c>
      <c r="E1615" s="116">
        <v>4978</v>
      </c>
      <c r="F1615" s="87" t="s">
        <v>893</v>
      </c>
      <c r="G1615" s="87" t="s">
        <v>274</v>
      </c>
      <c r="H1615" s="87" t="s">
        <v>967</v>
      </c>
      <c r="I1615" s="87">
        <v>19</v>
      </c>
    </row>
    <row r="1616" spans="1:9" ht="15" customHeight="1" x14ac:dyDescent="0.25">
      <c r="A1616" s="87" t="s">
        <v>33</v>
      </c>
      <c r="B1616" s="87" t="s">
        <v>319</v>
      </c>
      <c r="C1616" s="87">
        <v>2005</v>
      </c>
      <c r="D1616" s="87" t="s">
        <v>18</v>
      </c>
      <c r="E1616" s="116">
        <v>3393</v>
      </c>
      <c r="F1616" s="87" t="s">
        <v>893</v>
      </c>
      <c r="G1616" s="87" t="s">
        <v>274</v>
      </c>
      <c r="H1616" s="87" t="s">
        <v>967</v>
      </c>
      <c r="I1616" s="87">
        <v>19</v>
      </c>
    </row>
    <row r="1617" spans="1:9" ht="15" customHeight="1" x14ac:dyDescent="0.25">
      <c r="A1617" s="87" t="s">
        <v>33</v>
      </c>
      <c r="B1617" s="87" t="s">
        <v>319</v>
      </c>
      <c r="C1617" s="87">
        <v>2006</v>
      </c>
      <c r="D1617" s="87" t="s">
        <v>18</v>
      </c>
      <c r="E1617" s="116">
        <v>6803</v>
      </c>
      <c r="F1617" s="87" t="s">
        <v>893</v>
      </c>
      <c r="G1617" s="87" t="s">
        <v>274</v>
      </c>
      <c r="H1617" s="87" t="s">
        <v>967</v>
      </c>
      <c r="I1617" s="87">
        <v>19</v>
      </c>
    </row>
    <row r="1618" spans="1:9" ht="15" customHeight="1" x14ac:dyDescent="0.25">
      <c r="A1618" s="87" t="s">
        <v>33</v>
      </c>
      <c r="B1618" s="87" t="s">
        <v>319</v>
      </c>
      <c r="C1618" s="87">
        <v>2007</v>
      </c>
      <c r="D1618" s="87" t="s">
        <v>18</v>
      </c>
      <c r="E1618" s="116">
        <v>1428</v>
      </c>
      <c r="F1618" s="87" t="s">
        <v>893</v>
      </c>
      <c r="G1618" s="87" t="s">
        <v>274</v>
      </c>
      <c r="H1618" s="87" t="s">
        <v>967</v>
      </c>
      <c r="I1618" s="87">
        <v>19</v>
      </c>
    </row>
    <row r="1619" spans="1:9" ht="15" customHeight="1" x14ac:dyDescent="0.25">
      <c r="A1619" s="87" t="s">
        <v>33</v>
      </c>
      <c r="B1619" s="87" t="s">
        <v>319</v>
      </c>
      <c r="C1619" s="87">
        <v>2008</v>
      </c>
      <c r="D1619" s="87" t="s">
        <v>18</v>
      </c>
      <c r="E1619" s="116">
        <v>4670</v>
      </c>
      <c r="F1619" s="87" t="s">
        <v>893</v>
      </c>
      <c r="G1619" s="87" t="s">
        <v>274</v>
      </c>
      <c r="H1619" s="87" t="s">
        <v>967</v>
      </c>
      <c r="I1619" s="87">
        <v>19</v>
      </c>
    </row>
    <row r="1620" spans="1:9" ht="15" customHeight="1" x14ac:dyDescent="0.25">
      <c r="A1620" s="87" t="s">
        <v>33</v>
      </c>
      <c r="B1620" s="87" t="s">
        <v>319</v>
      </c>
      <c r="C1620" s="87">
        <v>2009</v>
      </c>
      <c r="D1620" s="87" t="s">
        <v>18</v>
      </c>
      <c r="E1620" s="116">
        <v>2310</v>
      </c>
      <c r="F1620" s="87" t="s">
        <v>893</v>
      </c>
      <c r="G1620" s="87" t="s">
        <v>274</v>
      </c>
      <c r="H1620" s="87" t="s">
        <v>967</v>
      </c>
      <c r="I1620" s="87">
        <v>19</v>
      </c>
    </row>
    <row r="1621" spans="1:9" ht="15" customHeight="1" x14ac:dyDescent="0.25">
      <c r="A1621" s="87" t="s">
        <v>33</v>
      </c>
      <c r="B1621" s="87" t="s">
        <v>319</v>
      </c>
      <c r="C1621" s="87">
        <v>2010</v>
      </c>
      <c r="D1621" s="87" t="s">
        <v>18</v>
      </c>
      <c r="E1621" s="116">
        <v>6915</v>
      </c>
      <c r="F1621" s="87" t="s">
        <v>893</v>
      </c>
      <c r="G1621" s="87" t="s">
        <v>274</v>
      </c>
      <c r="H1621" s="87" t="s">
        <v>967</v>
      </c>
      <c r="I1621" s="87">
        <v>19</v>
      </c>
    </row>
    <row r="1622" spans="1:9" ht="15" customHeight="1" x14ac:dyDescent="0.25">
      <c r="A1622" s="87" t="s">
        <v>33</v>
      </c>
      <c r="B1622" s="87" t="s">
        <v>319</v>
      </c>
      <c r="C1622" s="87">
        <v>2011</v>
      </c>
      <c r="D1622" s="87" t="s">
        <v>18</v>
      </c>
      <c r="E1622" s="116">
        <v>4200</v>
      </c>
      <c r="F1622" s="87" t="s">
        <v>893</v>
      </c>
      <c r="G1622" s="87" t="s">
        <v>274</v>
      </c>
      <c r="H1622" s="87" t="s">
        <v>967</v>
      </c>
      <c r="I1622" s="87">
        <v>19</v>
      </c>
    </row>
    <row r="1623" spans="1:9" ht="15" customHeight="1" x14ac:dyDescent="0.25">
      <c r="A1623" s="87" t="s">
        <v>33</v>
      </c>
      <c r="B1623" s="87" t="s">
        <v>319</v>
      </c>
      <c r="C1623" s="87">
        <v>2012</v>
      </c>
      <c r="D1623" s="87" t="s">
        <v>18</v>
      </c>
      <c r="E1623" s="116">
        <v>1021</v>
      </c>
      <c r="F1623" s="87" t="s">
        <v>893</v>
      </c>
      <c r="G1623" s="87" t="s">
        <v>274</v>
      </c>
      <c r="H1623" s="87" t="s">
        <v>967</v>
      </c>
      <c r="I1623" s="87">
        <v>19</v>
      </c>
    </row>
    <row r="1624" spans="1:9" ht="15" customHeight="1" x14ac:dyDescent="0.25">
      <c r="A1624" s="87" t="s">
        <v>33</v>
      </c>
      <c r="B1624" s="87" t="s">
        <v>319</v>
      </c>
      <c r="C1624" s="87">
        <v>2013</v>
      </c>
      <c r="D1624" s="87" t="s">
        <v>18</v>
      </c>
      <c r="E1624" s="116">
        <v>1117</v>
      </c>
      <c r="F1624" s="87" t="s">
        <v>893</v>
      </c>
      <c r="G1624" s="87" t="s">
        <v>274</v>
      </c>
      <c r="H1624" s="87" t="s">
        <v>967</v>
      </c>
      <c r="I1624" s="87">
        <v>19</v>
      </c>
    </row>
    <row r="1625" spans="1:9" ht="15" customHeight="1" x14ac:dyDescent="0.25">
      <c r="A1625" s="87" t="s">
        <v>33</v>
      </c>
      <c r="B1625" s="87" t="s">
        <v>319</v>
      </c>
      <c r="C1625" s="87">
        <v>2014</v>
      </c>
      <c r="D1625" s="87" t="s">
        <v>18</v>
      </c>
      <c r="E1625" s="116">
        <v>5183</v>
      </c>
      <c r="F1625" s="87" t="s">
        <v>893</v>
      </c>
      <c r="G1625" s="87" t="s">
        <v>274</v>
      </c>
      <c r="H1625" s="87" t="s">
        <v>967</v>
      </c>
      <c r="I1625" s="87">
        <v>19</v>
      </c>
    </row>
    <row r="1626" spans="1:9" ht="15" customHeight="1" x14ac:dyDescent="0.25">
      <c r="A1626" s="87" t="s">
        <v>33</v>
      </c>
      <c r="B1626" s="87" t="s">
        <v>319</v>
      </c>
      <c r="C1626" s="87">
        <v>2015</v>
      </c>
      <c r="D1626" s="87" t="s">
        <v>18</v>
      </c>
      <c r="E1626" s="116">
        <v>8291</v>
      </c>
      <c r="F1626" s="87" t="s">
        <v>894</v>
      </c>
      <c r="G1626" s="87" t="s">
        <v>272</v>
      </c>
      <c r="H1626" s="87" t="s">
        <v>967</v>
      </c>
      <c r="I1626" s="87">
        <v>19</v>
      </c>
    </row>
    <row r="1627" spans="1:9" ht="15" customHeight="1" x14ac:dyDescent="0.25">
      <c r="A1627" s="87" t="s">
        <v>33</v>
      </c>
      <c r="B1627" s="87" t="s">
        <v>319</v>
      </c>
      <c r="C1627" s="87">
        <v>2016</v>
      </c>
      <c r="D1627" s="87" t="s">
        <v>18</v>
      </c>
      <c r="E1627" s="116">
        <v>3138</v>
      </c>
      <c r="F1627" s="87" t="s">
        <v>894</v>
      </c>
      <c r="G1627" s="87" t="s">
        <v>272</v>
      </c>
      <c r="H1627" s="87" t="s">
        <v>967</v>
      </c>
      <c r="I1627" s="87">
        <v>19</v>
      </c>
    </row>
    <row r="1628" spans="1:9" ht="15" customHeight="1" x14ac:dyDescent="0.25">
      <c r="A1628" s="87" t="s">
        <v>33</v>
      </c>
      <c r="B1628" s="87" t="s">
        <v>319</v>
      </c>
      <c r="C1628" s="87">
        <v>2017</v>
      </c>
      <c r="D1628" s="87" t="s">
        <v>18</v>
      </c>
      <c r="E1628" s="116">
        <v>505</v>
      </c>
      <c r="F1628" s="87" t="s">
        <v>894</v>
      </c>
      <c r="G1628" s="87" t="s">
        <v>272</v>
      </c>
      <c r="H1628" s="87" t="s">
        <v>967</v>
      </c>
      <c r="I1628" s="87">
        <v>19</v>
      </c>
    </row>
    <row r="1629" spans="1:9" ht="15" customHeight="1" x14ac:dyDescent="0.25">
      <c r="A1629" s="87" t="s">
        <v>33</v>
      </c>
      <c r="B1629" s="87" t="s">
        <v>319</v>
      </c>
      <c r="C1629" s="87">
        <v>2018</v>
      </c>
      <c r="D1629" s="87" t="s">
        <v>18</v>
      </c>
      <c r="E1629" s="116">
        <v>1670</v>
      </c>
      <c r="F1629" s="87" t="s">
        <v>894</v>
      </c>
      <c r="G1629" s="87" t="s">
        <v>272</v>
      </c>
      <c r="H1629" s="87" t="s">
        <v>967</v>
      </c>
      <c r="I1629" s="87">
        <v>19</v>
      </c>
    </row>
    <row r="1630" spans="1:9" ht="15" customHeight="1" x14ac:dyDescent="0.25">
      <c r="A1630" s="87" t="s">
        <v>33</v>
      </c>
      <c r="B1630" s="87" t="s">
        <v>319</v>
      </c>
      <c r="C1630" s="87">
        <v>2019</v>
      </c>
      <c r="D1630" s="87" t="s">
        <v>18</v>
      </c>
      <c r="E1630" s="116">
        <v>1438</v>
      </c>
      <c r="F1630" s="87" t="s">
        <v>967</v>
      </c>
      <c r="G1630" s="87" t="s">
        <v>272</v>
      </c>
      <c r="H1630" s="87" t="s">
        <v>980</v>
      </c>
      <c r="I1630" s="87">
        <v>19</v>
      </c>
    </row>
    <row r="1631" spans="1:9" ht="15" customHeight="1" x14ac:dyDescent="0.25">
      <c r="A1631" s="87" t="s">
        <v>33</v>
      </c>
      <c r="B1631" s="87" t="s">
        <v>319</v>
      </c>
      <c r="C1631" s="87">
        <v>2020</v>
      </c>
      <c r="D1631" s="87" t="s">
        <v>18</v>
      </c>
      <c r="E1631" s="116">
        <v>1746</v>
      </c>
      <c r="F1631" s="87" t="s">
        <v>967</v>
      </c>
      <c r="G1631" s="87" t="s">
        <v>272</v>
      </c>
      <c r="H1631" s="87" t="s">
        <v>967</v>
      </c>
      <c r="I1631" s="87">
        <v>19</v>
      </c>
    </row>
    <row r="1632" spans="1:9" ht="15" customHeight="1" x14ac:dyDescent="0.25">
      <c r="A1632" s="87" t="s">
        <v>33</v>
      </c>
      <c r="B1632" s="87" t="s">
        <v>319</v>
      </c>
      <c r="C1632" s="87">
        <v>2021</v>
      </c>
      <c r="D1632" s="87" t="s">
        <v>18</v>
      </c>
      <c r="E1632" s="116">
        <v>2742</v>
      </c>
      <c r="F1632" s="87" t="s">
        <v>967</v>
      </c>
      <c r="G1632" s="87" t="s">
        <v>272</v>
      </c>
      <c r="H1632" s="87" t="s">
        <v>967</v>
      </c>
      <c r="I1632" s="87">
        <v>19</v>
      </c>
    </row>
    <row r="1633" spans="1:9" ht="15" customHeight="1" x14ac:dyDescent="0.25">
      <c r="A1633" s="87" t="s">
        <v>33</v>
      </c>
      <c r="B1633" s="87" t="s">
        <v>319</v>
      </c>
      <c r="C1633" s="87">
        <v>2022</v>
      </c>
      <c r="D1633" s="87" t="s">
        <v>18</v>
      </c>
      <c r="E1633" s="116">
        <v>4048</v>
      </c>
      <c r="F1633" s="87" t="s">
        <v>967</v>
      </c>
      <c r="G1633" s="87" t="s">
        <v>967</v>
      </c>
      <c r="H1633" s="87" t="s">
        <v>967</v>
      </c>
      <c r="I1633" s="87">
        <v>19</v>
      </c>
    </row>
    <row r="1634" spans="1:9" ht="15" customHeight="1" x14ac:dyDescent="0.25">
      <c r="A1634" s="87" t="s">
        <v>33</v>
      </c>
      <c r="B1634" s="87" t="s">
        <v>320</v>
      </c>
      <c r="C1634" s="87">
        <v>1975</v>
      </c>
      <c r="D1634" s="87" t="s">
        <v>898</v>
      </c>
      <c r="E1634" s="116">
        <v>-1</v>
      </c>
      <c r="F1634" s="87" t="s">
        <v>508</v>
      </c>
      <c r="G1634" s="87" t="s">
        <v>967</v>
      </c>
      <c r="H1634" s="87" t="s">
        <v>508</v>
      </c>
      <c r="I1634" s="87">
        <v>19</v>
      </c>
    </row>
    <row r="1635" spans="1:9" ht="15" customHeight="1" x14ac:dyDescent="0.25">
      <c r="A1635" s="87" t="s">
        <v>33</v>
      </c>
      <c r="B1635" s="87" t="s">
        <v>320</v>
      </c>
      <c r="C1635" s="87">
        <v>1976</v>
      </c>
      <c r="D1635" s="87" t="s">
        <v>898</v>
      </c>
      <c r="E1635" s="116">
        <v>25</v>
      </c>
      <c r="F1635" s="87" t="s">
        <v>508</v>
      </c>
      <c r="G1635" s="87" t="s">
        <v>967</v>
      </c>
      <c r="H1635" s="87" t="s">
        <v>508</v>
      </c>
      <c r="I1635" s="87">
        <v>19</v>
      </c>
    </row>
    <row r="1636" spans="1:9" ht="15" customHeight="1" x14ac:dyDescent="0.25">
      <c r="A1636" s="87" t="s">
        <v>33</v>
      </c>
      <c r="B1636" s="87" t="s">
        <v>320</v>
      </c>
      <c r="C1636" s="87">
        <v>1977</v>
      </c>
      <c r="D1636" s="87" t="s">
        <v>898</v>
      </c>
      <c r="E1636" s="116">
        <v>-1</v>
      </c>
      <c r="F1636" s="87" t="s">
        <v>508</v>
      </c>
      <c r="G1636" s="87" t="s">
        <v>967</v>
      </c>
      <c r="H1636" s="87" t="s">
        <v>508</v>
      </c>
      <c r="I1636" s="87">
        <v>19</v>
      </c>
    </row>
    <row r="1637" spans="1:9" ht="15" customHeight="1" x14ac:dyDescent="0.25">
      <c r="A1637" s="87" t="s">
        <v>33</v>
      </c>
      <c r="B1637" s="87" t="s">
        <v>320</v>
      </c>
      <c r="C1637" s="87">
        <v>1978</v>
      </c>
      <c r="D1637" s="87" t="s">
        <v>898</v>
      </c>
      <c r="E1637" s="116">
        <v>25</v>
      </c>
      <c r="F1637" s="87" t="s">
        <v>508</v>
      </c>
      <c r="G1637" s="87" t="s">
        <v>967</v>
      </c>
      <c r="H1637" s="87" t="s">
        <v>508</v>
      </c>
      <c r="I1637" s="87">
        <v>19</v>
      </c>
    </row>
    <row r="1638" spans="1:9" ht="15" customHeight="1" x14ac:dyDescent="0.25">
      <c r="A1638" s="87" t="s">
        <v>33</v>
      </c>
      <c r="B1638" s="87" t="s">
        <v>320</v>
      </c>
      <c r="C1638" s="87">
        <v>1979</v>
      </c>
      <c r="D1638" s="87" t="s">
        <v>898</v>
      </c>
      <c r="E1638" s="116">
        <v>-1</v>
      </c>
      <c r="F1638" s="87" t="s">
        <v>508</v>
      </c>
      <c r="G1638" s="87" t="s">
        <v>967</v>
      </c>
      <c r="H1638" s="87" t="s">
        <v>508</v>
      </c>
      <c r="I1638" s="87">
        <v>19</v>
      </c>
    </row>
    <row r="1639" spans="1:9" ht="15" customHeight="1" x14ac:dyDescent="0.25">
      <c r="A1639" s="87" t="s">
        <v>33</v>
      </c>
      <c r="B1639" s="87" t="s">
        <v>320</v>
      </c>
      <c r="C1639" s="87">
        <v>1980</v>
      </c>
      <c r="D1639" s="87" t="s">
        <v>898</v>
      </c>
      <c r="E1639" s="116">
        <v>-1</v>
      </c>
      <c r="F1639" s="87" t="s">
        <v>508</v>
      </c>
      <c r="G1639" s="87" t="s">
        <v>967</v>
      </c>
      <c r="H1639" s="87" t="s">
        <v>508</v>
      </c>
      <c r="I1639" s="87">
        <v>19</v>
      </c>
    </row>
    <row r="1640" spans="1:9" ht="15" customHeight="1" x14ac:dyDescent="0.25">
      <c r="A1640" s="87" t="s">
        <v>33</v>
      </c>
      <c r="B1640" s="87" t="s">
        <v>320</v>
      </c>
      <c r="C1640" s="87">
        <v>1981</v>
      </c>
      <c r="D1640" s="87" t="s">
        <v>898</v>
      </c>
      <c r="E1640" s="116">
        <v>0</v>
      </c>
      <c r="F1640" s="87" t="s">
        <v>508</v>
      </c>
      <c r="G1640" s="87" t="s">
        <v>967</v>
      </c>
      <c r="H1640" s="87" t="s">
        <v>508</v>
      </c>
      <c r="I1640" s="87">
        <v>19</v>
      </c>
    </row>
    <row r="1641" spans="1:9" ht="15" customHeight="1" x14ac:dyDescent="0.25">
      <c r="A1641" s="87" t="s">
        <v>33</v>
      </c>
      <c r="B1641" s="87" t="s">
        <v>320</v>
      </c>
      <c r="C1641" s="87">
        <v>1982</v>
      </c>
      <c r="D1641" s="87" t="s">
        <v>898</v>
      </c>
      <c r="E1641" s="116">
        <v>-1</v>
      </c>
      <c r="F1641" s="87" t="s">
        <v>508</v>
      </c>
      <c r="G1641" s="87" t="s">
        <v>967</v>
      </c>
      <c r="H1641" s="87" t="s">
        <v>508</v>
      </c>
      <c r="I1641" s="87">
        <v>19</v>
      </c>
    </row>
    <row r="1642" spans="1:9" ht="15" customHeight="1" x14ac:dyDescent="0.25">
      <c r="A1642" s="87" t="s">
        <v>33</v>
      </c>
      <c r="B1642" s="87" t="s">
        <v>320</v>
      </c>
      <c r="C1642" s="87">
        <v>1983</v>
      </c>
      <c r="D1642" s="87" t="s">
        <v>898</v>
      </c>
      <c r="E1642" s="116">
        <v>0</v>
      </c>
      <c r="F1642" s="87" t="s">
        <v>508</v>
      </c>
      <c r="G1642" s="87" t="s">
        <v>967</v>
      </c>
      <c r="H1642" s="87" t="s">
        <v>508</v>
      </c>
      <c r="I1642" s="87">
        <v>19</v>
      </c>
    </row>
    <row r="1643" spans="1:9" ht="15" customHeight="1" x14ac:dyDescent="0.25">
      <c r="A1643" s="87" t="s">
        <v>33</v>
      </c>
      <c r="B1643" s="87" t="s">
        <v>320</v>
      </c>
      <c r="C1643" s="87">
        <v>1984</v>
      </c>
      <c r="D1643" s="87" t="s">
        <v>898</v>
      </c>
      <c r="E1643" s="116">
        <v>0</v>
      </c>
      <c r="F1643" s="87" t="s">
        <v>508</v>
      </c>
      <c r="G1643" s="87" t="s">
        <v>967</v>
      </c>
      <c r="H1643" s="87" t="s">
        <v>508</v>
      </c>
      <c r="I1643" s="87">
        <v>19</v>
      </c>
    </row>
    <row r="1644" spans="1:9" ht="15" customHeight="1" x14ac:dyDescent="0.25">
      <c r="A1644" s="87" t="s">
        <v>33</v>
      </c>
      <c r="B1644" s="87" t="s">
        <v>320</v>
      </c>
      <c r="C1644" s="87">
        <v>1985</v>
      </c>
      <c r="D1644" s="87" t="s">
        <v>898</v>
      </c>
      <c r="E1644" s="116">
        <v>0</v>
      </c>
      <c r="F1644" s="87" t="s">
        <v>508</v>
      </c>
      <c r="G1644" s="87" t="s">
        <v>967</v>
      </c>
      <c r="H1644" s="87" t="s">
        <v>508</v>
      </c>
      <c r="I1644" s="87">
        <v>19</v>
      </c>
    </row>
    <row r="1645" spans="1:9" ht="15" customHeight="1" x14ac:dyDescent="0.25">
      <c r="A1645" s="87" t="s">
        <v>33</v>
      </c>
      <c r="B1645" s="87" t="s">
        <v>320</v>
      </c>
      <c r="C1645" s="87">
        <v>1986</v>
      </c>
      <c r="D1645" s="87" t="s">
        <v>898</v>
      </c>
      <c r="E1645" s="116">
        <v>0</v>
      </c>
      <c r="F1645" s="87" t="s">
        <v>508</v>
      </c>
      <c r="G1645" s="87" t="s">
        <v>967</v>
      </c>
      <c r="H1645" s="87" t="s">
        <v>508</v>
      </c>
      <c r="I1645" s="87">
        <v>19</v>
      </c>
    </row>
    <row r="1646" spans="1:9" ht="15" customHeight="1" x14ac:dyDescent="0.25">
      <c r="A1646" s="87" t="s">
        <v>33</v>
      </c>
      <c r="B1646" s="87" t="s">
        <v>320</v>
      </c>
      <c r="C1646" s="87">
        <v>1987</v>
      </c>
      <c r="D1646" s="87" t="s">
        <v>898</v>
      </c>
      <c r="E1646" s="116">
        <v>-1</v>
      </c>
      <c r="F1646" s="87" t="s">
        <v>508</v>
      </c>
      <c r="G1646" s="87" t="s">
        <v>967</v>
      </c>
      <c r="H1646" s="87" t="s">
        <v>508</v>
      </c>
      <c r="I1646" s="87">
        <v>19</v>
      </c>
    </row>
    <row r="1647" spans="1:9" ht="15" customHeight="1" x14ac:dyDescent="0.25">
      <c r="A1647" s="87" t="s">
        <v>33</v>
      </c>
      <c r="B1647" s="87" t="s">
        <v>320</v>
      </c>
      <c r="C1647" s="87">
        <v>1988</v>
      </c>
      <c r="D1647" s="87" t="s">
        <v>898</v>
      </c>
      <c r="E1647" s="116">
        <v>-1</v>
      </c>
      <c r="F1647" s="87" t="s">
        <v>508</v>
      </c>
      <c r="G1647" s="87" t="s">
        <v>967</v>
      </c>
      <c r="H1647" s="87" t="s">
        <v>508</v>
      </c>
      <c r="I1647" s="87">
        <v>19</v>
      </c>
    </row>
    <row r="1648" spans="1:9" ht="15" customHeight="1" x14ac:dyDescent="0.25">
      <c r="A1648" s="87" t="s">
        <v>33</v>
      </c>
      <c r="B1648" s="87" t="s">
        <v>320</v>
      </c>
      <c r="C1648" s="87">
        <v>1989</v>
      </c>
      <c r="D1648" s="87" t="s">
        <v>898</v>
      </c>
      <c r="E1648" s="116">
        <v>-1</v>
      </c>
      <c r="F1648" s="87" t="s">
        <v>508</v>
      </c>
      <c r="G1648" s="87" t="s">
        <v>967</v>
      </c>
      <c r="H1648" s="87" t="s">
        <v>508</v>
      </c>
      <c r="I1648" s="87">
        <v>19</v>
      </c>
    </row>
    <row r="1649" spans="1:9" ht="15" customHeight="1" x14ac:dyDescent="0.25">
      <c r="A1649" s="87" t="s">
        <v>33</v>
      </c>
      <c r="B1649" s="87" t="s">
        <v>320</v>
      </c>
      <c r="C1649" s="87">
        <v>1990</v>
      </c>
      <c r="D1649" s="87" t="s">
        <v>898</v>
      </c>
      <c r="E1649" s="116">
        <v>-1</v>
      </c>
      <c r="F1649" s="87" t="s">
        <v>508</v>
      </c>
      <c r="G1649" s="87" t="s">
        <v>967</v>
      </c>
      <c r="H1649" s="87" t="s">
        <v>508</v>
      </c>
      <c r="I1649" s="87">
        <v>19</v>
      </c>
    </row>
    <row r="1650" spans="1:9" ht="15" customHeight="1" x14ac:dyDescent="0.25">
      <c r="A1650" s="87" t="s">
        <v>33</v>
      </c>
      <c r="B1650" s="87" t="s">
        <v>320</v>
      </c>
      <c r="C1650" s="87">
        <v>1991</v>
      </c>
      <c r="D1650" s="87" t="s">
        <v>898</v>
      </c>
      <c r="E1650" s="116">
        <v>-1</v>
      </c>
      <c r="F1650" s="87" t="s">
        <v>508</v>
      </c>
      <c r="G1650" s="87" t="s">
        <v>967</v>
      </c>
      <c r="H1650" s="87" t="s">
        <v>508</v>
      </c>
      <c r="I1650" s="87">
        <v>19</v>
      </c>
    </row>
    <row r="1651" spans="1:9" ht="15" customHeight="1" x14ac:dyDescent="0.25">
      <c r="A1651" s="87" t="s">
        <v>33</v>
      </c>
      <c r="B1651" s="87" t="s">
        <v>320</v>
      </c>
      <c r="C1651" s="87">
        <v>1992</v>
      </c>
      <c r="D1651" s="87" t="s">
        <v>898</v>
      </c>
      <c r="E1651" s="116">
        <v>-1</v>
      </c>
      <c r="F1651" s="87" t="s">
        <v>508</v>
      </c>
      <c r="G1651" s="87" t="s">
        <v>967</v>
      </c>
      <c r="H1651" s="87" t="s">
        <v>508</v>
      </c>
      <c r="I1651" s="87">
        <v>19</v>
      </c>
    </row>
    <row r="1652" spans="1:9" ht="15" customHeight="1" x14ac:dyDescent="0.25">
      <c r="A1652" s="87" t="s">
        <v>33</v>
      </c>
      <c r="B1652" s="87" t="s">
        <v>320</v>
      </c>
      <c r="C1652" s="87">
        <v>1993</v>
      </c>
      <c r="D1652" s="87" t="s">
        <v>898</v>
      </c>
      <c r="E1652" s="116">
        <v>-1</v>
      </c>
      <c r="F1652" s="87" t="s">
        <v>508</v>
      </c>
      <c r="G1652" s="87" t="s">
        <v>967</v>
      </c>
      <c r="H1652" s="87" t="s">
        <v>508</v>
      </c>
      <c r="I1652" s="87">
        <v>19</v>
      </c>
    </row>
    <row r="1653" spans="1:9" ht="15" customHeight="1" x14ac:dyDescent="0.25">
      <c r="A1653" s="87" t="s">
        <v>33</v>
      </c>
      <c r="B1653" s="87" t="s">
        <v>320</v>
      </c>
      <c r="C1653" s="87">
        <v>1994</v>
      </c>
      <c r="D1653" s="87" t="s">
        <v>898</v>
      </c>
      <c r="E1653" s="116">
        <v>-1</v>
      </c>
      <c r="F1653" s="87" t="s">
        <v>508</v>
      </c>
      <c r="G1653" s="87" t="s">
        <v>967</v>
      </c>
      <c r="H1653" s="87" t="s">
        <v>508</v>
      </c>
      <c r="I1653" s="87">
        <v>19</v>
      </c>
    </row>
    <row r="1654" spans="1:9" ht="15" customHeight="1" x14ac:dyDescent="0.25">
      <c r="A1654" s="87" t="s">
        <v>33</v>
      </c>
      <c r="B1654" s="87" t="s">
        <v>320</v>
      </c>
      <c r="C1654" s="87">
        <v>1995</v>
      </c>
      <c r="D1654" s="87" t="s">
        <v>898</v>
      </c>
      <c r="E1654" s="116">
        <v>-1</v>
      </c>
      <c r="F1654" s="87" t="s">
        <v>586</v>
      </c>
      <c r="G1654" s="87" t="s">
        <v>967</v>
      </c>
      <c r="H1654" s="87" t="s">
        <v>586</v>
      </c>
      <c r="I1654" s="87">
        <v>19</v>
      </c>
    </row>
    <row r="1655" spans="1:9" ht="15" customHeight="1" x14ac:dyDescent="0.25">
      <c r="A1655" s="87" t="s">
        <v>33</v>
      </c>
      <c r="B1655" s="87" t="s">
        <v>320</v>
      </c>
      <c r="C1655" s="87">
        <v>1996</v>
      </c>
      <c r="D1655" s="87" t="s">
        <v>898</v>
      </c>
      <c r="E1655" s="116">
        <v>-1</v>
      </c>
      <c r="F1655" s="87" t="s">
        <v>586</v>
      </c>
      <c r="G1655" s="87" t="s">
        <v>967</v>
      </c>
      <c r="H1655" s="87" t="s">
        <v>586</v>
      </c>
      <c r="I1655" s="87">
        <v>19</v>
      </c>
    </row>
    <row r="1656" spans="1:9" ht="15" customHeight="1" x14ac:dyDescent="0.25">
      <c r="A1656" s="87" t="s">
        <v>33</v>
      </c>
      <c r="B1656" s="87" t="s">
        <v>320</v>
      </c>
      <c r="C1656" s="87">
        <v>1997</v>
      </c>
      <c r="D1656" s="87" t="s">
        <v>898</v>
      </c>
      <c r="E1656" s="116">
        <v>-1</v>
      </c>
      <c r="F1656" s="87" t="s">
        <v>586</v>
      </c>
      <c r="G1656" s="87" t="s">
        <v>967</v>
      </c>
      <c r="H1656" s="87" t="s">
        <v>586</v>
      </c>
      <c r="I1656" s="87">
        <v>19</v>
      </c>
    </row>
    <row r="1657" spans="1:9" ht="15" customHeight="1" x14ac:dyDescent="0.25">
      <c r="A1657" s="87" t="s">
        <v>33</v>
      </c>
      <c r="B1657" s="87" t="s">
        <v>320</v>
      </c>
      <c r="C1657" s="87">
        <v>1998</v>
      </c>
      <c r="D1657" s="87" t="s">
        <v>898</v>
      </c>
      <c r="E1657" s="116">
        <v>-1</v>
      </c>
      <c r="F1657" s="87" t="s">
        <v>586</v>
      </c>
      <c r="G1657" s="87" t="s">
        <v>967</v>
      </c>
      <c r="H1657" s="87" t="s">
        <v>586</v>
      </c>
      <c r="I1657" s="87">
        <v>19</v>
      </c>
    </row>
    <row r="1658" spans="1:9" ht="15" customHeight="1" x14ac:dyDescent="0.25">
      <c r="A1658" s="87" t="s">
        <v>33</v>
      </c>
      <c r="B1658" s="87" t="s">
        <v>320</v>
      </c>
      <c r="C1658" s="87">
        <v>1999</v>
      </c>
      <c r="D1658" s="87" t="s">
        <v>898</v>
      </c>
      <c r="E1658" s="116">
        <v>-1</v>
      </c>
      <c r="F1658" s="87" t="s">
        <v>586</v>
      </c>
      <c r="G1658" s="87" t="s">
        <v>967</v>
      </c>
      <c r="H1658" s="87" t="s">
        <v>586</v>
      </c>
      <c r="I1658" s="87">
        <v>19</v>
      </c>
    </row>
    <row r="1659" spans="1:9" ht="15" customHeight="1" x14ac:dyDescent="0.25">
      <c r="A1659" s="87" t="s">
        <v>33</v>
      </c>
      <c r="B1659" s="87" t="s">
        <v>320</v>
      </c>
      <c r="C1659" s="87">
        <v>2000</v>
      </c>
      <c r="D1659" s="87" t="s">
        <v>898</v>
      </c>
      <c r="E1659" s="116">
        <v>-1</v>
      </c>
      <c r="F1659" s="87" t="s">
        <v>586</v>
      </c>
      <c r="G1659" s="87" t="s">
        <v>967</v>
      </c>
      <c r="H1659" s="87" t="s">
        <v>586</v>
      </c>
      <c r="I1659" s="87">
        <v>19</v>
      </c>
    </row>
    <row r="1660" spans="1:9" ht="15" customHeight="1" x14ac:dyDescent="0.25">
      <c r="A1660" s="87" t="s">
        <v>33</v>
      </c>
      <c r="B1660" s="87" t="s">
        <v>320</v>
      </c>
      <c r="C1660" s="87">
        <v>2001</v>
      </c>
      <c r="D1660" s="87" t="s">
        <v>898</v>
      </c>
      <c r="E1660" s="116">
        <v>-1</v>
      </c>
      <c r="F1660" s="87" t="s">
        <v>586</v>
      </c>
      <c r="G1660" s="87" t="s">
        <v>967</v>
      </c>
      <c r="H1660" s="87" t="s">
        <v>586</v>
      </c>
      <c r="I1660" s="87">
        <v>19</v>
      </c>
    </row>
    <row r="1661" spans="1:9" ht="15" customHeight="1" x14ac:dyDescent="0.25">
      <c r="A1661" s="87" t="s">
        <v>33</v>
      </c>
      <c r="B1661" s="87" t="s">
        <v>320</v>
      </c>
      <c r="C1661" s="87">
        <v>2002</v>
      </c>
      <c r="D1661" s="87" t="s">
        <v>898</v>
      </c>
      <c r="E1661" s="116">
        <v>-1</v>
      </c>
      <c r="F1661" s="87" t="s">
        <v>586</v>
      </c>
      <c r="G1661" s="87" t="s">
        <v>967</v>
      </c>
      <c r="H1661" s="87" t="s">
        <v>586</v>
      </c>
      <c r="I1661" s="87">
        <v>19</v>
      </c>
    </row>
    <row r="1662" spans="1:9" ht="15" customHeight="1" x14ac:dyDescent="0.25">
      <c r="A1662" s="87" t="s">
        <v>33</v>
      </c>
      <c r="B1662" s="87" t="s">
        <v>320</v>
      </c>
      <c r="C1662" s="87">
        <v>2003</v>
      </c>
      <c r="D1662" s="87" t="s">
        <v>898</v>
      </c>
      <c r="E1662" s="116">
        <v>-1</v>
      </c>
      <c r="F1662" s="87" t="s">
        <v>586</v>
      </c>
      <c r="G1662" s="87" t="s">
        <v>332</v>
      </c>
      <c r="H1662" s="87" t="s">
        <v>586</v>
      </c>
      <c r="I1662" s="87">
        <v>19</v>
      </c>
    </row>
    <row r="1663" spans="1:9" ht="15" customHeight="1" x14ac:dyDescent="0.25">
      <c r="A1663" s="87" t="s">
        <v>33</v>
      </c>
      <c r="B1663" s="87" t="s">
        <v>320</v>
      </c>
      <c r="C1663" s="87">
        <v>2004</v>
      </c>
      <c r="D1663" s="87" t="s">
        <v>898</v>
      </c>
      <c r="E1663" s="116">
        <v>-1</v>
      </c>
      <c r="F1663" s="87" t="s">
        <v>586</v>
      </c>
      <c r="G1663" s="87" t="s">
        <v>332</v>
      </c>
      <c r="H1663" s="87" t="s">
        <v>586</v>
      </c>
      <c r="I1663" s="87">
        <v>19</v>
      </c>
    </row>
    <row r="1664" spans="1:9" ht="15" customHeight="1" x14ac:dyDescent="0.25">
      <c r="A1664" s="87" t="s">
        <v>33</v>
      </c>
      <c r="B1664" s="87" t="s">
        <v>320</v>
      </c>
      <c r="C1664" s="87">
        <v>2005</v>
      </c>
      <c r="D1664" s="87" t="s">
        <v>898</v>
      </c>
      <c r="E1664" s="116">
        <v>-1</v>
      </c>
      <c r="F1664" s="87" t="s">
        <v>586</v>
      </c>
      <c r="G1664" s="87" t="s">
        <v>332</v>
      </c>
      <c r="H1664" s="87" t="s">
        <v>586</v>
      </c>
      <c r="I1664" s="87">
        <v>19</v>
      </c>
    </row>
    <row r="1665" spans="1:9" ht="15" customHeight="1" x14ac:dyDescent="0.25">
      <c r="A1665" s="87" t="s">
        <v>33</v>
      </c>
      <c r="B1665" s="87" t="s">
        <v>320</v>
      </c>
      <c r="C1665" s="87">
        <v>2006</v>
      </c>
      <c r="D1665" s="87" t="s">
        <v>898</v>
      </c>
      <c r="E1665" s="116">
        <v>-1</v>
      </c>
      <c r="F1665" s="87" t="s">
        <v>586</v>
      </c>
      <c r="G1665" s="87" t="s">
        <v>332</v>
      </c>
      <c r="H1665" s="87" t="s">
        <v>586</v>
      </c>
      <c r="I1665" s="87">
        <v>19</v>
      </c>
    </row>
    <row r="1666" spans="1:9" ht="15" customHeight="1" x14ac:dyDescent="0.25">
      <c r="A1666" s="87" t="s">
        <v>33</v>
      </c>
      <c r="B1666" s="87" t="s">
        <v>320</v>
      </c>
      <c r="C1666" s="87">
        <v>2007</v>
      </c>
      <c r="D1666" s="87" t="s">
        <v>898</v>
      </c>
      <c r="E1666" s="116">
        <v>-1</v>
      </c>
      <c r="F1666" s="87" t="s">
        <v>586</v>
      </c>
      <c r="G1666" s="87" t="s">
        <v>332</v>
      </c>
      <c r="H1666" s="87" t="s">
        <v>586</v>
      </c>
      <c r="I1666" s="87">
        <v>19</v>
      </c>
    </row>
    <row r="1667" spans="1:9" ht="15" customHeight="1" x14ac:dyDescent="0.25">
      <c r="A1667" s="87" t="s">
        <v>33</v>
      </c>
      <c r="B1667" s="87" t="s">
        <v>320</v>
      </c>
      <c r="C1667" s="87">
        <v>2008</v>
      </c>
      <c r="D1667" s="87" t="s">
        <v>898</v>
      </c>
      <c r="E1667" s="116">
        <v>-1</v>
      </c>
      <c r="F1667" s="87" t="s">
        <v>586</v>
      </c>
      <c r="G1667" s="87" t="s">
        <v>332</v>
      </c>
      <c r="H1667" s="87" t="s">
        <v>586</v>
      </c>
      <c r="I1667" s="87">
        <v>19</v>
      </c>
    </row>
    <row r="1668" spans="1:9" ht="15" customHeight="1" x14ac:dyDescent="0.25">
      <c r="A1668" s="87" t="s">
        <v>33</v>
      </c>
      <c r="B1668" s="87" t="s">
        <v>320</v>
      </c>
      <c r="C1668" s="87">
        <v>2009</v>
      </c>
      <c r="D1668" s="87" t="s">
        <v>898</v>
      </c>
      <c r="E1668" s="116">
        <v>-1</v>
      </c>
      <c r="F1668" s="87" t="s">
        <v>586</v>
      </c>
      <c r="G1668" s="87" t="s">
        <v>332</v>
      </c>
      <c r="H1668" s="87" t="s">
        <v>586</v>
      </c>
      <c r="I1668" s="87">
        <v>19</v>
      </c>
    </row>
    <row r="1669" spans="1:9" ht="15" customHeight="1" x14ac:dyDescent="0.25">
      <c r="A1669" s="87" t="s">
        <v>33</v>
      </c>
      <c r="B1669" s="87" t="s">
        <v>320</v>
      </c>
      <c r="C1669" s="87">
        <v>2010</v>
      </c>
      <c r="D1669" s="87" t="s">
        <v>898</v>
      </c>
      <c r="E1669" s="116">
        <v>-1</v>
      </c>
      <c r="F1669" s="87" t="s">
        <v>586</v>
      </c>
      <c r="G1669" s="87" t="s">
        <v>332</v>
      </c>
      <c r="H1669" s="87" t="s">
        <v>586</v>
      </c>
      <c r="I1669" s="87">
        <v>19</v>
      </c>
    </row>
    <row r="1670" spans="1:9" ht="15" customHeight="1" x14ac:dyDescent="0.25">
      <c r="A1670" s="87" t="s">
        <v>33</v>
      </c>
      <c r="B1670" s="87" t="s">
        <v>320</v>
      </c>
      <c r="C1670" s="87">
        <v>2011</v>
      </c>
      <c r="D1670" s="87" t="s">
        <v>898</v>
      </c>
      <c r="E1670" s="116">
        <v>-1</v>
      </c>
      <c r="F1670" s="87" t="s">
        <v>586</v>
      </c>
      <c r="G1670" s="87" t="s">
        <v>332</v>
      </c>
      <c r="H1670" s="87" t="s">
        <v>586</v>
      </c>
      <c r="I1670" s="87">
        <v>19</v>
      </c>
    </row>
    <row r="1671" spans="1:9" ht="15" customHeight="1" x14ac:dyDescent="0.25">
      <c r="A1671" s="87" t="s">
        <v>33</v>
      </c>
      <c r="B1671" s="87" t="s">
        <v>320</v>
      </c>
      <c r="C1671" s="87">
        <v>2012</v>
      </c>
      <c r="D1671" s="87" t="s">
        <v>898</v>
      </c>
      <c r="E1671" s="116">
        <v>-1</v>
      </c>
      <c r="F1671" s="87" t="s">
        <v>586</v>
      </c>
      <c r="G1671" s="87" t="s">
        <v>332</v>
      </c>
      <c r="H1671" s="87" t="s">
        <v>586</v>
      </c>
      <c r="I1671" s="87">
        <v>19</v>
      </c>
    </row>
    <row r="1672" spans="1:9" ht="15" customHeight="1" x14ac:dyDescent="0.25">
      <c r="A1672" s="87" t="s">
        <v>33</v>
      </c>
      <c r="B1672" s="87" t="s">
        <v>320</v>
      </c>
      <c r="C1672" s="87">
        <v>2013</v>
      </c>
      <c r="D1672" s="87" t="s">
        <v>898</v>
      </c>
      <c r="E1672" s="116">
        <v>-1</v>
      </c>
      <c r="F1672" s="87" t="s">
        <v>586</v>
      </c>
      <c r="G1672" s="87" t="s">
        <v>332</v>
      </c>
      <c r="H1672" s="87" t="s">
        <v>586</v>
      </c>
      <c r="I1672" s="87">
        <v>19</v>
      </c>
    </row>
    <row r="1673" spans="1:9" ht="15" customHeight="1" x14ac:dyDescent="0.25">
      <c r="A1673" s="87" t="s">
        <v>33</v>
      </c>
      <c r="B1673" s="87" t="s">
        <v>320</v>
      </c>
      <c r="C1673" s="87">
        <v>2014</v>
      </c>
      <c r="D1673" s="87" t="s">
        <v>898</v>
      </c>
      <c r="E1673" s="116">
        <v>-1</v>
      </c>
      <c r="F1673" s="87" t="s">
        <v>586</v>
      </c>
      <c r="G1673" s="87" t="s">
        <v>332</v>
      </c>
      <c r="H1673" s="87" t="s">
        <v>586</v>
      </c>
      <c r="I1673" s="87">
        <v>19</v>
      </c>
    </row>
    <row r="1674" spans="1:9" ht="15" customHeight="1" x14ac:dyDescent="0.25">
      <c r="A1674" s="87" t="s">
        <v>33</v>
      </c>
      <c r="B1674" s="87" t="s">
        <v>320</v>
      </c>
      <c r="C1674" s="87">
        <v>2015</v>
      </c>
      <c r="D1674" s="87" t="s">
        <v>898</v>
      </c>
      <c r="E1674" s="116">
        <v>-1</v>
      </c>
      <c r="F1674" s="87" t="s">
        <v>967</v>
      </c>
      <c r="G1674" s="87" t="s">
        <v>967</v>
      </c>
      <c r="H1674" s="87" t="s">
        <v>967</v>
      </c>
      <c r="I1674" s="87">
        <v>19</v>
      </c>
    </row>
    <row r="1675" spans="1:9" ht="15" customHeight="1" x14ac:dyDescent="0.25">
      <c r="A1675" s="87" t="s">
        <v>33</v>
      </c>
      <c r="B1675" s="87" t="s">
        <v>320</v>
      </c>
      <c r="C1675" s="87">
        <v>2016</v>
      </c>
      <c r="D1675" s="87" t="s">
        <v>898</v>
      </c>
      <c r="E1675" s="116">
        <v>0</v>
      </c>
      <c r="F1675" s="87" t="s">
        <v>967</v>
      </c>
      <c r="G1675" s="87" t="s">
        <v>272</v>
      </c>
      <c r="H1675" s="87" t="s">
        <v>740</v>
      </c>
      <c r="I1675" s="87">
        <v>19</v>
      </c>
    </row>
    <row r="1676" spans="1:9" ht="15" customHeight="1" x14ac:dyDescent="0.25">
      <c r="A1676" s="87" t="s">
        <v>33</v>
      </c>
      <c r="B1676" s="87" t="s">
        <v>320</v>
      </c>
      <c r="C1676" s="87">
        <v>2017</v>
      </c>
      <c r="D1676" s="87" t="s">
        <v>898</v>
      </c>
      <c r="E1676" s="116">
        <v>0</v>
      </c>
      <c r="F1676" s="87" t="s">
        <v>967</v>
      </c>
      <c r="G1676" s="87" t="s">
        <v>272</v>
      </c>
      <c r="H1676" s="87" t="s">
        <v>967</v>
      </c>
      <c r="I1676" s="87">
        <v>19</v>
      </c>
    </row>
    <row r="1677" spans="1:9" ht="15" customHeight="1" x14ac:dyDescent="0.25">
      <c r="A1677" s="87" t="s">
        <v>33</v>
      </c>
      <c r="B1677" s="87" t="s">
        <v>320</v>
      </c>
      <c r="C1677" s="87">
        <v>2018</v>
      </c>
      <c r="D1677" s="87" t="s">
        <v>898</v>
      </c>
      <c r="E1677" s="116">
        <v>-1</v>
      </c>
      <c r="F1677" s="87" t="s">
        <v>967</v>
      </c>
      <c r="G1677" s="87" t="s">
        <v>967</v>
      </c>
      <c r="H1677" s="87" t="s">
        <v>932</v>
      </c>
      <c r="I1677" s="87">
        <v>19</v>
      </c>
    </row>
    <row r="1678" spans="1:9" ht="15" customHeight="1" x14ac:dyDescent="0.25">
      <c r="A1678" s="87" t="s">
        <v>33</v>
      </c>
      <c r="B1678" s="87" t="s">
        <v>320</v>
      </c>
      <c r="C1678" s="87">
        <v>2019</v>
      </c>
      <c r="D1678" s="87" t="s">
        <v>898</v>
      </c>
      <c r="E1678" s="116">
        <v>-1</v>
      </c>
      <c r="F1678" s="87" t="s">
        <v>967</v>
      </c>
      <c r="G1678" s="87" t="s">
        <v>967</v>
      </c>
      <c r="H1678" s="87" t="s">
        <v>981</v>
      </c>
      <c r="I1678" s="87">
        <v>19</v>
      </c>
    </row>
    <row r="1679" spans="1:9" ht="15" customHeight="1" x14ac:dyDescent="0.25">
      <c r="A1679" s="87" t="s">
        <v>33</v>
      </c>
      <c r="B1679" s="87" t="s">
        <v>320</v>
      </c>
      <c r="C1679" s="87">
        <v>2020</v>
      </c>
      <c r="D1679" s="87" t="s">
        <v>898</v>
      </c>
      <c r="E1679" s="116">
        <v>0</v>
      </c>
      <c r="F1679" s="87" t="s">
        <v>967</v>
      </c>
      <c r="G1679" s="87" t="s">
        <v>272</v>
      </c>
      <c r="H1679" s="87" t="s">
        <v>967</v>
      </c>
      <c r="I1679" s="87">
        <v>19</v>
      </c>
    </row>
    <row r="1680" spans="1:9" ht="15" customHeight="1" x14ac:dyDescent="0.25">
      <c r="A1680" s="87" t="s">
        <v>33</v>
      </c>
      <c r="B1680" s="87" t="s">
        <v>320</v>
      </c>
      <c r="C1680" s="87">
        <v>2021</v>
      </c>
      <c r="D1680" s="87" t="s">
        <v>898</v>
      </c>
      <c r="E1680" s="116">
        <v>0</v>
      </c>
      <c r="F1680" s="87" t="s">
        <v>1060</v>
      </c>
      <c r="G1680" s="87" t="s">
        <v>272</v>
      </c>
      <c r="H1680" s="87" t="s">
        <v>967</v>
      </c>
      <c r="I1680" s="87">
        <v>19</v>
      </c>
    </row>
    <row r="1681" spans="1:9" ht="15" customHeight="1" x14ac:dyDescent="0.25">
      <c r="A1681" s="87" t="s">
        <v>33</v>
      </c>
      <c r="B1681" s="87" t="s">
        <v>320</v>
      </c>
      <c r="C1681" s="87">
        <v>2022</v>
      </c>
      <c r="D1681" s="87" t="s">
        <v>898</v>
      </c>
      <c r="E1681" s="116">
        <v>0</v>
      </c>
      <c r="F1681" s="87" t="s">
        <v>967</v>
      </c>
      <c r="G1681" s="87" t="s">
        <v>272</v>
      </c>
      <c r="H1681" s="87" t="s">
        <v>967</v>
      </c>
      <c r="I1681" s="87">
        <v>19</v>
      </c>
    </row>
    <row r="1682" spans="1:9" ht="15" customHeight="1" x14ac:dyDescent="0.25">
      <c r="A1682" s="87" t="s">
        <v>33</v>
      </c>
      <c r="B1682" s="87" t="s">
        <v>321</v>
      </c>
      <c r="C1682" s="87">
        <v>1975</v>
      </c>
      <c r="D1682" s="87" t="s">
        <v>18</v>
      </c>
      <c r="E1682" s="116">
        <v>-1</v>
      </c>
      <c r="F1682" s="87" t="s">
        <v>508</v>
      </c>
      <c r="G1682" s="87" t="s">
        <v>967</v>
      </c>
      <c r="H1682" s="87" t="s">
        <v>508</v>
      </c>
      <c r="I1682" s="87">
        <v>78</v>
      </c>
    </row>
    <row r="1683" spans="1:9" ht="15" customHeight="1" x14ac:dyDescent="0.25">
      <c r="A1683" s="87" t="s">
        <v>33</v>
      </c>
      <c r="B1683" s="87" t="s">
        <v>321</v>
      </c>
      <c r="C1683" s="87">
        <v>1976</v>
      </c>
      <c r="D1683" s="87" t="s">
        <v>18</v>
      </c>
      <c r="E1683" s="116">
        <v>-1</v>
      </c>
      <c r="F1683" s="87" t="s">
        <v>508</v>
      </c>
      <c r="G1683" s="87" t="s">
        <v>967</v>
      </c>
      <c r="H1683" s="87" t="s">
        <v>508</v>
      </c>
      <c r="I1683" s="87">
        <v>78</v>
      </c>
    </row>
    <row r="1684" spans="1:9" ht="15" customHeight="1" x14ac:dyDescent="0.25">
      <c r="A1684" s="87" t="s">
        <v>33</v>
      </c>
      <c r="B1684" s="87" t="s">
        <v>321</v>
      </c>
      <c r="C1684" s="87">
        <v>1977</v>
      </c>
      <c r="D1684" s="87" t="s">
        <v>18</v>
      </c>
      <c r="E1684" s="116">
        <v>25</v>
      </c>
      <c r="F1684" s="87" t="s">
        <v>508</v>
      </c>
      <c r="G1684" s="87" t="s">
        <v>967</v>
      </c>
      <c r="H1684" s="87" t="s">
        <v>508</v>
      </c>
      <c r="I1684" s="87">
        <v>78</v>
      </c>
    </row>
    <row r="1685" spans="1:9" ht="15" customHeight="1" x14ac:dyDescent="0.25">
      <c r="A1685" s="87" t="s">
        <v>33</v>
      </c>
      <c r="B1685" s="87" t="s">
        <v>321</v>
      </c>
      <c r="C1685" s="87">
        <v>1978</v>
      </c>
      <c r="D1685" s="87" t="s">
        <v>18</v>
      </c>
      <c r="E1685" s="116">
        <v>25</v>
      </c>
      <c r="F1685" s="87" t="s">
        <v>508</v>
      </c>
      <c r="G1685" s="87" t="s">
        <v>967</v>
      </c>
      <c r="H1685" s="87" t="s">
        <v>508</v>
      </c>
      <c r="I1685" s="87">
        <v>78</v>
      </c>
    </row>
    <row r="1686" spans="1:9" ht="15" customHeight="1" x14ac:dyDescent="0.25">
      <c r="A1686" s="87" t="s">
        <v>33</v>
      </c>
      <c r="B1686" s="87" t="s">
        <v>321</v>
      </c>
      <c r="C1686" s="87">
        <v>1979</v>
      </c>
      <c r="D1686" s="87" t="s">
        <v>18</v>
      </c>
      <c r="E1686" s="116">
        <v>25</v>
      </c>
      <c r="F1686" s="87" t="s">
        <v>508</v>
      </c>
      <c r="G1686" s="87" t="s">
        <v>967</v>
      </c>
      <c r="H1686" s="87" t="s">
        <v>508</v>
      </c>
      <c r="I1686" s="87">
        <v>78</v>
      </c>
    </row>
    <row r="1687" spans="1:9" ht="15" customHeight="1" x14ac:dyDescent="0.25">
      <c r="A1687" s="87" t="s">
        <v>33</v>
      </c>
      <c r="B1687" s="87" t="s">
        <v>321</v>
      </c>
      <c r="C1687" s="87">
        <v>1980</v>
      </c>
      <c r="D1687" s="87" t="s">
        <v>18</v>
      </c>
      <c r="E1687" s="116">
        <v>-1</v>
      </c>
      <c r="F1687" s="87" t="s">
        <v>508</v>
      </c>
      <c r="G1687" s="87" t="s">
        <v>967</v>
      </c>
      <c r="H1687" s="87" t="s">
        <v>508</v>
      </c>
      <c r="I1687" s="87">
        <v>78</v>
      </c>
    </row>
    <row r="1688" spans="1:9" ht="15" customHeight="1" x14ac:dyDescent="0.25">
      <c r="A1688" s="87" t="s">
        <v>33</v>
      </c>
      <c r="B1688" s="87" t="s">
        <v>321</v>
      </c>
      <c r="C1688" s="87">
        <v>1981</v>
      </c>
      <c r="D1688" s="87" t="s">
        <v>18</v>
      </c>
      <c r="E1688" s="116">
        <v>-1</v>
      </c>
      <c r="F1688" s="87" t="s">
        <v>508</v>
      </c>
      <c r="G1688" s="87" t="s">
        <v>967</v>
      </c>
      <c r="H1688" s="87" t="s">
        <v>508</v>
      </c>
      <c r="I1688" s="87">
        <v>78</v>
      </c>
    </row>
    <row r="1689" spans="1:9" ht="15" customHeight="1" x14ac:dyDescent="0.25">
      <c r="A1689" s="87" t="s">
        <v>33</v>
      </c>
      <c r="B1689" s="87" t="s">
        <v>321</v>
      </c>
      <c r="C1689" s="87">
        <v>1982</v>
      </c>
      <c r="D1689" s="87" t="s">
        <v>18</v>
      </c>
      <c r="E1689" s="116">
        <v>-1</v>
      </c>
      <c r="F1689" s="87" t="s">
        <v>508</v>
      </c>
      <c r="G1689" s="87" t="s">
        <v>967</v>
      </c>
      <c r="H1689" s="87" t="s">
        <v>508</v>
      </c>
      <c r="I1689" s="87">
        <v>78</v>
      </c>
    </row>
    <row r="1690" spans="1:9" ht="15" customHeight="1" x14ac:dyDescent="0.25">
      <c r="A1690" s="87" t="s">
        <v>33</v>
      </c>
      <c r="B1690" s="87" t="s">
        <v>321</v>
      </c>
      <c r="C1690" s="87">
        <v>1983</v>
      </c>
      <c r="D1690" s="87" t="s">
        <v>18</v>
      </c>
      <c r="E1690" s="116">
        <v>0</v>
      </c>
      <c r="F1690" s="87" t="s">
        <v>508</v>
      </c>
      <c r="G1690" s="87" t="s">
        <v>967</v>
      </c>
      <c r="H1690" s="87" t="s">
        <v>508</v>
      </c>
      <c r="I1690" s="87">
        <v>78</v>
      </c>
    </row>
    <row r="1691" spans="1:9" ht="15" customHeight="1" x14ac:dyDescent="0.25">
      <c r="A1691" s="87" t="s">
        <v>33</v>
      </c>
      <c r="B1691" s="87" t="s">
        <v>321</v>
      </c>
      <c r="C1691" s="87">
        <v>1984</v>
      </c>
      <c r="D1691" s="87" t="s">
        <v>18</v>
      </c>
      <c r="E1691" s="116">
        <v>0</v>
      </c>
      <c r="F1691" s="87" t="s">
        <v>508</v>
      </c>
      <c r="G1691" s="87" t="s">
        <v>967</v>
      </c>
      <c r="H1691" s="87" t="s">
        <v>508</v>
      </c>
      <c r="I1691" s="87">
        <v>78</v>
      </c>
    </row>
    <row r="1692" spans="1:9" ht="15" customHeight="1" x14ac:dyDescent="0.25">
      <c r="A1692" s="87" t="s">
        <v>33</v>
      </c>
      <c r="B1692" s="87" t="s">
        <v>321</v>
      </c>
      <c r="C1692" s="87">
        <v>1985</v>
      </c>
      <c r="D1692" s="87" t="s">
        <v>18</v>
      </c>
      <c r="E1692" s="116">
        <v>0</v>
      </c>
      <c r="F1692" s="87" t="s">
        <v>508</v>
      </c>
      <c r="G1692" s="87" t="s">
        <v>967</v>
      </c>
      <c r="H1692" s="87" t="s">
        <v>508</v>
      </c>
      <c r="I1692" s="87">
        <v>78</v>
      </c>
    </row>
    <row r="1693" spans="1:9" ht="15" customHeight="1" x14ac:dyDescent="0.25">
      <c r="A1693" s="87" t="s">
        <v>33</v>
      </c>
      <c r="B1693" s="87" t="s">
        <v>321</v>
      </c>
      <c r="C1693" s="87">
        <v>1986</v>
      </c>
      <c r="D1693" s="87" t="s">
        <v>18</v>
      </c>
      <c r="E1693" s="116">
        <v>2</v>
      </c>
      <c r="F1693" s="87" t="s">
        <v>508</v>
      </c>
      <c r="G1693" s="87" t="s">
        <v>967</v>
      </c>
      <c r="H1693" s="87" t="s">
        <v>508</v>
      </c>
      <c r="I1693" s="87">
        <v>78</v>
      </c>
    </row>
    <row r="1694" spans="1:9" ht="15" customHeight="1" x14ac:dyDescent="0.25">
      <c r="A1694" s="87" t="s">
        <v>33</v>
      </c>
      <c r="B1694" s="87" t="s">
        <v>321</v>
      </c>
      <c r="C1694" s="87">
        <v>1987</v>
      </c>
      <c r="D1694" s="87" t="s">
        <v>18</v>
      </c>
      <c r="E1694" s="116">
        <v>-1</v>
      </c>
      <c r="F1694" s="87" t="s">
        <v>508</v>
      </c>
      <c r="G1694" s="87" t="s">
        <v>967</v>
      </c>
      <c r="H1694" s="87" t="s">
        <v>508</v>
      </c>
      <c r="I1694" s="87">
        <v>78</v>
      </c>
    </row>
    <row r="1695" spans="1:9" ht="15" customHeight="1" x14ac:dyDescent="0.25">
      <c r="A1695" s="87" t="s">
        <v>33</v>
      </c>
      <c r="B1695" s="87" t="s">
        <v>321</v>
      </c>
      <c r="C1695" s="87">
        <v>1988</v>
      </c>
      <c r="D1695" s="87" t="s">
        <v>18</v>
      </c>
      <c r="E1695" s="116">
        <v>125</v>
      </c>
      <c r="F1695" s="87" t="s">
        <v>508</v>
      </c>
      <c r="G1695" s="87" t="s">
        <v>967</v>
      </c>
      <c r="H1695" s="87" t="s">
        <v>508</v>
      </c>
      <c r="I1695" s="87">
        <v>78</v>
      </c>
    </row>
    <row r="1696" spans="1:9" ht="15" customHeight="1" x14ac:dyDescent="0.25">
      <c r="A1696" s="87" t="s">
        <v>33</v>
      </c>
      <c r="B1696" s="87" t="s">
        <v>321</v>
      </c>
      <c r="C1696" s="87">
        <v>1989</v>
      </c>
      <c r="D1696" s="87" t="s">
        <v>18</v>
      </c>
      <c r="E1696" s="116">
        <v>-1</v>
      </c>
      <c r="F1696" s="87" t="s">
        <v>508</v>
      </c>
      <c r="G1696" s="87" t="s">
        <v>967</v>
      </c>
      <c r="H1696" s="87" t="s">
        <v>508</v>
      </c>
      <c r="I1696" s="87">
        <v>78</v>
      </c>
    </row>
    <row r="1697" spans="1:9" ht="15" customHeight="1" x14ac:dyDescent="0.25">
      <c r="A1697" s="87" t="s">
        <v>33</v>
      </c>
      <c r="B1697" s="87" t="s">
        <v>321</v>
      </c>
      <c r="C1697" s="87">
        <v>1990</v>
      </c>
      <c r="D1697" s="87" t="s">
        <v>18</v>
      </c>
      <c r="E1697" s="116">
        <v>0</v>
      </c>
      <c r="F1697" s="87" t="s">
        <v>508</v>
      </c>
      <c r="G1697" s="87" t="s">
        <v>967</v>
      </c>
      <c r="H1697" s="87" t="s">
        <v>508</v>
      </c>
      <c r="I1697" s="87">
        <v>78</v>
      </c>
    </row>
    <row r="1698" spans="1:9" ht="15" customHeight="1" x14ac:dyDescent="0.25">
      <c r="A1698" s="87" t="s">
        <v>33</v>
      </c>
      <c r="B1698" s="87" t="s">
        <v>321</v>
      </c>
      <c r="C1698" s="87">
        <v>1991</v>
      </c>
      <c r="D1698" s="87" t="s">
        <v>18</v>
      </c>
      <c r="E1698" s="116">
        <v>-1</v>
      </c>
      <c r="F1698" s="87" t="s">
        <v>508</v>
      </c>
      <c r="G1698" s="87" t="s">
        <v>967</v>
      </c>
      <c r="H1698" s="87" t="s">
        <v>508</v>
      </c>
      <c r="I1698" s="87">
        <v>78</v>
      </c>
    </row>
    <row r="1699" spans="1:9" ht="15" customHeight="1" x14ac:dyDescent="0.25">
      <c r="A1699" s="87" t="s">
        <v>33</v>
      </c>
      <c r="B1699" s="87" t="s">
        <v>321</v>
      </c>
      <c r="C1699" s="87">
        <v>1992</v>
      </c>
      <c r="D1699" s="87" t="s">
        <v>18</v>
      </c>
      <c r="E1699" s="116">
        <v>-1</v>
      </c>
      <c r="F1699" s="87" t="s">
        <v>508</v>
      </c>
      <c r="G1699" s="87" t="s">
        <v>967</v>
      </c>
      <c r="H1699" s="87" t="s">
        <v>508</v>
      </c>
      <c r="I1699" s="87">
        <v>78</v>
      </c>
    </row>
    <row r="1700" spans="1:9" ht="15" customHeight="1" x14ac:dyDescent="0.25">
      <c r="A1700" s="87" t="s">
        <v>33</v>
      </c>
      <c r="B1700" s="87" t="s">
        <v>321</v>
      </c>
      <c r="C1700" s="87">
        <v>1993</v>
      </c>
      <c r="D1700" s="87" t="s">
        <v>18</v>
      </c>
      <c r="E1700" s="116">
        <v>-1</v>
      </c>
      <c r="F1700" s="87" t="s">
        <v>508</v>
      </c>
      <c r="G1700" s="87" t="s">
        <v>967</v>
      </c>
      <c r="H1700" s="87" t="s">
        <v>508</v>
      </c>
      <c r="I1700" s="87">
        <v>78</v>
      </c>
    </row>
    <row r="1701" spans="1:9" ht="15" customHeight="1" x14ac:dyDescent="0.25">
      <c r="A1701" s="87" t="s">
        <v>33</v>
      </c>
      <c r="B1701" s="87" t="s">
        <v>321</v>
      </c>
      <c r="C1701" s="87">
        <v>1994</v>
      </c>
      <c r="D1701" s="87" t="s">
        <v>18</v>
      </c>
      <c r="E1701" s="116">
        <v>-1</v>
      </c>
      <c r="F1701" s="87" t="s">
        <v>508</v>
      </c>
      <c r="G1701" s="87" t="s">
        <v>967</v>
      </c>
      <c r="H1701" s="87" t="s">
        <v>508</v>
      </c>
      <c r="I1701" s="87">
        <v>78</v>
      </c>
    </row>
    <row r="1702" spans="1:9" ht="15" customHeight="1" x14ac:dyDescent="0.25">
      <c r="A1702" s="87" t="s">
        <v>33</v>
      </c>
      <c r="B1702" s="87" t="s">
        <v>321</v>
      </c>
      <c r="C1702" s="87">
        <v>1995</v>
      </c>
      <c r="D1702" s="87" t="s">
        <v>18</v>
      </c>
      <c r="E1702" s="116">
        <v>-1</v>
      </c>
      <c r="F1702" s="87" t="s">
        <v>586</v>
      </c>
      <c r="G1702" s="87" t="s">
        <v>967</v>
      </c>
      <c r="H1702" s="87" t="s">
        <v>586</v>
      </c>
      <c r="I1702" s="87">
        <v>78</v>
      </c>
    </row>
    <row r="1703" spans="1:9" ht="15" customHeight="1" x14ac:dyDescent="0.25">
      <c r="A1703" s="87" t="s">
        <v>33</v>
      </c>
      <c r="B1703" s="87" t="s">
        <v>321</v>
      </c>
      <c r="C1703" s="87">
        <v>1996</v>
      </c>
      <c r="D1703" s="87" t="s">
        <v>18</v>
      </c>
      <c r="E1703" s="116">
        <v>-1</v>
      </c>
      <c r="F1703" s="87" t="s">
        <v>586</v>
      </c>
      <c r="G1703" s="87" t="s">
        <v>967</v>
      </c>
      <c r="H1703" s="87" t="s">
        <v>586</v>
      </c>
      <c r="I1703" s="87">
        <v>78</v>
      </c>
    </row>
    <row r="1704" spans="1:9" ht="15" customHeight="1" x14ac:dyDescent="0.25">
      <c r="A1704" s="87" t="s">
        <v>33</v>
      </c>
      <c r="B1704" s="87" t="s">
        <v>321</v>
      </c>
      <c r="C1704" s="87">
        <v>1997</v>
      </c>
      <c r="D1704" s="87" t="s">
        <v>18</v>
      </c>
      <c r="E1704" s="116">
        <v>11</v>
      </c>
      <c r="F1704" s="87" t="s">
        <v>967</v>
      </c>
      <c r="G1704" s="87" t="s">
        <v>967</v>
      </c>
      <c r="H1704" s="87" t="s">
        <v>741</v>
      </c>
      <c r="I1704" s="87">
        <v>78</v>
      </c>
    </row>
    <row r="1705" spans="1:9" ht="15" customHeight="1" x14ac:dyDescent="0.25">
      <c r="A1705" s="87" t="s">
        <v>33</v>
      </c>
      <c r="B1705" s="87" t="s">
        <v>321</v>
      </c>
      <c r="C1705" s="87">
        <v>1998</v>
      </c>
      <c r="D1705" s="87" t="s">
        <v>18</v>
      </c>
      <c r="E1705" s="116">
        <v>2</v>
      </c>
      <c r="F1705" s="87" t="s">
        <v>967</v>
      </c>
      <c r="G1705" s="87" t="s">
        <v>272</v>
      </c>
      <c r="H1705" s="87" t="s">
        <v>742</v>
      </c>
      <c r="I1705" s="87">
        <v>78</v>
      </c>
    </row>
    <row r="1706" spans="1:9" ht="15" customHeight="1" x14ac:dyDescent="0.25">
      <c r="A1706" s="87" t="s">
        <v>33</v>
      </c>
      <c r="B1706" s="87" t="s">
        <v>321</v>
      </c>
      <c r="C1706" s="87">
        <v>1999</v>
      </c>
      <c r="D1706" s="87" t="s">
        <v>18</v>
      </c>
      <c r="E1706" s="116">
        <v>11</v>
      </c>
      <c r="F1706" s="87" t="s">
        <v>967</v>
      </c>
      <c r="G1706" s="87" t="s">
        <v>272</v>
      </c>
      <c r="H1706" s="87" t="s">
        <v>967</v>
      </c>
      <c r="I1706" s="87">
        <v>78</v>
      </c>
    </row>
    <row r="1707" spans="1:9" ht="15" customHeight="1" x14ac:dyDescent="0.25">
      <c r="A1707" s="87" t="s">
        <v>33</v>
      </c>
      <c r="B1707" s="87" t="s">
        <v>321</v>
      </c>
      <c r="C1707" s="87">
        <v>2000</v>
      </c>
      <c r="D1707" s="87" t="s">
        <v>18</v>
      </c>
      <c r="E1707" s="116">
        <v>45</v>
      </c>
      <c r="F1707" s="87" t="s">
        <v>967</v>
      </c>
      <c r="G1707" s="87" t="s">
        <v>967</v>
      </c>
      <c r="H1707" s="87" t="s">
        <v>967</v>
      </c>
      <c r="I1707" s="87">
        <v>78</v>
      </c>
    </row>
    <row r="1708" spans="1:9" ht="15" customHeight="1" x14ac:dyDescent="0.25">
      <c r="A1708" s="87" t="s">
        <v>33</v>
      </c>
      <c r="B1708" s="87" t="s">
        <v>321</v>
      </c>
      <c r="C1708" s="87">
        <v>2001</v>
      </c>
      <c r="D1708" s="87" t="s">
        <v>18</v>
      </c>
      <c r="E1708" s="116">
        <v>11</v>
      </c>
      <c r="F1708" s="87" t="s">
        <v>967</v>
      </c>
      <c r="G1708" s="87" t="s">
        <v>272</v>
      </c>
      <c r="H1708" s="87" t="s">
        <v>741</v>
      </c>
      <c r="I1708" s="87">
        <v>78</v>
      </c>
    </row>
    <row r="1709" spans="1:9" ht="15" customHeight="1" x14ac:dyDescent="0.25">
      <c r="A1709" s="87" t="s">
        <v>33</v>
      </c>
      <c r="B1709" s="87" t="s">
        <v>321</v>
      </c>
      <c r="C1709" s="87">
        <v>2002</v>
      </c>
      <c r="D1709" s="87" t="s">
        <v>18</v>
      </c>
      <c r="E1709" s="116">
        <v>0.01</v>
      </c>
      <c r="F1709" s="87" t="s">
        <v>967</v>
      </c>
      <c r="G1709" s="87" t="s">
        <v>967</v>
      </c>
      <c r="H1709" s="87" t="s">
        <v>967</v>
      </c>
      <c r="I1709" s="87">
        <v>78</v>
      </c>
    </row>
    <row r="1710" spans="1:9" ht="15" customHeight="1" x14ac:dyDescent="0.25">
      <c r="A1710" s="87" t="s">
        <v>33</v>
      </c>
      <c r="B1710" s="87" t="s">
        <v>321</v>
      </c>
      <c r="C1710" s="87">
        <v>2003</v>
      </c>
      <c r="D1710" s="87" t="s">
        <v>18</v>
      </c>
      <c r="E1710" s="116">
        <v>15</v>
      </c>
      <c r="F1710" s="87" t="s">
        <v>967</v>
      </c>
      <c r="G1710" s="87" t="s">
        <v>274</v>
      </c>
      <c r="H1710" s="87" t="s">
        <v>967</v>
      </c>
      <c r="I1710" s="87">
        <v>78</v>
      </c>
    </row>
    <row r="1711" spans="1:9" ht="15" customHeight="1" x14ac:dyDescent="0.25">
      <c r="A1711" s="87" t="s">
        <v>33</v>
      </c>
      <c r="B1711" s="87" t="s">
        <v>321</v>
      </c>
      <c r="C1711" s="87">
        <v>2004</v>
      </c>
      <c r="D1711" s="87" t="s">
        <v>18</v>
      </c>
      <c r="E1711" s="116">
        <v>25</v>
      </c>
      <c r="F1711" s="87" t="s">
        <v>967</v>
      </c>
      <c r="G1711" s="87" t="s">
        <v>272</v>
      </c>
      <c r="H1711" s="87" t="s">
        <v>967</v>
      </c>
      <c r="I1711" s="87">
        <v>78</v>
      </c>
    </row>
    <row r="1712" spans="1:9" ht="15" customHeight="1" x14ac:dyDescent="0.25">
      <c r="A1712" s="87" t="s">
        <v>33</v>
      </c>
      <c r="B1712" s="87" t="s">
        <v>321</v>
      </c>
      <c r="C1712" s="87">
        <v>2005</v>
      </c>
      <c r="D1712" s="87" t="s">
        <v>18</v>
      </c>
      <c r="E1712" s="116">
        <v>40</v>
      </c>
      <c r="F1712" s="87" t="s">
        <v>967</v>
      </c>
      <c r="G1712" s="87" t="s">
        <v>272</v>
      </c>
      <c r="H1712" s="87" t="s">
        <v>967</v>
      </c>
      <c r="I1712" s="87">
        <v>78</v>
      </c>
    </row>
    <row r="1713" spans="1:9" ht="15" customHeight="1" x14ac:dyDescent="0.25">
      <c r="A1713" s="87" t="s">
        <v>33</v>
      </c>
      <c r="B1713" s="87" t="s">
        <v>321</v>
      </c>
      <c r="C1713" s="87">
        <v>2006</v>
      </c>
      <c r="D1713" s="87" t="s">
        <v>18</v>
      </c>
      <c r="E1713" s="116">
        <v>17</v>
      </c>
      <c r="F1713" s="87" t="s">
        <v>967</v>
      </c>
      <c r="G1713" s="87" t="s">
        <v>272</v>
      </c>
      <c r="H1713" s="87" t="s">
        <v>967</v>
      </c>
      <c r="I1713" s="87">
        <v>78</v>
      </c>
    </row>
    <row r="1714" spans="1:9" ht="15" customHeight="1" x14ac:dyDescent="0.25">
      <c r="A1714" s="87" t="s">
        <v>33</v>
      </c>
      <c r="B1714" s="87" t="s">
        <v>321</v>
      </c>
      <c r="C1714" s="87">
        <v>2007</v>
      </c>
      <c r="D1714" s="87" t="s">
        <v>18</v>
      </c>
      <c r="E1714" s="116">
        <v>17</v>
      </c>
      <c r="F1714" s="87" t="s">
        <v>967</v>
      </c>
      <c r="G1714" s="87" t="s">
        <v>272</v>
      </c>
      <c r="H1714" s="87" t="s">
        <v>967</v>
      </c>
      <c r="I1714" s="87">
        <v>78</v>
      </c>
    </row>
    <row r="1715" spans="1:9" ht="15" customHeight="1" x14ac:dyDescent="0.25">
      <c r="A1715" s="87" t="s">
        <v>33</v>
      </c>
      <c r="B1715" s="87" t="s">
        <v>321</v>
      </c>
      <c r="C1715" s="87">
        <v>2008</v>
      </c>
      <c r="D1715" s="87" t="s">
        <v>18</v>
      </c>
      <c r="E1715" s="116">
        <v>60</v>
      </c>
      <c r="F1715" s="87" t="s">
        <v>967</v>
      </c>
      <c r="G1715" s="87" t="s">
        <v>272</v>
      </c>
      <c r="H1715" s="87" t="s">
        <v>967</v>
      </c>
      <c r="I1715" s="87">
        <v>78</v>
      </c>
    </row>
    <row r="1716" spans="1:9" ht="15" customHeight="1" x14ac:dyDescent="0.25">
      <c r="A1716" s="87" t="s">
        <v>33</v>
      </c>
      <c r="B1716" s="87" t="s">
        <v>321</v>
      </c>
      <c r="C1716" s="87">
        <v>2009</v>
      </c>
      <c r="D1716" s="87" t="s">
        <v>18</v>
      </c>
      <c r="E1716" s="116">
        <v>25</v>
      </c>
      <c r="F1716" s="87" t="s">
        <v>967</v>
      </c>
      <c r="G1716" s="87" t="s">
        <v>272</v>
      </c>
      <c r="H1716" s="87" t="s">
        <v>967</v>
      </c>
      <c r="I1716" s="87">
        <v>78</v>
      </c>
    </row>
    <row r="1717" spans="1:9" ht="15" customHeight="1" x14ac:dyDescent="0.25">
      <c r="A1717" s="87" t="s">
        <v>33</v>
      </c>
      <c r="B1717" s="87" t="s">
        <v>321</v>
      </c>
      <c r="C1717" s="87">
        <v>2010</v>
      </c>
      <c r="D1717" s="87" t="s">
        <v>18</v>
      </c>
      <c r="E1717" s="116">
        <v>9</v>
      </c>
      <c r="F1717" s="87" t="s">
        <v>967</v>
      </c>
      <c r="G1717" s="87" t="s">
        <v>272</v>
      </c>
      <c r="H1717" s="87" t="s">
        <v>967</v>
      </c>
      <c r="I1717" s="87">
        <v>78</v>
      </c>
    </row>
    <row r="1718" spans="1:9" ht="15" customHeight="1" x14ac:dyDescent="0.25">
      <c r="A1718" s="87" t="s">
        <v>33</v>
      </c>
      <c r="B1718" s="87" t="s">
        <v>321</v>
      </c>
      <c r="C1718" s="87">
        <v>2011</v>
      </c>
      <c r="D1718" s="87" t="s">
        <v>18</v>
      </c>
      <c r="E1718" s="116">
        <v>5</v>
      </c>
      <c r="F1718" s="87" t="s">
        <v>967</v>
      </c>
      <c r="G1718" s="87" t="s">
        <v>272</v>
      </c>
      <c r="H1718" s="87" t="s">
        <v>967</v>
      </c>
      <c r="I1718" s="87">
        <v>78</v>
      </c>
    </row>
    <row r="1719" spans="1:9" ht="15" customHeight="1" x14ac:dyDescent="0.25">
      <c r="A1719" s="87" t="s">
        <v>33</v>
      </c>
      <c r="B1719" s="87" t="s">
        <v>321</v>
      </c>
      <c r="C1719" s="87">
        <v>2012</v>
      </c>
      <c r="D1719" s="87" t="s">
        <v>18</v>
      </c>
      <c r="E1719" s="116">
        <v>2</v>
      </c>
      <c r="F1719" s="87" t="s">
        <v>967</v>
      </c>
      <c r="G1719" s="87" t="s">
        <v>272</v>
      </c>
      <c r="H1719" s="87" t="s">
        <v>743</v>
      </c>
      <c r="I1719" s="87">
        <v>78</v>
      </c>
    </row>
    <row r="1720" spans="1:9" ht="15" customHeight="1" x14ac:dyDescent="0.25">
      <c r="A1720" s="87" t="s">
        <v>33</v>
      </c>
      <c r="B1720" s="87" t="s">
        <v>321</v>
      </c>
      <c r="C1720" s="87">
        <v>2013</v>
      </c>
      <c r="D1720" s="87" t="s">
        <v>18</v>
      </c>
      <c r="E1720" s="116">
        <v>18</v>
      </c>
      <c r="F1720" s="87" t="s">
        <v>967</v>
      </c>
      <c r="G1720" s="87" t="s">
        <v>274</v>
      </c>
      <c r="H1720" s="87" t="s">
        <v>967</v>
      </c>
      <c r="I1720" s="87">
        <v>78</v>
      </c>
    </row>
    <row r="1721" spans="1:9" ht="15" customHeight="1" x14ac:dyDescent="0.25">
      <c r="A1721" s="87" t="s">
        <v>33</v>
      </c>
      <c r="B1721" s="87" t="s">
        <v>321</v>
      </c>
      <c r="C1721" s="87">
        <v>2014</v>
      </c>
      <c r="D1721" s="87" t="s">
        <v>18</v>
      </c>
      <c r="E1721" s="116">
        <v>8</v>
      </c>
      <c r="F1721" s="87" t="s">
        <v>967</v>
      </c>
      <c r="G1721" s="87" t="s">
        <v>272</v>
      </c>
      <c r="H1721" s="87" t="s">
        <v>967</v>
      </c>
      <c r="I1721" s="87">
        <v>78</v>
      </c>
    </row>
    <row r="1722" spans="1:9" ht="15" customHeight="1" x14ac:dyDescent="0.25">
      <c r="A1722" s="87" t="s">
        <v>33</v>
      </c>
      <c r="B1722" s="87" t="s">
        <v>321</v>
      </c>
      <c r="C1722" s="87">
        <v>2015</v>
      </c>
      <c r="D1722" s="87" t="s">
        <v>18</v>
      </c>
      <c r="E1722" s="116">
        <v>5</v>
      </c>
      <c r="F1722" s="87" t="s">
        <v>967</v>
      </c>
      <c r="G1722" s="87" t="s">
        <v>272</v>
      </c>
      <c r="H1722" s="87" t="s">
        <v>967</v>
      </c>
      <c r="I1722" s="87">
        <v>78</v>
      </c>
    </row>
    <row r="1723" spans="1:9" ht="15" customHeight="1" x14ac:dyDescent="0.25">
      <c r="A1723" s="87" t="s">
        <v>33</v>
      </c>
      <c r="B1723" s="87" t="s">
        <v>321</v>
      </c>
      <c r="C1723" s="87">
        <v>2016</v>
      </c>
      <c r="D1723" s="87" t="s">
        <v>18</v>
      </c>
      <c r="E1723" s="116">
        <v>3</v>
      </c>
      <c r="F1723" s="87" t="s">
        <v>967</v>
      </c>
      <c r="G1723" s="87" t="s">
        <v>274</v>
      </c>
      <c r="H1723" s="87" t="s">
        <v>744</v>
      </c>
      <c r="I1723" s="87">
        <v>78</v>
      </c>
    </row>
    <row r="1724" spans="1:9" ht="15" customHeight="1" x14ac:dyDescent="0.25">
      <c r="A1724" s="87" t="s">
        <v>33</v>
      </c>
      <c r="B1724" s="87" t="s">
        <v>321</v>
      </c>
      <c r="C1724" s="87">
        <v>2017</v>
      </c>
      <c r="D1724" s="87" t="s">
        <v>18</v>
      </c>
      <c r="E1724" s="116">
        <v>9</v>
      </c>
      <c r="F1724" s="87" t="s">
        <v>967</v>
      </c>
      <c r="G1724" s="87" t="s">
        <v>274</v>
      </c>
      <c r="H1724" s="87" t="s">
        <v>967</v>
      </c>
      <c r="I1724" s="87">
        <v>78</v>
      </c>
    </row>
    <row r="1725" spans="1:9" ht="15" customHeight="1" x14ac:dyDescent="0.25">
      <c r="A1725" s="87" t="s">
        <v>33</v>
      </c>
      <c r="B1725" s="87" t="s">
        <v>321</v>
      </c>
      <c r="C1725" s="87">
        <v>2018</v>
      </c>
      <c r="D1725" s="87" t="s">
        <v>18</v>
      </c>
      <c r="E1725" s="116">
        <v>2</v>
      </c>
      <c r="F1725" s="87" t="s">
        <v>967</v>
      </c>
      <c r="G1725" s="87" t="s">
        <v>274</v>
      </c>
      <c r="H1725" s="87" t="s">
        <v>967</v>
      </c>
      <c r="I1725" s="87">
        <v>78</v>
      </c>
    </row>
    <row r="1726" spans="1:9" ht="15" customHeight="1" x14ac:dyDescent="0.25">
      <c r="A1726" s="87" t="s">
        <v>33</v>
      </c>
      <c r="B1726" s="87" t="s">
        <v>321</v>
      </c>
      <c r="C1726" s="87">
        <v>2019</v>
      </c>
      <c r="D1726" s="87" t="s">
        <v>18</v>
      </c>
      <c r="E1726" s="116">
        <v>2</v>
      </c>
      <c r="F1726" s="87" t="s">
        <v>967</v>
      </c>
      <c r="G1726" s="87" t="s">
        <v>274</v>
      </c>
      <c r="H1726" s="87" t="s">
        <v>967</v>
      </c>
      <c r="I1726" s="87">
        <v>78</v>
      </c>
    </row>
    <row r="1727" spans="1:9" ht="15" customHeight="1" x14ac:dyDescent="0.25">
      <c r="A1727" s="87" t="s">
        <v>33</v>
      </c>
      <c r="B1727" s="87" t="s">
        <v>321</v>
      </c>
      <c r="C1727" s="87">
        <v>2020</v>
      </c>
      <c r="D1727" s="87" t="s">
        <v>18</v>
      </c>
      <c r="E1727" s="116">
        <v>9</v>
      </c>
      <c r="F1727" s="87" t="s">
        <v>967</v>
      </c>
      <c r="G1727" s="87" t="s">
        <v>274</v>
      </c>
      <c r="H1727" s="87" t="s">
        <v>967</v>
      </c>
      <c r="I1727" s="87">
        <v>78</v>
      </c>
    </row>
    <row r="1728" spans="1:9" ht="15" customHeight="1" x14ac:dyDescent="0.25">
      <c r="A1728" s="87" t="s">
        <v>33</v>
      </c>
      <c r="B1728" s="87" t="s">
        <v>321</v>
      </c>
      <c r="C1728" s="87">
        <v>2021</v>
      </c>
      <c r="D1728" s="87" t="s">
        <v>18</v>
      </c>
      <c r="E1728" s="116">
        <v>9</v>
      </c>
      <c r="F1728" s="87" t="s">
        <v>1061</v>
      </c>
      <c r="G1728" s="87" t="s">
        <v>272</v>
      </c>
      <c r="H1728" s="87" t="s">
        <v>967</v>
      </c>
      <c r="I1728" s="87">
        <v>78</v>
      </c>
    </row>
    <row r="1729" spans="1:9" ht="15" customHeight="1" x14ac:dyDescent="0.25">
      <c r="A1729" s="87" t="s">
        <v>33</v>
      </c>
      <c r="B1729" s="87" t="s">
        <v>321</v>
      </c>
      <c r="C1729" s="87">
        <v>2022</v>
      </c>
      <c r="D1729" s="87" t="s">
        <v>18</v>
      </c>
      <c r="E1729" s="116">
        <v>0</v>
      </c>
      <c r="F1729" s="87" t="s">
        <v>967</v>
      </c>
      <c r="G1729" s="87" t="s">
        <v>274</v>
      </c>
      <c r="H1729" s="87" t="s">
        <v>967</v>
      </c>
      <c r="I1729" s="87">
        <v>78</v>
      </c>
    </row>
    <row r="1730" spans="1:9" ht="15" customHeight="1" x14ac:dyDescent="0.25">
      <c r="A1730" s="87" t="s">
        <v>33</v>
      </c>
      <c r="B1730" s="87" t="s">
        <v>236</v>
      </c>
      <c r="C1730" s="87">
        <v>1975</v>
      </c>
      <c r="D1730" s="87" t="s">
        <v>18</v>
      </c>
      <c r="E1730" s="116">
        <v>1000</v>
      </c>
      <c r="F1730" s="87" t="s">
        <v>322</v>
      </c>
      <c r="G1730" s="87" t="s">
        <v>967</v>
      </c>
      <c r="H1730" s="87" t="s">
        <v>322</v>
      </c>
      <c r="I1730" s="87">
        <v>25</v>
      </c>
    </row>
    <row r="1731" spans="1:9" ht="15" customHeight="1" x14ac:dyDescent="0.25">
      <c r="A1731" s="87" t="s">
        <v>33</v>
      </c>
      <c r="B1731" s="87" t="s">
        <v>236</v>
      </c>
      <c r="C1731" s="87">
        <v>1976</v>
      </c>
      <c r="D1731" s="87" t="s">
        <v>18</v>
      </c>
      <c r="E1731" s="116">
        <v>1000</v>
      </c>
      <c r="F1731" s="87" t="s">
        <v>322</v>
      </c>
      <c r="G1731" s="87" t="s">
        <v>967</v>
      </c>
      <c r="H1731" s="87" t="s">
        <v>322</v>
      </c>
      <c r="I1731" s="87">
        <v>25</v>
      </c>
    </row>
    <row r="1732" spans="1:9" ht="15" customHeight="1" x14ac:dyDescent="0.25">
      <c r="A1732" s="87" t="s">
        <v>33</v>
      </c>
      <c r="B1732" s="87" t="s">
        <v>236</v>
      </c>
      <c r="C1732" s="87">
        <v>1977</v>
      </c>
      <c r="D1732" s="87" t="s">
        <v>18</v>
      </c>
      <c r="E1732" s="116">
        <v>1400</v>
      </c>
      <c r="F1732" s="87" t="s">
        <v>322</v>
      </c>
      <c r="G1732" s="87" t="s">
        <v>967</v>
      </c>
      <c r="H1732" s="87" t="s">
        <v>322</v>
      </c>
      <c r="I1732" s="87">
        <v>25</v>
      </c>
    </row>
    <row r="1733" spans="1:9" ht="15" customHeight="1" x14ac:dyDescent="0.25">
      <c r="A1733" s="87" t="s">
        <v>33</v>
      </c>
      <c r="B1733" s="87" t="s">
        <v>236</v>
      </c>
      <c r="C1733" s="87">
        <v>1978</v>
      </c>
      <c r="D1733" s="87" t="s">
        <v>18</v>
      </c>
      <c r="E1733" s="116">
        <v>1200</v>
      </c>
      <c r="F1733" s="87" t="s">
        <v>322</v>
      </c>
      <c r="G1733" s="87" t="s">
        <v>967</v>
      </c>
      <c r="H1733" s="87" t="s">
        <v>322</v>
      </c>
      <c r="I1733" s="87">
        <v>25</v>
      </c>
    </row>
    <row r="1734" spans="1:9" ht="15" customHeight="1" x14ac:dyDescent="0.25">
      <c r="A1734" s="87" t="s">
        <v>33</v>
      </c>
      <c r="B1734" s="87" t="s">
        <v>236</v>
      </c>
      <c r="C1734" s="87">
        <v>1979</v>
      </c>
      <c r="D1734" s="87" t="s">
        <v>18</v>
      </c>
      <c r="E1734" s="116">
        <v>900</v>
      </c>
      <c r="F1734" s="87" t="s">
        <v>322</v>
      </c>
      <c r="G1734" s="87" t="s">
        <v>967</v>
      </c>
      <c r="H1734" s="87" t="s">
        <v>322</v>
      </c>
      <c r="I1734" s="87">
        <v>25</v>
      </c>
    </row>
    <row r="1735" spans="1:9" ht="15" customHeight="1" x14ac:dyDescent="0.25">
      <c r="A1735" s="87" t="s">
        <v>33</v>
      </c>
      <c r="B1735" s="87" t="s">
        <v>236</v>
      </c>
      <c r="C1735" s="87">
        <v>1980</v>
      </c>
      <c r="D1735" s="87" t="s">
        <v>18</v>
      </c>
      <c r="E1735" s="116">
        <v>1000</v>
      </c>
      <c r="F1735" s="87" t="s">
        <v>322</v>
      </c>
      <c r="G1735" s="87" t="s">
        <v>967</v>
      </c>
      <c r="H1735" s="87" t="s">
        <v>322</v>
      </c>
      <c r="I1735" s="87">
        <v>25</v>
      </c>
    </row>
    <row r="1736" spans="1:9" ht="15" customHeight="1" x14ac:dyDescent="0.25">
      <c r="A1736" s="87" t="s">
        <v>33</v>
      </c>
      <c r="B1736" s="87" t="s">
        <v>236</v>
      </c>
      <c r="C1736" s="87">
        <v>1981</v>
      </c>
      <c r="D1736" s="87" t="s">
        <v>18</v>
      </c>
      <c r="E1736" s="116">
        <v>800</v>
      </c>
      <c r="F1736" s="87" t="s">
        <v>508</v>
      </c>
      <c r="G1736" s="87" t="s">
        <v>967</v>
      </c>
      <c r="H1736" s="87" t="s">
        <v>508</v>
      </c>
      <c r="I1736" s="87">
        <v>25</v>
      </c>
    </row>
    <row r="1737" spans="1:9" ht="15" customHeight="1" x14ac:dyDescent="0.25">
      <c r="A1737" s="87" t="s">
        <v>33</v>
      </c>
      <c r="B1737" s="87" t="s">
        <v>236</v>
      </c>
      <c r="C1737" s="87">
        <v>1982</v>
      </c>
      <c r="D1737" s="87" t="s">
        <v>18</v>
      </c>
      <c r="E1737" s="116">
        <v>1000</v>
      </c>
      <c r="F1737" s="87" t="s">
        <v>508</v>
      </c>
      <c r="G1737" s="87" t="s">
        <v>967</v>
      </c>
      <c r="H1737" s="87" t="s">
        <v>508</v>
      </c>
      <c r="I1737" s="87">
        <v>25</v>
      </c>
    </row>
    <row r="1738" spans="1:9" ht="15" customHeight="1" x14ac:dyDescent="0.25">
      <c r="A1738" s="87" t="s">
        <v>33</v>
      </c>
      <c r="B1738" s="87" t="s">
        <v>236</v>
      </c>
      <c r="C1738" s="87">
        <v>1983</v>
      </c>
      <c r="D1738" s="87" t="s">
        <v>18</v>
      </c>
      <c r="E1738" s="116">
        <v>1500</v>
      </c>
      <c r="F1738" s="87" t="s">
        <v>508</v>
      </c>
      <c r="G1738" s="87" t="s">
        <v>967</v>
      </c>
      <c r="H1738" s="87" t="s">
        <v>508</v>
      </c>
      <c r="I1738" s="87">
        <v>25</v>
      </c>
    </row>
    <row r="1739" spans="1:9" ht="15" customHeight="1" x14ac:dyDescent="0.25">
      <c r="A1739" s="87" t="s">
        <v>33</v>
      </c>
      <c r="B1739" s="87" t="s">
        <v>236</v>
      </c>
      <c r="C1739" s="87">
        <v>1984</v>
      </c>
      <c r="D1739" s="87" t="s">
        <v>18</v>
      </c>
      <c r="E1739" s="116">
        <v>1800</v>
      </c>
      <c r="F1739" s="87" t="s">
        <v>508</v>
      </c>
      <c r="G1739" s="87" t="s">
        <v>967</v>
      </c>
      <c r="H1739" s="87" t="s">
        <v>508</v>
      </c>
      <c r="I1739" s="87">
        <v>25</v>
      </c>
    </row>
    <row r="1740" spans="1:9" ht="15" customHeight="1" x14ac:dyDescent="0.25">
      <c r="A1740" s="87" t="s">
        <v>33</v>
      </c>
      <c r="B1740" s="87" t="s">
        <v>236</v>
      </c>
      <c r="C1740" s="87">
        <v>1985</v>
      </c>
      <c r="D1740" s="87" t="s">
        <v>18</v>
      </c>
      <c r="E1740" s="116">
        <v>2000</v>
      </c>
      <c r="F1740" s="87" t="s">
        <v>508</v>
      </c>
      <c r="G1740" s="87" t="s">
        <v>967</v>
      </c>
      <c r="H1740" s="87" t="s">
        <v>508</v>
      </c>
      <c r="I1740" s="87">
        <v>25</v>
      </c>
    </row>
    <row r="1741" spans="1:9" ht="15" customHeight="1" x14ac:dyDescent="0.25">
      <c r="A1741" s="87" t="s">
        <v>33</v>
      </c>
      <c r="B1741" s="87" t="s">
        <v>236</v>
      </c>
      <c r="C1741" s="87">
        <v>1986</v>
      </c>
      <c r="D1741" s="87" t="s">
        <v>18</v>
      </c>
      <c r="E1741" s="116">
        <v>9000</v>
      </c>
      <c r="F1741" s="87" t="s">
        <v>508</v>
      </c>
      <c r="G1741" s="87" t="s">
        <v>967</v>
      </c>
      <c r="H1741" s="87" t="s">
        <v>508</v>
      </c>
      <c r="I1741" s="87">
        <v>25</v>
      </c>
    </row>
    <row r="1742" spans="1:9" ht="15" customHeight="1" x14ac:dyDescent="0.25">
      <c r="A1742" s="87" t="s">
        <v>33</v>
      </c>
      <c r="B1742" s="87" t="s">
        <v>236</v>
      </c>
      <c r="C1742" s="87">
        <v>1987</v>
      </c>
      <c r="D1742" s="87" t="s">
        <v>18</v>
      </c>
      <c r="E1742" s="116">
        <v>4331</v>
      </c>
      <c r="F1742" s="87" t="s">
        <v>508</v>
      </c>
      <c r="G1742" s="87" t="s">
        <v>967</v>
      </c>
      <c r="H1742" s="87" t="s">
        <v>508</v>
      </c>
      <c r="I1742" s="87">
        <v>25</v>
      </c>
    </row>
    <row r="1743" spans="1:9" ht="15" customHeight="1" x14ac:dyDescent="0.25">
      <c r="A1743" s="87" t="s">
        <v>33</v>
      </c>
      <c r="B1743" s="87" t="s">
        <v>236</v>
      </c>
      <c r="C1743" s="87">
        <v>1988</v>
      </c>
      <c r="D1743" s="87" t="s">
        <v>18</v>
      </c>
      <c r="E1743" s="116">
        <v>6300</v>
      </c>
      <c r="F1743" s="87" t="s">
        <v>508</v>
      </c>
      <c r="G1743" s="87" t="s">
        <v>967</v>
      </c>
      <c r="H1743" s="87" t="s">
        <v>508</v>
      </c>
      <c r="I1743" s="87">
        <v>25</v>
      </c>
    </row>
    <row r="1744" spans="1:9" ht="15" customHeight="1" x14ac:dyDescent="0.25">
      <c r="A1744" s="87" t="s">
        <v>33</v>
      </c>
      <c r="B1744" s="87" t="s">
        <v>236</v>
      </c>
      <c r="C1744" s="87">
        <v>1989</v>
      </c>
      <c r="D1744" s="87" t="s">
        <v>18</v>
      </c>
      <c r="E1744" s="116">
        <v>3000</v>
      </c>
      <c r="F1744" s="87" t="s">
        <v>508</v>
      </c>
      <c r="G1744" s="87" t="s">
        <v>967</v>
      </c>
      <c r="H1744" s="87" t="s">
        <v>508</v>
      </c>
      <c r="I1744" s="87">
        <v>25</v>
      </c>
    </row>
    <row r="1745" spans="1:9" ht="15" customHeight="1" x14ac:dyDescent="0.25">
      <c r="A1745" s="87" t="s">
        <v>33</v>
      </c>
      <c r="B1745" s="87" t="s">
        <v>236</v>
      </c>
      <c r="C1745" s="87">
        <v>1990</v>
      </c>
      <c r="D1745" s="87" t="s">
        <v>18</v>
      </c>
      <c r="E1745" s="116">
        <v>6195</v>
      </c>
      <c r="F1745" s="87" t="s">
        <v>508</v>
      </c>
      <c r="G1745" s="87" t="s">
        <v>967</v>
      </c>
      <c r="H1745" s="87" t="s">
        <v>508</v>
      </c>
      <c r="I1745" s="87">
        <v>25</v>
      </c>
    </row>
    <row r="1746" spans="1:9" ht="15" customHeight="1" x14ac:dyDescent="0.25">
      <c r="A1746" s="87" t="s">
        <v>33</v>
      </c>
      <c r="B1746" s="87" t="s">
        <v>236</v>
      </c>
      <c r="C1746" s="87">
        <v>1991</v>
      </c>
      <c r="D1746" s="87" t="s">
        <v>18</v>
      </c>
      <c r="E1746" s="116">
        <v>4400</v>
      </c>
      <c r="F1746" s="87" t="s">
        <v>508</v>
      </c>
      <c r="G1746" s="87" t="s">
        <v>967</v>
      </c>
      <c r="H1746" s="87" t="s">
        <v>508</v>
      </c>
      <c r="I1746" s="87">
        <v>25</v>
      </c>
    </row>
    <row r="1747" spans="1:9" ht="15" customHeight="1" x14ac:dyDescent="0.25">
      <c r="A1747" s="87" t="s">
        <v>33</v>
      </c>
      <c r="B1747" s="87" t="s">
        <v>236</v>
      </c>
      <c r="C1747" s="87">
        <v>1992</v>
      </c>
      <c r="D1747" s="87" t="s">
        <v>18</v>
      </c>
      <c r="E1747" s="116">
        <v>3375</v>
      </c>
      <c r="F1747" s="87" t="s">
        <v>508</v>
      </c>
      <c r="G1747" s="87" t="s">
        <v>967</v>
      </c>
      <c r="H1747" s="87" t="s">
        <v>508</v>
      </c>
      <c r="I1747" s="87">
        <v>25</v>
      </c>
    </row>
    <row r="1748" spans="1:9" ht="15" customHeight="1" x14ac:dyDescent="0.25">
      <c r="A1748" s="87" t="s">
        <v>33</v>
      </c>
      <c r="B1748" s="87" t="s">
        <v>236</v>
      </c>
      <c r="C1748" s="87">
        <v>1993</v>
      </c>
      <c r="D1748" s="87" t="s">
        <v>18</v>
      </c>
      <c r="E1748" s="116">
        <v>5028</v>
      </c>
      <c r="F1748" s="87" t="s">
        <v>508</v>
      </c>
      <c r="G1748" s="87" t="s">
        <v>967</v>
      </c>
      <c r="H1748" s="87" t="s">
        <v>508</v>
      </c>
      <c r="I1748" s="87">
        <v>25</v>
      </c>
    </row>
    <row r="1749" spans="1:9" ht="15" customHeight="1" x14ac:dyDescent="0.25">
      <c r="A1749" s="87" t="s">
        <v>33</v>
      </c>
      <c r="B1749" s="87" t="s">
        <v>236</v>
      </c>
      <c r="C1749" s="87">
        <v>1994</v>
      </c>
      <c r="D1749" s="87" t="s">
        <v>18</v>
      </c>
      <c r="E1749" s="116">
        <v>1549</v>
      </c>
      <c r="F1749" s="87" t="s">
        <v>508</v>
      </c>
      <c r="G1749" s="87" t="s">
        <v>967</v>
      </c>
      <c r="H1749" s="87" t="s">
        <v>508</v>
      </c>
      <c r="I1749" s="87">
        <v>25</v>
      </c>
    </row>
    <row r="1750" spans="1:9" ht="15" customHeight="1" x14ac:dyDescent="0.25">
      <c r="A1750" s="87" t="s">
        <v>33</v>
      </c>
      <c r="B1750" s="87" t="s">
        <v>236</v>
      </c>
      <c r="C1750" s="87">
        <v>1995</v>
      </c>
      <c r="D1750" s="87" t="s">
        <v>18</v>
      </c>
      <c r="E1750" s="116">
        <v>3073</v>
      </c>
      <c r="F1750" s="87" t="s">
        <v>508</v>
      </c>
      <c r="G1750" s="87" t="s">
        <v>967</v>
      </c>
      <c r="H1750" s="87" t="s">
        <v>508</v>
      </c>
      <c r="I1750" s="87">
        <v>25</v>
      </c>
    </row>
    <row r="1751" spans="1:9" ht="15" customHeight="1" x14ac:dyDescent="0.25">
      <c r="A1751" s="87" t="s">
        <v>33</v>
      </c>
      <c r="B1751" s="87" t="s">
        <v>236</v>
      </c>
      <c r="C1751" s="87">
        <v>1996</v>
      </c>
      <c r="D1751" s="87" t="s">
        <v>18</v>
      </c>
      <c r="E1751" s="116">
        <v>3100</v>
      </c>
      <c r="F1751" s="87" t="s">
        <v>508</v>
      </c>
      <c r="G1751" s="87" t="s">
        <v>967</v>
      </c>
      <c r="H1751" s="87" t="s">
        <v>508</v>
      </c>
      <c r="I1751" s="87">
        <v>25</v>
      </c>
    </row>
    <row r="1752" spans="1:9" ht="15" customHeight="1" x14ac:dyDescent="0.25">
      <c r="A1752" s="87" t="s">
        <v>33</v>
      </c>
      <c r="B1752" s="87" t="s">
        <v>236</v>
      </c>
      <c r="C1752" s="87">
        <v>1997</v>
      </c>
      <c r="D1752" s="87" t="s">
        <v>18</v>
      </c>
      <c r="E1752" s="116">
        <v>3185</v>
      </c>
      <c r="F1752" s="87" t="s">
        <v>508</v>
      </c>
      <c r="G1752" s="87" t="s">
        <v>967</v>
      </c>
      <c r="H1752" s="87" t="s">
        <v>508</v>
      </c>
      <c r="I1752" s="87">
        <v>25</v>
      </c>
    </row>
    <row r="1753" spans="1:9" ht="15" customHeight="1" x14ac:dyDescent="0.25">
      <c r="A1753" s="87" t="s">
        <v>33</v>
      </c>
      <c r="B1753" s="87" t="s">
        <v>236</v>
      </c>
      <c r="C1753" s="87">
        <v>1998</v>
      </c>
      <c r="D1753" s="87" t="s">
        <v>18</v>
      </c>
      <c r="E1753" s="116">
        <v>4906</v>
      </c>
      <c r="F1753" s="87" t="s">
        <v>967</v>
      </c>
      <c r="G1753" s="87" t="s">
        <v>272</v>
      </c>
      <c r="H1753" s="87" t="s">
        <v>967</v>
      </c>
      <c r="I1753" s="87">
        <v>25</v>
      </c>
    </row>
    <row r="1754" spans="1:9" ht="15" customHeight="1" x14ac:dyDescent="0.25">
      <c r="A1754" s="87" t="s">
        <v>33</v>
      </c>
      <c r="B1754" s="87" t="s">
        <v>236</v>
      </c>
      <c r="C1754" s="87">
        <v>1999</v>
      </c>
      <c r="D1754" s="87" t="s">
        <v>18</v>
      </c>
      <c r="E1754" s="116">
        <v>1620</v>
      </c>
      <c r="F1754" s="87" t="s">
        <v>967</v>
      </c>
      <c r="G1754" s="87" t="s">
        <v>272</v>
      </c>
      <c r="H1754" s="87" t="s">
        <v>967</v>
      </c>
      <c r="I1754" s="87">
        <v>25</v>
      </c>
    </row>
    <row r="1755" spans="1:9" ht="15" customHeight="1" x14ac:dyDescent="0.25">
      <c r="A1755" s="87" t="s">
        <v>33</v>
      </c>
      <c r="B1755" s="87" t="s">
        <v>236</v>
      </c>
      <c r="C1755" s="87">
        <v>2000</v>
      </c>
      <c r="D1755" s="87" t="s">
        <v>18</v>
      </c>
      <c r="E1755" s="116">
        <v>1718</v>
      </c>
      <c r="F1755" s="87" t="s">
        <v>967</v>
      </c>
      <c r="G1755" s="87" t="s">
        <v>272</v>
      </c>
      <c r="H1755" s="87" t="s">
        <v>967</v>
      </c>
      <c r="I1755" s="87">
        <v>25</v>
      </c>
    </row>
    <row r="1756" spans="1:9" ht="15" customHeight="1" x14ac:dyDescent="0.25">
      <c r="A1756" s="87" t="s">
        <v>33</v>
      </c>
      <c r="B1756" s="87" t="s">
        <v>236</v>
      </c>
      <c r="C1756" s="87">
        <v>2001</v>
      </c>
      <c r="D1756" s="87" t="s">
        <v>18</v>
      </c>
      <c r="E1756" s="116">
        <v>2418</v>
      </c>
      <c r="F1756" s="87" t="s">
        <v>967</v>
      </c>
      <c r="G1756" s="87" t="s">
        <v>274</v>
      </c>
      <c r="H1756" s="87" t="s">
        <v>967</v>
      </c>
      <c r="I1756" s="87">
        <v>25</v>
      </c>
    </row>
    <row r="1757" spans="1:9" ht="15" customHeight="1" x14ac:dyDescent="0.25">
      <c r="A1757" s="87" t="s">
        <v>33</v>
      </c>
      <c r="B1757" s="87" t="s">
        <v>236</v>
      </c>
      <c r="C1757" s="87">
        <v>2002</v>
      </c>
      <c r="D1757" s="87" t="s">
        <v>18</v>
      </c>
      <c r="E1757" s="116">
        <v>5514</v>
      </c>
      <c r="F1757" s="87" t="s">
        <v>967</v>
      </c>
      <c r="G1757" s="87" t="s">
        <v>272</v>
      </c>
      <c r="H1757" s="87" t="s">
        <v>967</v>
      </c>
      <c r="I1757" s="87">
        <v>25</v>
      </c>
    </row>
    <row r="1758" spans="1:9" ht="15" customHeight="1" x14ac:dyDescent="0.25">
      <c r="A1758" s="87" t="s">
        <v>33</v>
      </c>
      <c r="B1758" s="87" t="s">
        <v>236</v>
      </c>
      <c r="C1758" s="87">
        <v>2003</v>
      </c>
      <c r="D1758" s="87" t="s">
        <v>18</v>
      </c>
      <c r="E1758" s="116">
        <v>5265</v>
      </c>
      <c r="F1758" s="87" t="s">
        <v>967</v>
      </c>
      <c r="G1758" s="87" t="s">
        <v>272</v>
      </c>
      <c r="H1758" s="87" t="s">
        <v>967</v>
      </c>
      <c r="I1758" s="87">
        <v>25</v>
      </c>
    </row>
    <row r="1759" spans="1:9" ht="15" customHeight="1" x14ac:dyDescent="0.25">
      <c r="A1759" s="87" t="s">
        <v>33</v>
      </c>
      <c r="B1759" s="87" t="s">
        <v>236</v>
      </c>
      <c r="C1759" s="87">
        <v>2004</v>
      </c>
      <c r="D1759" s="87" t="s">
        <v>18</v>
      </c>
      <c r="E1759" s="116">
        <v>2945</v>
      </c>
      <c r="F1759" s="87" t="s">
        <v>323</v>
      </c>
      <c r="G1759" s="87" t="s">
        <v>272</v>
      </c>
      <c r="H1759" s="87" t="s">
        <v>967</v>
      </c>
      <c r="I1759" s="87">
        <v>25</v>
      </c>
    </row>
    <row r="1760" spans="1:9" ht="15" customHeight="1" x14ac:dyDescent="0.25">
      <c r="A1760" s="87" t="s">
        <v>33</v>
      </c>
      <c r="B1760" s="87" t="s">
        <v>236</v>
      </c>
      <c r="C1760" s="87">
        <v>2005</v>
      </c>
      <c r="D1760" s="87" t="s">
        <v>18</v>
      </c>
      <c r="E1760" s="116">
        <v>3173</v>
      </c>
      <c r="F1760" s="87" t="s">
        <v>324</v>
      </c>
      <c r="G1760" s="87" t="s">
        <v>272</v>
      </c>
      <c r="H1760" s="87" t="s">
        <v>967</v>
      </c>
      <c r="I1760" s="87">
        <v>25</v>
      </c>
    </row>
    <row r="1761" spans="1:9" ht="15" customHeight="1" x14ac:dyDescent="0.25">
      <c r="A1761" s="87" t="s">
        <v>33</v>
      </c>
      <c r="B1761" s="87" t="s">
        <v>236</v>
      </c>
      <c r="C1761" s="87">
        <v>2006</v>
      </c>
      <c r="D1761" s="87" t="s">
        <v>18</v>
      </c>
      <c r="E1761" s="116">
        <v>2665</v>
      </c>
      <c r="F1761" s="87" t="s">
        <v>967</v>
      </c>
      <c r="G1761" s="87" t="s">
        <v>272</v>
      </c>
      <c r="H1761" s="87" t="s">
        <v>967</v>
      </c>
      <c r="I1761" s="87">
        <v>25</v>
      </c>
    </row>
    <row r="1762" spans="1:9" ht="15" customHeight="1" x14ac:dyDescent="0.25">
      <c r="A1762" s="87" t="s">
        <v>33</v>
      </c>
      <c r="B1762" s="87" t="s">
        <v>236</v>
      </c>
      <c r="C1762" s="87">
        <v>2007</v>
      </c>
      <c r="D1762" s="87" t="s">
        <v>18</v>
      </c>
      <c r="E1762" s="116">
        <v>1773</v>
      </c>
      <c r="F1762" s="87" t="s">
        <v>967</v>
      </c>
      <c r="G1762" s="87" t="s">
        <v>272</v>
      </c>
      <c r="H1762" s="87" t="s">
        <v>967</v>
      </c>
      <c r="I1762" s="87">
        <v>25</v>
      </c>
    </row>
    <row r="1763" spans="1:9" ht="15" customHeight="1" x14ac:dyDescent="0.25">
      <c r="A1763" s="87" t="s">
        <v>33</v>
      </c>
      <c r="B1763" s="87" t="s">
        <v>236</v>
      </c>
      <c r="C1763" s="87">
        <v>2008</v>
      </c>
      <c r="D1763" s="87" t="s">
        <v>18</v>
      </c>
      <c r="E1763" s="116">
        <v>1383</v>
      </c>
      <c r="F1763" s="87" t="s">
        <v>967</v>
      </c>
      <c r="G1763" s="87" t="s">
        <v>272</v>
      </c>
      <c r="H1763" s="87" t="s">
        <v>967</v>
      </c>
      <c r="I1763" s="87">
        <v>25</v>
      </c>
    </row>
    <row r="1764" spans="1:9" ht="15" customHeight="1" x14ac:dyDescent="0.25">
      <c r="A1764" s="87" t="s">
        <v>33</v>
      </c>
      <c r="B1764" s="87" t="s">
        <v>236</v>
      </c>
      <c r="C1764" s="87">
        <v>2009</v>
      </c>
      <c r="D1764" s="87" t="s">
        <v>18</v>
      </c>
      <c r="E1764" s="116">
        <v>1875</v>
      </c>
      <c r="F1764" s="87" t="s">
        <v>967</v>
      </c>
      <c r="G1764" s="87" t="s">
        <v>272</v>
      </c>
      <c r="H1764" s="87" t="s">
        <v>967</v>
      </c>
      <c r="I1764" s="87">
        <v>25</v>
      </c>
    </row>
    <row r="1765" spans="1:9" ht="15" customHeight="1" x14ac:dyDescent="0.25">
      <c r="A1765" s="87" t="s">
        <v>33</v>
      </c>
      <c r="B1765" s="87" t="s">
        <v>236</v>
      </c>
      <c r="C1765" s="87">
        <v>2010</v>
      </c>
      <c r="D1765" s="87" t="s">
        <v>18</v>
      </c>
      <c r="E1765" s="116">
        <v>2319</v>
      </c>
      <c r="F1765" s="87" t="s">
        <v>967</v>
      </c>
      <c r="G1765" s="87" t="s">
        <v>272</v>
      </c>
      <c r="H1765" s="87" t="s">
        <v>967</v>
      </c>
      <c r="I1765" s="87">
        <v>25</v>
      </c>
    </row>
    <row r="1766" spans="1:9" ht="15" customHeight="1" x14ac:dyDescent="0.25">
      <c r="A1766" s="87" t="s">
        <v>33</v>
      </c>
      <c r="B1766" s="87" t="s">
        <v>236</v>
      </c>
      <c r="C1766" s="87">
        <v>2011</v>
      </c>
      <c r="D1766" s="87" t="s">
        <v>18</v>
      </c>
      <c r="E1766" s="116">
        <v>1428</v>
      </c>
      <c r="F1766" s="87" t="s">
        <v>967</v>
      </c>
      <c r="G1766" s="87" t="s">
        <v>272</v>
      </c>
      <c r="H1766" s="87" t="s">
        <v>967</v>
      </c>
      <c r="I1766" s="87">
        <v>25</v>
      </c>
    </row>
    <row r="1767" spans="1:9" ht="15" customHeight="1" x14ac:dyDescent="0.25">
      <c r="A1767" s="87" t="s">
        <v>33</v>
      </c>
      <c r="B1767" s="87" t="s">
        <v>236</v>
      </c>
      <c r="C1767" s="87">
        <v>2012</v>
      </c>
      <c r="D1767" s="87" t="s">
        <v>18</v>
      </c>
      <c r="E1767" s="116">
        <v>1560</v>
      </c>
      <c r="F1767" s="87" t="s">
        <v>967</v>
      </c>
      <c r="G1767" s="87" t="s">
        <v>272</v>
      </c>
      <c r="H1767" s="87" t="s">
        <v>967</v>
      </c>
      <c r="I1767" s="87">
        <v>25</v>
      </c>
    </row>
    <row r="1768" spans="1:9" ht="15" customHeight="1" x14ac:dyDescent="0.25">
      <c r="A1768" s="87" t="s">
        <v>33</v>
      </c>
      <c r="B1768" s="87" t="s">
        <v>236</v>
      </c>
      <c r="C1768" s="87">
        <v>2013</v>
      </c>
      <c r="D1768" s="87" t="s">
        <v>18</v>
      </c>
      <c r="E1768" s="116">
        <v>2579</v>
      </c>
      <c r="F1768" s="87" t="s">
        <v>967</v>
      </c>
      <c r="G1768" s="87" t="s">
        <v>272</v>
      </c>
      <c r="H1768" s="87" t="s">
        <v>967</v>
      </c>
      <c r="I1768" s="87">
        <v>25</v>
      </c>
    </row>
    <row r="1769" spans="1:9" ht="15" customHeight="1" x14ac:dyDescent="0.25">
      <c r="A1769" s="87" t="s">
        <v>33</v>
      </c>
      <c r="B1769" s="87" t="s">
        <v>236</v>
      </c>
      <c r="C1769" s="87">
        <v>2014</v>
      </c>
      <c r="D1769" s="87" t="s">
        <v>18</v>
      </c>
      <c r="E1769" s="116">
        <v>1857</v>
      </c>
      <c r="F1769" s="87" t="s">
        <v>967</v>
      </c>
      <c r="G1769" s="87" t="s">
        <v>272</v>
      </c>
      <c r="H1769" s="87" t="s">
        <v>967</v>
      </c>
      <c r="I1769" s="87">
        <v>25</v>
      </c>
    </row>
    <row r="1770" spans="1:9" ht="15" customHeight="1" x14ac:dyDescent="0.25">
      <c r="A1770" s="87" t="s">
        <v>33</v>
      </c>
      <c r="B1770" s="87" t="s">
        <v>236</v>
      </c>
      <c r="C1770" s="87">
        <v>2015</v>
      </c>
      <c r="D1770" s="87" t="s">
        <v>18</v>
      </c>
      <c r="E1770" s="116">
        <v>3879</v>
      </c>
      <c r="F1770" s="87" t="s">
        <v>967</v>
      </c>
      <c r="G1770" s="87" t="s">
        <v>272</v>
      </c>
      <c r="H1770" s="87" t="s">
        <v>752</v>
      </c>
      <c r="I1770" s="87">
        <v>25</v>
      </c>
    </row>
    <row r="1771" spans="1:9" ht="15" customHeight="1" x14ac:dyDescent="0.25">
      <c r="A1771" s="87" t="s">
        <v>33</v>
      </c>
      <c r="B1771" s="87" t="s">
        <v>236</v>
      </c>
      <c r="C1771" s="87">
        <v>2016</v>
      </c>
      <c r="D1771" s="87" t="s">
        <v>18</v>
      </c>
      <c r="E1771" s="116">
        <v>1018</v>
      </c>
      <c r="F1771" s="87" t="s">
        <v>967</v>
      </c>
      <c r="G1771" s="87" t="s">
        <v>272</v>
      </c>
      <c r="H1771" s="87" t="s">
        <v>753</v>
      </c>
      <c r="I1771" s="87">
        <v>25</v>
      </c>
    </row>
    <row r="1772" spans="1:9" ht="15" customHeight="1" x14ac:dyDescent="0.25">
      <c r="A1772" s="87" t="s">
        <v>33</v>
      </c>
      <c r="B1772" s="87" t="s">
        <v>236</v>
      </c>
      <c r="C1772" s="87">
        <v>2017</v>
      </c>
      <c r="D1772" s="87" t="s">
        <v>18</v>
      </c>
      <c r="E1772" s="116">
        <v>500</v>
      </c>
      <c r="F1772" s="87" t="s">
        <v>967</v>
      </c>
      <c r="G1772" s="87" t="s">
        <v>272</v>
      </c>
      <c r="H1772" s="87" t="s">
        <v>967</v>
      </c>
      <c r="I1772" s="87">
        <v>25</v>
      </c>
    </row>
    <row r="1773" spans="1:9" ht="15" customHeight="1" x14ac:dyDescent="0.25">
      <c r="A1773" s="87" t="s">
        <v>33</v>
      </c>
      <c r="B1773" s="87" t="s">
        <v>236</v>
      </c>
      <c r="C1773" s="87">
        <v>2018</v>
      </c>
      <c r="D1773" s="87" t="s">
        <v>18</v>
      </c>
      <c r="E1773" s="116">
        <v>508</v>
      </c>
      <c r="F1773" s="87" t="s">
        <v>967</v>
      </c>
      <c r="G1773" s="87" t="s">
        <v>272</v>
      </c>
      <c r="H1773" s="87" t="s">
        <v>967</v>
      </c>
      <c r="I1773" s="87">
        <v>25</v>
      </c>
    </row>
    <row r="1774" spans="1:9" ht="15" customHeight="1" x14ac:dyDescent="0.25">
      <c r="A1774" s="87" t="s">
        <v>33</v>
      </c>
      <c r="B1774" s="87" t="s">
        <v>236</v>
      </c>
      <c r="C1774" s="87">
        <v>2019</v>
      </c>
      <c r="D1774" s="87" t="s">
        <v>18</v>
      </c>
      <c r="E1774" s="116">
        <v>171</v>
      </c>
      <c r="F1774" s="87" t="s">
        <v>967</v>
      </c>
      <c r="G1774" s="87" t="s">
        <v>272</v>
      </c>
      <c r="H1774" s="87" t="s">
        <v>982</v>
      </c>
      <c r="I1774" s="87">
        <v>25</v>
      </c>
    </row>
    <row r="1775" spans="1:9" ht="15" customHeight="1" x14ac:dyDescent="0.25">
      <c r="A1775" s="87" t="s">
        <v>33</v>
      </c>
      <c r="B1775" s="87" t="s">
        <v>236</v>
      </c>
      <c r="C1775" s="87">
        <v>2020</v>
      </c>
      <c r="D1775" s="87" t="s">
        <v>18</v>
      </c>
      <c r="E1775" s="116">
        <v>289</v>
      </c>
      <c r="F1775" s="87" t="s">
        <v>967</v>
      </c>
      <c r="G1775" s="87" t="s">
        <v>272</v>
      </c>
      <c r="H1775" s="87" t="s">
        <v>967</v>
      </c>
      <c r="I1775" s="87">
        <v>25</v>
      </c>
    </row>
    <row r="1776" spans="1:9" ht="15" customHeight="1" x14ac:dyDescent="0.25">
      <c r="A1776" s="87" t="s">
        <v>33</v>
      </c>
      <c r="B1776" s="87" t="s">
        <v>236</v>
      </c>
      <c r="C1776" s="87">
        <v>2021</v>
      </c>
      <c r="D1776" s="87" t="s">
        <v>18</v>
      </c>
      <c r="E1776" s="116">
        <v>1560</v>
      </c>
      <c r="F1776" s="87" t="s">
        <v>967</v>
      </c>
      <c r="G1776" s="87" t="s">
        <v>272</v>
      </c>
      <c r="H1776" s="87" t="s">
        <v>967</v>
      </c>
      <c r="I1776" s="87">
        <v>25</v>
      </c>
    </row>
    <row r="1777" spans="1:9" ht="15" customHeight="1" x14ac:dyDescent="0.25">
      <c r="A1777" s="87" t="s">
        <v>33</v>
      </c>
      <c r="B1777" s="87" t="s">
        <v>236</v>
      </c>
      <c r="C1777" s="87">
        <v>2022</v>
      </c>
      <c r="D1777" s="87" t="s">
        <v>18</v>
      </c>
      <c r="E1777" s="116">
        <v>1637</v>
      </c>
      <c r="F1777" s="87" t="s">
        <v>967</v>
      </c>
      <c r="G1777" s="87" t="s">
        <v>272</v>
      </c>
      <c r="H1777" s="87" t="s">
        <v>967</v>
      </c>
      <c r="I1777" s="87">
        <v>25</v>
      </c>
    </row>
    <row r="1778" spans="1:9" ht="15" customHeight="1" x14ac:dyDescent="0.25">
      <c r="A1778" s="87" t="s">
        <v>33</v>
      </c>
      <c r="B1778" s="87" t="s">
        <v>325</v>
      </c>
      <c r="C1778" s="87">
        <v>1975</v>
      </c>
      <c r="D1778" s="87" t="s">
        <v>18</v>
      </c>
      <c r="E1778" s="116">
        <v>25</v>
      </c>
      <c r="F1778" s="87" t="s">
        <v>768</v>
      </c>
      <c r="G1778" s="87" t="s">
        <v>967</v>
      </c>
      <c r="H1778" s="87" t="s">
        <v>768</v>
      </c>
      <c r="I1778" s="87">
        <v>35</v>
      </c>
    </row>
    <row r="1779" spans="1:9" ht="15" customHeight="1" x14ac:dyDescent="0.25">
      <c r="A1779" s="87" t="s">
        <v>33</v>
      </c>
      <c r="B1779" s="87" t="s">
        <v>325</v>
      </c>
      <c r="C1779" s="87">
        <v>1976</v>
      </c>
      <c r="D1779" s="87" t="s">
        <v>18</v>
      </c>
      <c r="E1779" s="116">
        <v>30</v>
      </c>
      <c r="F1779" s="87" t="s">
        <v>768</v>
      </c>
      <c r="G1779" s="87" t="s">
        <v>967</v>
      </c>
      <c r="H1779" s="87" t="s">
        <v>768</v>
      </c>
      <c r="I1779" s="87">
        <v>35</v>
      </c>
    </row>
    <row r="1780" spans="1:9" ht="15" customHeight="1" x14ac:dyDescent="0.25">
      <c r="A1780" s="87" t="s">
        <v>33</v>
      </c>
      <c r="B1780" s="87" t="s">
        <v>325</v>
      </c>
      <c r="C1780" s="87">
        <v>1977</v>
      </c>
      <c r="D1780" s="87" t="s">
        <v>18</v>
      </c>
      <c r="E1780" s="116">
        <v>70</v>
      </c>
      <c r="F1780" s="87" t="s">
        <v>768</v>
      </c>
      <c r="G1780" s="87" t="s">
        <v>967</v>
      </c>
      <c r="H1780" s="87" t="s">
        <v>768</v>
      </c>
      <c r="I1780" s="87">
        <v>35</v>
      </c>
    </row>
    <row r="1781" spans="1:9" ht="15" customHeight="1" x14ac:dyDescent="0.25">
      <c r="A1781" s="87" t="s">
        <v>33</v>
      </c>
      <c r="B1781" s="87" t="s">
        <v>325</v>
      </c>
      <c r="C1781" s="87">
        <v>1978</v>
      </c>
      <c r="D1781" s="87" t="s">
        <v>18</v>
      </c>
      <c r="E1781" s="116">
        <v>150</v>
      </c>
      <c r="F1781" s="87" t="s">
        <v>768</v>
      </c>
      <c r="G1781" s="87" t="s">
        <v>967</v>
      </c>
      <c r="H1781" s="87" t="s">
        <v>768</v>
      </c>
      <c r="I1781" s="87">
        <v>35</v>
      </c>
    </row>
    <row r="1782" spans="1:9" ht="15" customHeight="1" x14ac:dyDescent="0.25">
      <c r="A1782" s="87" t="s">
        <v>33</v>
      </c>
      <c r="B1782" s="87" t="s">
        <v>325</v>
      </c>
      <c r="C1782" s="87">
        <v>1979</v>
      </c>
      <c r="D1782" s="87" t="s">
        <v>18</v>
      </c>
      <c r="E1782" s="116">
        <v>20</v>
      </c>
      <c r="F1782" s="87" t="s">
        <v>768</v>
      </c>
      <c r="G1782" s="87" t="s">
        <v>967</v>
      </c>
      <c r="H1782" s="87" t="s">
        <v>768</v>
      </c>
      <c r="I1782" s="87">
        <v>35</v>
      </c>
    </row>
    <row r="1783" spans="1:9" ht="15" customHeight="1" x14ac:dyDescent="0.25">
      <c r="A1783" s="87" t="s">
        <v>33</v>
      </c>
      <c r="B1783" s="87" t="s">
        <v>325</v>
      </c>
      <c r="C1783" s="87">
        <v>1980</v>
      </c>
      <c r="D1783" s="87" t="s">
        <v>18</v>
      </c>
      <c r="E1783" s="116">
        <v>75</v>
      </c>
      <c r="F1783" s="87" t="s">
        <v>768</v>
      </c>
      <c r="G1783" s="87" t="s">
        <v>967</v>
      </c>
      <c r="H1783" s="87" t="s">
        <v>768</v>
      </c>
      <c r="I1783" s="87">
        <v>35</v>
      </c>
    </row>
    <row r="1784" spans="1:9" ht="15" customHeight="1" x14ac:dyDescent="0.25">
      <c r="A1784" s="87" t="s">
        <v>33</v>
      </c>
      <c r="B1784" s="87" t="s">
        <v>325</v>
      </c>
      <c r="C1784" s="87">
        <v>1981</v>
      </c>
      <c r="D1784" s="87" t="s">
        <v>18</v>
      </c>
      <c r="E1784" s="116">
        <v>30</v>
      </c>
      <c r="F1784" s="87" t="s">
        <v>768</v>
      </c>
      <c r="G1784" s="87" t="s">
        <v>967</v>
      </c>
      <c r="H1784" s="87" t="s">
        <v>768</v>
      </c>
      <c r="I1784" s="87">
        <v>35</v>
      </c>
    </row>
    <row r="1785" spans="1:9" ht="15" customHeight="1" x14ac:dyDescent="0.25">
      <c r="A1785" s="87" t="s">
        <v>33</v>
      </c>
      <c r="B1785" s="87" t="s">
        <v>325</v>
      </c>
      <c r="C1785" s="87">
        <v>1982</v>
      </c>
      <c r="D1785" s="87" t="s">
        <v>18</v>
      </c>
      <c r="E1785" s="116">
        <v>50</v>
      </c>
      <c r="F1785" s="87" t="s">
        <v>768</v>
      </c>
      <c r="G1785" s="87" t="s">
        <v>967</v>
      </c>
      <c r="H1785" s="87" t="s">
        <v>768</v>
      </c>
      <c r="I1785" s="87">
        <v>35</v>
      </c>
    </row>
    <row r="1786" spans="1:9" ht="15" customHeight="1" x14ac:dyDescent="0.25">
      <c r="A1786" s="87" t="s">
        <v>33</v>
      </c>
      <c r="B1786" s="87" t="s">
        <v>325</v>
      </c>
      <c r="C1786" s="87">
        <v>1983</v>
      </c>
      <c r="D1786" s="87" t="s">
        <v>18</v>
      </c>
      <c r="E1786" s="116">
        <v>24</v>
      </c>
      <c r="F1786" s="87" t="s">
        <v>768</v>
      </c>
      <c r="G1786" s="87" t="s">
        <v>967</v>
      </c>
      <c r="H1786" s="87" t="s">
        <v>768</v>
      </c>
      <c r="I1786" s="87">
        <v>35</v>
      </c>
    </row>
    <row r="1787" spans="1:9" ht="15" customHeight="1" x14ac:dyDescent="0.25">
      <c r="A1787" s="87" t="s">
        <v>33</v>
      </c>
      <c r="B1787" s="87" t="s">
        <v>325</v>
      </c>
      <c r="C1787" s="87">
        <v>1984</v>
      </c>
      <c r="D1787" s="87" t="s">
        <v>18</v>
      </c>
      <c r="E1787" s="116">
        <v>157</v>
      </c>
      <c r="F1787" s="87" t="s">
        <v>768</v>
      </c>
      <c r="G1787" s="87" t="s">
        <v>967</v>
      </c>
      <c r="H1787" s="87" t="s">
        <v>768</v>
      </c>
      <c r="I1787" s="87">
        <v>35</v>
      </c>
    </row>
    <row r="1788" spans="1:9" ht="15" customHeight="1" x14ac:dyDescent="0.25">
      <c r="A1788" s="87" t="s">
        <v>33</v>
      </c>
      <c r="B1788" s="87" t="s">
        <v>325</v>
      </c>
      <c r="C1788" s="87">
        <v>1985</v>
      </c>
      <c r="D1788" s="87" t="s">
        <v>18</v>
      </c>
      <c r="E1788" s="116">
        <v>114</v>
      </c>
      <c r="F1788" s="87" t="s">
        <v>768</v>
      </c>
      <c r="G1788" s="87" t="s">
        <v>967</v>
      </c>
      <c r="H1788" s="87" t="s">
        <v>768</v>
      </c>
      <c r="I1788" s="87">
        <v>35</v>
      </c>
    </row>
    <row r="1789" spans="1:9" ht="15" customHeight="1" x14ac:dyDescent="0.25">
      <c r="A1789" s="87" t="s">
        <v>33</v>
      </c>
      <c r="B1789" s="87" t="s">
        <v>325</v>
      </c>
      <c r="C1789" s="87">
        <v>1986</v>
      </c>
      <c r="D1789" s="87" t="s">
        <v>18</v>
      </c>
      <c r="E1789" s="116">
        <v>105</v>
      </c>
      <c r="F1789" s="87" t="s">
        <v>768</v>
      </c>
      <c r="G1789" s="87" t="s">
        <v>967</v>
      </c>
      <c r="H1789" s="87" t="s">
        <v>768</v>
      </c>
      <c r="I1789" s="87">
        <v>35</v>
      </c>
    </row>
    <row r="1790" spans="1:9" ht="15" customHeight="1" x14ac:dyDescent="0.25">
      <c r="A1790" s="87" t="s">
        <v>33</v>
      </c>
      <c r="B1790" s="87" t="s">
        <v>325</v>
      </c>
      <c r="C1790" s="87">
        <v>1987</v>
      </c>
      <c r="D1790" s="87" t="s">
        <v>18</v>
      </c>
      <c r="E1790" s="116">
        <v>65</v>
      </c>
      <c r="F1790" s="87" t="s">
        <v>768</v>
      </c>
      <c r="G1790" s="87" t="s">
        <v>967</v>
      </c>
      <c r="H1790" s="87" t="s">
        <v>768</v>
      </c>
      <c r="I1790" s="87">
        <v>35</v>
      </c>
    </row>
    <row r="1791" spans="1:9" ht="15" customHeight="1" x14ac:dyDescent="0.25">
      <c r="A1791" s="87" t="s">
        <v>33</v>
      </c>
      <c r="B1791" s="87" t="s">
        <v>325</v>
      </c>
      <c r="C1791" s="87">
        <v>1988</v>
      </c>
      <c r="D1791" s="87" t="s">
        <v>18</v>
      </c>
      <c r="E1791" s="116">
        <v>75</v>
      </c>
      <c r="F1791" s="87" t="s">
        <v>768</v>
      </c>
      <c r="G1791" s="87" t="s">
        <v>967</v>
      </c>
      <c r="H1791" s="87" t="s">
        <v>768</v>
      </c>
      <c r="I1791" s="87">
        <v>35</v>
      </c>
    </row>
    <row r="1792" spans="1:9" ht="15" customHeight="1" x14ac:dyDescent="0.25">
      <c r="A1792" s="87" t="s">
        <v>33</v>
      </c>
      <c r="B1792" s="87" t="s">
        <v>325</v>
      </c>
      <c r="C1792" s="87">
        <v>1989</v>
      </c>
      <c r="D1792" s="87" t="s">
        <v>18</v>
      </c>
      <c r="E1792" s="116">
        <v>115</v>
      </c>
      <c r="F1792" s="87" t="s">
        <v>768</v>
      </c>
      <c r="G1792" s="87" t="s">
        <v>967</v>
      </c>
      <c r="H1792" s="87" t="s">
        <v>768</v>
      </c>
      <c r="I1792" s="87">
        <v>35</v>
      </c>
    </row>
    <row r="1793" spans="1:9" ht="15" customHeight="1" x14ac:dyDescent="0.25">
      <c r="A1793" s="87" t="s">
        <v>33</v>
      </c>
      <c r="B1793" s="87" t="s">
        <v>325</v>
      </c>
      <c r="C1793" s="87">
        <v>1990</v>
      </c>
      <c r="D1793" s="87" t="s">
        <v>18</v>
      </c>
      <c r="E1793" s="116">
        <v>60</v>
      </c>
      <c r="F1793" s="87" t="s">
        <v>768</v>
      </c>
      <c r="G1793" s="87" t="s">
        <v>967</v>
      </c>
      <c r="H1793" s="87" t="s">
        <v>768</v>
      </c>
      <c r="I1793" s="87">
        <v>35</v>
      </c>
    </row>
    <row r="1794" spans="1:9" ht="15" customHeight="1" x14ac:dyDescent="0.25">
      <c r="A1794" s="87" t="s">
        <v>33</v>
      </c>
      <c r="B1794" s="87" t="s">
        <v>325</v>
      </c>
      <c r="C1794" s="87">
        <v>1991</v>
      </c>
      <c r="D1794" s="87" t="s">
        <v>18</v>
      </c>
      <c r="E1794" s="116">
        <v>35</v>
      </c>
      <c r="F1794" s="87" t="s">
        <v>768</v>
      </c>
      <c r="G1794" s="87" t="s">
        <v>967</v>
      </c>
      <c r="H1794" s="87" t="s">
        <v>768</v>
      </c>
      <c r="I1794" s="87">
        <v>35</v>
      </c>
    </row>
    <row r="1795" spans="1:9" ht="15" customHeight="1" x14ac:dyDescent="0.25">
      <c r="A1795" s="87" t="s">
        <v>33</v>
      </c>
      <c r="B1795" s="87" t="s">
        <v>325</v>
      </c>
      <c r="C1795" s="87">
        <v>1992</v>
      </c>
      <c r="D1795" s="87" t="s">
        <v>18</v>
      </c>
      <c r="E1795" s="116">
        <v>-1</v>
      </c>
      <c r="F1795" s="87" t="s">
        <v>768</v>
      </c>
      <c r="G1795" s="87" t="s">
        <v>967</v>
      </c>
      <c r="H1795" s="87" t="s">
        <v>768</v>
      </c>
      <c r="I1795" s="87">
        <v>35</v>
      </c>
    </row>
    <row r="1796" spans="1:9" ht="15" customHeight="1" x14ac:dyDescent="0.25">
      <c r="A1796" s="87" t="s">
        <v>33</v>
      </c>
      <c r="B1796" s="87" t="s">
        <v>325</v>
      </c>
      <c r="C1796" s="87">
        <v>1993</v>
      </c>
      <c r="D1796" s="87" t="s">
        <v>18</v>
      </c>
      <c r="E1796" s="116">
        <v>150</v>
      </c>
      <c r="F1796" s="87" t="s">
        <v>768</v>
      </c>
      <c r="G1796" s="87" t="s">
        <v>967</v>
      </c>
      <c r="H1796" s="87" t="s">
        <v>768</v>
      </c>
      <c r="I1796" s="87">
        <v>35</v>
      </c>
    </row>
    <row r="1797" spans="1:9" ht="15" customHeight="1" x14ac:dyDescent="0.25">
      <c r="A1797" s="87" t="s">
        <v>33</v>
      </c>
      <c r="B1797" s="87" t="s">
        <v>325</v>
      </c>
      <c r="C1797" s="87">
        <v>1994</v>
      </c>
      <c r="D1797" s="87" t="s">
        <v>18</v>
      </c>
      <c r="E1797" s="116">
        <v>69</v>
      </c>
      <c r="F1797" s="87" t="s">
        <v>768</v>
      </c>
      <c r="G1797" s="87" t="s">
        <v>967</v>
      </c>
      <c r="H1797" s="87" t="s">
        <v>768</v>
      </c>
      <c r="I1797" s="87">
        <v>35</v>
      </c>
    </row>
    <row r="1798" spans="1:9" ht="15" customHeight="1" x14ac:dyDescent="0.25">
      <c r="A1798" s="87" t="s">
        <v>33</v>
      </c>
      <c r="B1798" s="87" t="s">
        <v>325</v>
      </c>
      <c r="C1798" s="87">
        <v>1995</v>
      </c>
      <c r="D1798" s="87" t="s">
        <v>18</v>
      </c>
      <c r="E1798" s="116">
        <v>-1</v>
      </c>
      <c r="F1798" s="87" t="s">
        <v>768</v>
      </c>
      <c r="G1798" s="87" t="s">
        <v>967</v>
      </c>
      <c r="H1798" s="87" t="s">
        <v>768</v>
      </c>
      <c r="I1798" s="87">
        <v>35</v>
      </c>
    </row>
    <row r="1799" spans="1:9" ht="15" customHeight="1" x14ac:dyDescent="0.25">
      <c r="A1799" s="87" t="s">
        <v>33</v>
      </c>
      <c r="B1799" s="87" t="s">
        <v>325</v>
      </c>
      <c r="C1799" s="87">
        <v>1996</v>
      </c>
      <c r="D1799" s="87" t="s">
        <v>18</v>
      </c>
      <c r="E1799" s="116">
        <v>-1</v>
      </c>
      <c r="F1799" s="87" t="s">
        <v>768</v>
      </c>
      <c r="G1799" s="87" t="s">
        <v>967</v>
      </c>
      <c r="H1799" s="87" t="s">
        <v>768</v>
      </c>
      <c r="I1799" s="87">
        <v>35</v>
      </c>
    </row>
    <row r="1800" spans="1:9" ht="15" customHeight="1" x14ac:dyDescent="0.25">
      <c r="A1800" s="87" t="s">
        <v>33</v>
      </c>
      <c r="B1800" s="87" t="s">
        <v>325</v>
      </c>
      <c r="C1800" s="87">
        <v>1997</v>
      </c>
      <c r="D1800" s="87" t="s">
        <v>18</v>
      </c>
      <c r="E1800" s="116">
        <v>-1</v>
      </c>
      <c r="F1800" s="87" t="s">
        <v>768</v>
      </c>
      <c r="G1800" s="87" t="s">
        <v>967</v>
      </c>
      <c r="H1800" s="87" t="s">
        <v>768</v>
      </c>
      <c r="I1800" s="87">
        <v>35</v>
      </c>
    </row>
    <row r="1801" spans="1:9" ht="15" customHeight="1" x14ac:dyDescent="0.25">
      <c r="A1801" s="87" t="s">
        <v>33</v>
      </c>
      <c r="B1801" s="87" t="s">
        <v>325</v>
      </c>
      <c r="C1801" s="87">
        <v>1998</v>
      </c>
      <c r="D1801" s="87" t="s">
        <v>18</v>
      </c>
      <c r="E1801" s="116">
        <v>-1</v>
      </c>
      <c r="F1801" s="87" t="s">
        <v>967</v>
      </c>
      <c r="G1801" s="87" t="s">
        <v>967</v>
      </c>
      <c r="H1801" s="87" t="s">
        <v>967</v>
      </c>
      <c r="I1801" s="87">
        <v>35</v>
      </c>
    </row>
    <row r="1802" spans="1:9" ht="15" customHeight="1" x14ac:dyDescent="0.25">
      <c r="A1802" s="87" t="s">
        <v>33</v>
      </c>
      <c r="B1802" s="87" t="s">
        <v>325</v>
      </c>
      <c r="C1802" s="87">
        <v>1999</v>
      </c>
      <c r="D1802" s="87" t="s">
        <v>18</v>
      </c>
      <c r="E1802" s="116">
        <v>-1</v>
      </c>
      <c r="F1802" s="87" t="s">
        <v>967</v>
      </c>
      <c r="G1802" s="87" t="s">
        <v>967</v>
      </c>
      <c r="H1802" s="87" t="s">
        <v>967</v>
      </c>
      <c r="I1802" s="87">
        <v>35</v>
      </c>
    </row>
    <row r="1803" spans="1:9" ht="15" customHeight="1" x14ac:dyDescent="0.25">
      <c r="A1803" s="87" t="s">
        <v>33</v>
      </c>
      <c r="B1803" s="87" t="s">
        <v>325</v>
      </c>
      <c r="C1803" s="87">
        <v>2000</v>
      </c>
      <c r="D1803" s="87" t="s">
        <v>18</v>
      </c>
      <c r="E1803" s="116">
        <v>46</v>
      </c>
      <c r="F1803" s="87" t="s">
        <v>967</v>
      </c>
      <c r="G1803" s="87" t="s">
        <v>967</v>
      </c>
      <c r="H1803" s="87" t="s">
        <v>967</v>
      </c>
      <c r="I1803" s="87">
        <v>35</v>
      </c>
    </row>
    <row r="1804" spans="1:9" ht="15" customHeight="1" x14ac:dyDescent="0.25">
      <c r="A1804" s="87" t="s">
        <v>33</v>
      </c>
      <c r="B1804" s="87" t="s">
        <v>325</v>
      </c>
      <c r="C1804" s="87">
        <v>2001</v>
      </c>
      <c r="D1804" s="87" t="s">
        <v>18</v>
      </c>
      <c r="E1804" s="116">
        <v>9</v>
      </c>
      <c r="F1804" s="87" t="s">
        <v>326</v>
      </c>
      <c r="G1804" s="87" t="s">
        <v>272</v>
      </c>
      <c r="H1804" s="87" t="s">
        <v>967</v>
      </c>
      <c r="I1804" s="87">
        <v>35</v>
      </c>
    </row>
    <row r="1805" spans="1:9" ht="15" customHeight="1" x14ac:dyDescent="0.25">
      <c r="A1805" s="87" t="s">
        <v>33</v>
      </c>
      <c r="B1805" s="87" t="s">
        <v>325</v>
      </c>
      <c r="C1805" s="87">
        <v>2002</v>
      </c>
      <c r="D1805" s="87" t="s">
        <v>18</v>
      </c>
      <c r="E1805" s="116">
        <v>6</v>
      </c>
      <c r="F1805" s="87" t="s">
        <v>967</v>
      </c>
      <c r="G1805" s="87" t="s">
        <v>272</v>
      </c>
      <c r="H1805" s="87" t="s">
        <v>967</v>
      </c>
      <c r="I1805" s="87">
        <v>35</v>
      </c>
    </row>
    <row r="1806" spans="1:9" ht="15" customHeight="1" x14ac:dyDescent="0.25">
      <c r="A1806" s="87" t="s">
        <v>33</v>
      </c>
      <c r="B1806" s="87" t="s">
        <v>325</v>
      </c>
      <c r="C1806" s="87">
        <v>2003</v>
      </c>
      <c r="D1806" s="87" t="s">
        <v>18</v>
      </c>
      <c r="E1806" s="116">
        <v>5</v>
      </c>
      <c r="F1806" s="87" t="s">
        <v>967</v>
      </c>
      <c r="G1806" s="87" t="s">
        <v>272</v>
      </c>
      <c r="H1806" s="87" t="s">
        <v>967</v>
      </c>
      <c r="I1806" s="87">
        <v>35</v>
      </c>
    </row>
    <row r="1807" spans="1:9" ht="15" customHeight="1" x14ac:dyDescent="0.25">
      <c r="A1807" s="87" t="s">
        <v>33</v>
      </c>
      <c r="B1807" s="87" t="s">
        <v>325</v>
      </c>
      <c r="C1807" s="87">
        <v>2004</v>
      </c>
      <c r="D1807" s="87" t="s">
        <v>18</v>
      </c>
      <c r="E1807" s="116">
        <v>-1</v>
      </c>
      <c r="F1807" s="87" t="s">
        <v>967</v>
      </c>
      <c r="G1807" s="87" t="s">
        <v>967</v>
      </c>
      <c r="H1807" s="87" t="s">
        <v>967</v>
      </c>
      <c r="I1807" s="87">
        <v>35</v>
      </c>
    </row>
    <row r="1808" spans="1:9" ht="15" customHeight="1" x14ac:dyDescent="0.25">
      <c r="A1808" s="87" t="s">
        <v>33</v>
      </c>
      <c r="B1808" s="87" t="s">
        <v>325</v>
      </c>
      <c r="C1808" s="87">
        <v>2005</v>
      </c>
      <c r="D1808" s="87" t="s">
        <v>18</v>
      </c>
      <c r="E1808" s="116">
        <v>0.01</v>
      </c>
      <c r="F1808" s="87" t="s">
        <v>967</v>
      </c>
      <c r="G1808" s="87" t="s">
        <v>272</v>
      </c>
      <c r="H1808" s="87" t="s">
        <v>967</v>
      </c>
      <c r="I1808" s="87">
        <v>35</v>
      </c>
    </row>
    <row r="1809" spans="1:9" ht="15" customHeight="1" x14ac:dyDescent="0.25">
      <c r="A1809" s="87" t="s">
        <v>33</v>
      </c>
      <c r="B1809" s="87" t="s">
        <v>325</v>
      </c>
      <c r="C1809" s="87">
        <v>2006</v>
      </c>
      <c r="D1809" s="87" t="s">
        <v>18</v>
      </c>
      <c r="E1809" s="116">
        <v>0.01</v>
      </c>
      <c r="F1809" s="87" t="s">
        <v>967</v>
      </c>
      <c r="G1809" s="87" t="s">
        <v>967</v>
      </c>
      <c r="H1809" s="87" t="s">
        <v>967</v>
      </c>
      <c r="I1809" s="87">
        <v>35</v>
      </c>
    </row>
    <row r="1810" spans="1:9" ht="15" customHeight="1" x14ac:dyDescent="0.25">
      <c r="A1810" s="87" t="s">
        <v>33</v>
      </c>
      <c r="B1810" s="87" t="s">
        <v>325</v>
      </c>
      <c r="C1810" s="87">
        <v>2007</v>
      </c>
      <c r="D1810" s="87" t="s">
        <v>18</v>
      </c>
      <c r="E1810" s="116">
        <v>0.01</v>
      </c>
      <c r="F1810" s="87" t="s">
        <v>967</v>
      </c>
      <c r="G1810" s="87" t="s">
        <v>967</v>
      </c>
      <c r="H1810" s="87" t="s">
        <v>967</v>
      </c>
      <c r="I1810" s="87">
        <v>35</v>
      </c>
    </row>
    <row r="1811" spans="1:9" ht="15" customHeight="1" x14ac:dyDescent="0.25">
      <c r="A1811" s="87" t="s">
        <v>33</v>
      </c>
      <c r="B1811" s="87" t="s">
        <v>325</v>
      </c>
      <c r="C1811" s="87">
        <v>2008</v>
      </c>
      <c r="D1811" s="87" t="s">
        <v>18</v>
      </c>
      <c r="E1811" s="116">
        <v>0.01</v>
      </c>
      <c r="F1811" s="87" t="s">
        <v>967</v>
      </c>
      <c r="G1811" s="87" t="s">
        <v>967</v>
      </c>
      <c r="H1811" s="87" t="s">
        <v>967</v>
      </c>
      <c r="I1811" s="87">
        <v>35</v>
      </c>
    </row>
    <row r="1812" spans="1:9" ht="15" customHeight="1" x14ac:dyDescent="0.25">
      <c r="A1812" s="87" t="s">
        <v>33</v>
      </c>
      <c r="B1812" s="87" t="s">
        <v>325</v>
      </c>
      <c r="C1812" s="87">
        <v>2009</v>
      </c>
      <c r="D1812" s="87" t="s">
        <v>18</v>
      </c>
      <c r="E1812" s="116">
        <v>0.01</v>
      </c>
      <c r="F1812" s="87" t="s">
        <v>967</v>
      </c>
      <c r="G1812" s="87" t="s">
        <v>967</v>
      </c>
      <c r="H1812" s="87" t="s">
        <v>967</v>
      </c>
      <c r="I1812" s="87">
        <v>35</v>
      </c>
    </row>
    <row r="1813" spans="1:9" ht="15" customHeight="1" x14ac:dyDescent="0.25">
      <c r="A1813" s="87" t="s">
        <v>33</v>
      </c>
      <c r="B1813" s="87" t="s">
        <v>325</v>
      </c>
      <c r="C1813" s="87">
        <v>2010</v>
      </c>
      <c r="D1813" s="87" t="s">
        <v>18</v>
      </c>
      <c r="E1813" s="116">
        <v>0</v>
      </c>
      <c r="F1813" s="87" t="s">
        <v>967</v>
      </c>
      <c r="G1813" s="87" t="s">
        <v>967</v>
      </c>
      <c r="H1813" s="87" t="s">
        <v>967</v>
      </c>
      <c r="I1813" s="87">
        <v>35</v>
      </c>
    </row>
    <row r="1814" spans="1:9" ht="15" customHeight="1" x14ac:dyDescent="0.25">
      <c r="A1814" s="87" t="s">
        <v>33</v>
      </c>
      <c r="B1814" s="87" t="s">
        <v>325</v>
      </c>
      <c r="C1814" s="87">
        <v>2011</v>
      </c>
      <c r="D1814" s="87" t="s">
        <v>18</v>
      </c>
      <c r="E1814" s="116">
        <v>-1</v>
      </c>
      <c r="F1814" s="87" t="s">
        <v>967</v>
      </c>
      <c r="G1814" s="87" t="s">
        <v>967</v>
      </c>
      <c r="H1814" s="87" t="s">
        <v>967</v>
      </c>
      <c r="I1814" s="87">
        <v>35</v>
      </c>
    </row>
    <row r="1815" spans="1:9" ht="15" customHeight="1" x14ac:dyDescent="0.25">
      <c r="A1815" s="87" t="s">
        <v>33</v>
      </c>
      <c r="B1815" s="87" t="s">
        <v>325</v>
      </c>
      <c r="C1815" s="87">
        <v>2012</v>
      </c>
      <c r="D1815" s="87" t="s">
        <v>18</v>
      </c>
      <c r="E1815" s="116">
        <v>8</v>
      </c>
      <c r="F1815" s="87" t="s">
        <v>967</v>
      </c>
      <c r="G1815" s="87" t="s">
        <v>272</v>
      </c>
      <c r="H1815" s="87" t="s">
        <v>967</v>
      </c>
      <c r="I1815" s="87">
        <v>35</v>
      </c>
    </row>
    <row r="1816" spans="1:9" ht="15" customHeight="1" x14ac:dyDescent="0.25">
      <c r="A1816" s="87" t="s">
        <v>33</v>
      </c>
      <c r="B1816" s="87" t="s">
        <v>325</v>
      </c>
      <c r="C1816" s="87">
        <v>2013</v>
      </c>
      <c r="D1816" s="87" t="s">
        <v>18</v>
      </c>
      <c r="E1816" s="116">
        <v>2</v>
      </c>
      <c r="F1816" s="87" t="s">
        <v>967</v>
      </c>
      <c r="G1816" s="87" t="s">
        <v>272</v>
      </c>
      <c r="H1816" s="87" t="s">
        <v>967</v>
      </c>
      <c r="I1816" s="87">
        <v>35</v>
      </c>
    </row>
    <row r="1817" spans="1:9" ht="15" customHeight="1" x14ac:dyDescent="0.25">
      <c r="A1817" s="87" t="s">
        <v>33</v>
      </c>
      <c r="B1817" s="87" t="s">
        <v>325</v>
      </c>
      <c r="C1817" s="87">
        <v>2014</v>
      </c>
      <c r="D1817" s="87" t="s">
        <v>18</v>
      </c>
      <c r="E1817" s="116">
        <v>0.01</v>
      </c>
      <c r="F1817" s="87" t="s">
        <v>967</v>
      </c>
      <c r="G1817" s="87" t="s">
        <v>272</v>
      </c>
      <c r="H1817" s="87" t="s">
        <v>967</v>
      </c>
      <c r="I1817" s="87">
        <v>35</v>
      </c>
    </row>
    <row r="1818" spans="1:9" ht="15" customHeight="1" x14ac:dyDescent="0.25">
      <c r="A1818" s="87" t="s">
        <v>33</v>
      </c>
      <c r="B1818" s="87" t="s">
        <v>325</v>
      </c>
      <c r="C1818" s="87">
        <v>2015</v>
      </c>
      <c r="D1818" s="87" t="s">
        <v>18</v>
      </c>
      <c r="E1818" s="116">
        <v>-1</v>
      </c>
      <c r="F1818" s="87" t="s">
        <v>967</v>
      </c>
      <c r="G1818" s="87" t="s">
        <v>967</v>
      </c>
      <c r="H1818" s="87" t="s">
        <v>967</v>
      </c>
      <c r="I1818" s="87">
        <v>35</v>
      </c>
    </row>
    <row r="1819" spans="1:9" ht="15" customHeight="1" x14ac:dyDescent="0.25">
      <c r="A1819" s="87" t="s">
        <v>33</v>
      </c>
      <c r="B1819" s="87" t="s">
        <v>325</v>
      </c>
      <c r="C1819" s="87">
        <v>2016</v>
      </c>
      <c r="D1819" s="87" t="s">
        <v>18</v>
      </c>
      <c r="E1819" s="116">
        <v>-1</v>
      </c>
      <c r="F1819" s="87" t="s">
        <v>967</v>
      </c>
      <c r="G1819" s="87" t="s">
        <v>967</v>
      </c>
      <c r="H1819" s="87" t="s">
        <v>967</v>
      </c>
      <c r="I1819" s="87">
        <v>35</v>
      </c>
    </row>
    <row r="1820" spans="1:9" ht="15" customHeight="1" x14ac:dyDescent="0.25">
      <c r="A1820" s="87" t="s">
        <v>33</v>
      </c>
      <c r="B1820" s="87" t="s">
        <v>325</v>
      </c>
      <c r="C1820" s="87">
        <v>2017</v>
      </c>
      <c r="D1820" s="87" t="s">
        <v>18</v>
      </c>
      <c r="E1820" s="116">
        <v>8</v>
      </c>
      <c r="F1820" s="87" t="s">
        <v>967</v>
      </c>
      <c r="G1820" s="87" t="s">
        <v>274</v>
      </c>
      <c r="H1820" s="87" t="s">
        <v>967</v>
      </c>
      <c r="I1820" s="87">
        <v>35</v>
      </c>
    </row>
    <row r="1821" spans="1:9" ht="15" customHeight="1" x14ac:dyDescent="0.25">
      <c r="A1821" s="87" t="s">
        <v>33</v>
      </c>
      <c r="B1821" s="87" t="s">
        <v>325</v>
      </c>
      <c r="C1821" s="87">
        <v>2018</v>
      </c>
      <c r="D1821" s="87" t="s">
        <v>18</v>
      </c>
      <c r="E1821" s="116">
        <v>0</v>
      </c>
      <c r="F1821" s="87" t="s">
        <v>967</v>
      </c>
      <c r="G1821" s="87" t="s">
        <v>272</v>
      </c>
      <c r="H1821" s="87" t="s">
        <v>967</v>
      </c>
      <c r="I1821" s="87">
        <v>35</v>
      </c>
    </row>
    <row r="1822" spans="1:9" ht="15" customHeight="1" x14ac:dyDescent="0.25">
      <c r="A1822" s="87" t="s">
        <v>33</v>
      </c>
      <c r="B1822" s="87" t="s">
        <v>325</v>
      </c>
      <c r="C1822" s="87">
        <v>2019</v>
      </c>
      <c r="D1822" s="87" t="s">
        <v>18</v>
      </c>
      <c r="E1822" s="116">
        <v>18</v>
      </c>
      <c r="F1822" s="87" t="s">
        <v>967</v>
      </c>
      <c r="G1822" s="87" t="s">
        <v>272</v>
      </c>
      <c r="H1822" s="87" t="s">
        <v>967</v>
      </c>
      <c r="I1822" s="87">
        <v>35</v>
      </c>
    </row>
    <row r="1823" spans="1:9" ht="15" customHeight="1" x14ac:dyDescent="0.25">
      <c r="A1823" s="87" t="s">
        <v>33</v>
      </c>
      <c r="B1823" s="87" t="s">
        <v>325</v>
      </c>
      <c r="C1823" s="87">
        <v>2020</v>
      </c>
      <c r="D1823" s="87" t="s">
        <v>18</v>
      </c>
      <c r="E1823" s="116">
        <v>-1</v>
      </c>
      <c r="F1823" s="87" t="s">
        <v>967</v>
      </c>
      <c r="G1823" s="87" t="s">
        <v>967</v>
      </c>
      <c r="H1823" s="87" t="s">
        <v>967</v>
      </c>
      <c r="I1823" s="87">
        <v>35</v>
      </c>
    </row>
    <row r="1824" spans="1:9" ht="15" customHeight="1" x14ac:dyDescent="0.25">
      <c r="A1824" s="87" t="s">
        <v>33</v>
      </c>
      <c r="B1824" s="87" t="s">
        <v>325</v>
      </c>
      <c r="C1824" s="87">
        <v>2021</v>
      </c>
      <c r="D1824" s="87" t="s">
        <v>18</v>
      </c>
      <c r="E1824" s="116">
        <v>-1</v>
      </c>
      <c r="F1824" s="87" t="s">
        <v>967</v>
      </c>
      <c r="G1824" s="87" t="s">
        <v>967</v>
      </c>
      <c r="H1824" s="87" t="s">
        <v>967</v>
      </c>
      <c r="I1824" s="87">
        <v>35</v>
      </c>
    </row>
    <row r="1825" spans="1:9" ht="15" customHeight="1" x14ac:dyDescent="0.25">
      <c r="A1825" s="87" t="s">
        <v>33</v>
      </c>
      <c r="B1825" s="87" t="s">
        <v>325</v>
      </c>
      <c r="C1825" s="87">
        <v>2022</v>
      </c>
      <c r="D1825" s="87" t="s">
        <v>18</v>
      </c>
      <c r="E1825" s="116">
        <v>0</v>
      </c>
      <c r="F1825" s="87" t="s">
        <v>967</v>
      </c>
      <c r="G1825" s="87" t="s">
        <v>274</v>
      </c>
      <c r="H1825" s="87" t="s">
        <v>967</v>
      </c>
      <c r="I1825" s="87">
        <v>35</v>
      </c>
    </row>
    <row r="1826" spans="1:9" ht="15" customHeight="1" x14ac:dyDescent="0.25">
      <c r="A1826" s="87" t="s">
        <v>33</v>
      </c>
      <c r="B1826" s="87" t="s">
        <v>327</v>
      </c>
      <c r="C1826" s="87">
        <v>1975</v>
      </c>
      <c r="D1826" s="87" t="s">
        <v>18</v>
      </c>
      <c r="E1826" s="116">
        <v>75</v>
      </c>
      <c r="F1826" s="87" t="s">
        <v>768</v>
      </c>
      <c r="G1826" s="87" t="s">
        <v>967</v>
      </c>
      <c r="H1826" s="87" t="s">
        <v>768</v>
      </c>
      <c r="I1826" s="87">
        <v>20</v>
      </c>
    </row>
    <row r="1827" spans="1:9" ht="15" customHeight="1" x14ac:dyDescent="0.25">
      <c r="A1827" s="87" t="s">
        <v>33</v>
      </c>
      <c r="B1827" s="87" t="s">
        <v>327</v>
      </c>
      <c r="C1827" s="87">
        <v>1976</v>
      </c>
      <c r="D1827" s="87" t="s">
        <v>18</v>
      </c>
      <c r="E1827" s="116">
        <v>80</v>
      </c>
      <c r="F1827" s="87" t="s">
        <v>768</v>
      </c>
      <c r="G1827" s="87" t="s">
        <v>967</v>
      </c>
      <c r="H1827" s="87" t="s">
        <v>768</v>
      </c>
      <c r="I1827" s="87">
        <v>20</v>
      </c>
    </row>
    <row r="1828" spans="1:9" ht="15" customHeight="1" x14ac:dyDescent="0.25">
      <c r="A1828" s="87" t="s">
        <v>33</v>
      </c>
      <c r="B1828" s="87" t="s">
        <v>327</v>
      </c>
      <c r="C1828" s="87">
        <v>1977</v>
      </c>
      <c r="D1828" s="87" t="s">
        <v>18</v>
      </c>
      <c r="E1828" s="116">
        <v>140</v>
      </c>
      <c r="F1828" s="87" t="s">
        <v>768</v>
      </c>
      <c r="G1828" s="87" t="s">
        <v>967</v>
      </c>
      <c r="H1828" s="87" t="s">
        <v>768</v>
      </c>
      <c r="I1828" s="87">
        <v>20</v>
      </c>
    </row>
    <row r="1829" spans="1:9" ht="15" customHeight="1" x14ac:dyDescent="0.25">
      <c r="A1829" s="87" t="s">
        <v>33</v>
      </c>
      <c r="B1829" s="87" t="s">
        <v>327</v>
      </c>
      <c r="C1829" s="87">
        <v>1978</v>
      </c>
      <c r="D1829" s="87" t="s">
        <v>18</v>
      </c>
      <c r="E1829" s="116">
        <v>75</v>
      </c>
      <c r="F1829" s="87" t="s">
        <v>768</v>
      </c>
      <c r="G1829" s="87" t="s">
        <v>967</v>
      </c>
      <c r="H1829" s="87" t="s">
        <v>768</v>
      </c>
      <c r="I1829" s="87">
        <v>20</v>
      </c>
    </row>
    <row r="1830" spans="1:9" ht="15" customHeight="1" x14ac:dyDescent="0.25">
      <c r="A1830" s="87" t="s">
        <v>33</v>
      </c>
      <c r="B1830" s="87" t="s">
        <v>327</v>
      </c>
      <c r="C1830" s="87">
        <v>1979</v>
      </c>
      <c r="D1830" s="87" t="s">
        <v>18</v>
      </c>
      <c r="E1830" s="116">
        <v>75</v>
      </c>
      <c r="F1830" s="87" t="s">
        <v>768</v>
      </c>
      <c r="G1830" s="87" t="s">
        <v>967</v>
      </c>
      <c r="H1830" s="87" t="s">
        <v>768</v>
      </c>
      <c r="I1830" s="87">
        <v>20</v>
      </c>
    </row>
    <row r="1831" spans="1:9" ht="15" customHeight="1" x14ac:dyDescent="0.25">
      <c r="A1831" s="87" t="s">
        <v>33</v>
      </c>
      <c r="B1831" s="87" t="s">
        <v>327</v>
      </c>
      <c r="C1831" s="87">
        <v>1980</v>
      </c>
      <c r="D1831" s="87" t="s">
        <v>18</v>
      </c>
      <c r="E1831" s="116">
        <v>50</v>
      </c>
      <c r="F1831" s="87" t="s">
        <v>768</v>
      </c>
      <c r="G1831" s="87" t="s">
        <v>967</v>
      </c>
      <c r="H1831" s="87" t="s">
        <v>768</v>
      </c>
      <c r="I1831" s="87">
        <v>20</v>
      </c>
    </row>
    <row r="1832" spans="1:9" ht="15" customHeight="1" x14ac:dyDescent="0.25">
      <c r="A1832" s="87" t="s">
        <v>33</v>
      </c>
      <c r="B1832" s="87" t="s">
        <v>327</v>
      </c>
      <c r="C1832" s="87">
        <v>1981</v>
      </c>
      <c r="D1832" s="87" t="s">
        <v>18</v>
      </c>
      <c r="E1832" s="116">
        <v>25</v>
      </c>
      <c r="F1832" s="87" t="s">
        <v>768</v>
      </c>
      <c r="G1832" s="87" t="s">
        <v>967</v>
      </c>
      <c r="H1832" s="87" t="s">
        <v>768</v>
      </c>
      <c r="I1832" s="87">
        <v>20</v>
      </c>
    </row>
    <row r="1833" spans="1:9" ht="15" customHeight="1" x14ac:dyDescent="0.25">
      <c r="A1833" s="87" t="s">
        <v>33</v>
      </c>
      <c r="B1833" s="87" t="s">
        <v>327</v>
      </c>
      <c r="C1833" s="87">
        <v>1982</v>
      </c>
      <c r="D1833" s="87" t="s">
        <v>18</v>
      </c>
      <c r="E1833" s="116">
        <v>-1</v>
      </c>
      <c r="F1833" s="87" t="s">
        <v>768</v>
      </c>
      <c r="G1833" s="87" t="s">
        <v>967</v>
      </c>
      <c r="H1833" s="87" t="s">
        <v>768</v>
      </c>
      <c r="I1833" s="87">
        <v>20</v>
      </c>
    </row>
    <row r="1834" spans="1:9" ht="15" customHeight="1" x14ac:dyDescent="0.25">
      <c r="A1834" s="87" t="s">
        <v>33</v>
      </c>
      <c r="B1834" s="87" t="s">
        <v>327</v>
      </c>
      <c r="C1834" s="87">
        <v>1983</v>
      </c>
      <c r="D1834" s="87" t="s">
        <v>18</v>
      </c>
      <c r="E1834" s="116">
        <v>0</v>
      </c>
      <c r="F1834" s="87" t="s">
        <v>768</v>
      </c>
      <c r="G1834" s="87" t="s">
        <v>967</v>
      </c>
      <c r="H1834" s="87" t="s">
        <v>768</v>
      </c>
      <c r="I1834" s="87">
        <v>20</v>
      </c>
    </row>
    <row r="1835" spans="1:9" ht="15" customHeight="1" x14ac:dyDescent="0.25">
      <c r="A1835" s="87" t="s">
        <v>33</v>
      </c>
      <c r="B1835" s="87" t="s">
        <v>327</v>
      </c>
      <c r="C1835" s="87">
        <v>1984</v>
      </c>
      <c r="D1835" s="87" t="s">
        <v>18</v>
      </c>
      <c r="E1835" s="116">
        <v>0</v>
      </c>
      <c r="F1835" s="87" t="s">
        <v>768</v>
      </c>
      <c r="G1835" s="87" t="s">
        <v>967</v>
      </c>
      <c r="H1835" s="87" t="s">
        <v>768</v>
      </c>
      <c r="I1835" s="87">
        <v>20</v>
      </c>
    </row>
    <row r="1836" spans="1:9" ht="15" customHeight="1" x14ac:dyDescent="0.25">
      <c r="A1836" s="87" t="s">
        <v>33</v>
      </c>
      <c r="B1836" s="87" t="s">
        <v>327</v>
      </c>
      <c r="C1836" s="87">
        <v>1985</v>
      </c>
      <c r="D1836" s="87" t="s">
        <v>18</v>
      </c>
      <c r="E1836" s="116">
        <v>30</v>
      </c>
      <c r="F1836" s="87" t="s">
        <v>768</v>
      </c>
      <c r="G1836" s="87" t="s">
        <v>967</v>
      </c>
      <c r="H1836" s="87" t="s">
        <v>768</v>
      </c>
      <c r="I1836" s="87">
        <v>20</v>
      </c>
    </row>
    <row r="1837" spans="1:9" ht="15" customHeight="1" x14ac:dyDescent="0.25">
      <c r="A1837" s="87" t="s">
        <v>33</v>
      </c>
      <c r="B1837" s="87" t="s">
        <v>327</v>
      </c>
      <c r="C1837" s="87">
        <v>1986</v>
      </c>
      <c r="D1837" s="87" t="s">
        <v>18</v>
      </c>
      <c r="E1837" s="116">
        <v>75</v>
      </c>
      <c r="F1837" s="87" t="s">
        <v>768</v>
      </c>
      <c r="G1837" s="87" t="s">
        <v>967</v>
      </c>
      <c r="H1837" s="87" t="s">
        <v>768</v>
      </c>
      <c r="I1837" s="87">
        <v>20</v>
      </c>
    </row>
    <row r="1838" spans="1:9" ht="15" customHeight="1" x14ac:dyDescent="0.25">
      <c r="A1838" s="87" t="s">
        <v>33</v>
      </c>
      <c r="B1838" s="87" t="s">
        <v>327</v>
      </c>
      <c r="C1838" s="87">
        <v>1987</v>
      </c>
      <c r="D1838" s="87" t="s">
        <v>18</v>
      </c>
      <c r="E1838" s="116">
        <v>50</v>
      </c>
      <c r="F1838" s="87" t="s">
        <v>768</v>
      </c>
      <c r="G1838" s="87" t="s">
        <v>967</v>
      </c>
      <c r="H1838" s="87" t="s">
        <v>768</v>
      </c>
      <c r="I1838" s="87">
        <v>20</v>
      </c>
    </row>
    <row r="1839" spans="1:9" ht="15" customHeight="1" x14ac:dyDescent="0.25">
      <c r="A1839" s="87" t="s">
        <v>33</v>
      </c>
      <c r="B1839" s="87" t="s">
        <v>327</v>
      </c>
      <c r="C1839" s="87">
        <v>1988</v>
      </c>
      <c r="D1839" s="87" t="s">
        <v>18</v>
      </c>
      <c r="E1839" s="116">
        <v>50</v>
      </c>
      <c r="F1839" s="87" t="s">
        <v>768</v>
      </c>
      <c r="G1839" s="87" t="s">
        <v>967</v>
      </c>
      <c r="H1839" s="87" t="s">
        <v>768</v>
      </c>
      <c r="I1839" s="87">
        <v>20</v>
      </c>
    </row>
    <row r="1840" spans="1:9" ht="15" customHeight="1" x14ac:dyDescent="0.25">
      <c r="A1840" s="87" t="s">
        <v>33</v>
      </c>
      <c r="B1840" s="87" t="s">
        <v>327</v>
      </c>
      <c r="C1840" s="87">
        <v>1989</v>
      </c>
      <c r="D1840" s="87" t="s">
        <v>18</v>
      </c>
      <c r="E1840" s="116">
        <v>-1</v>
      </c>
      <c r="F1840" s="87" t="s">
        <v>768</v>
      </c>
      <c r="G1840" s="87" t="s">
        <v>967</v>
      </c>
      <c r="H1840" s="87" t="s">
        <v>768</v>
      </c>
      <c r="I1840" s="87">
        <v>20</v>
      </c>
    </row>
    <row r="1841" spans="1:9" ht="15" customHeight="1" x14ac:dyDescent="0.25">
      <c r="A1841" s="87" t="s">
        <v>33</v>
      </c>
      <c r="B1841" s="87" t="s">
        <v>327</v>
      </c>
      <c r="C1841" s="87">
        <v>1990</v>
      </c>
      <c r="D1841" s="87" t="s">
        <v>18</v>
      </c>
      <c r="E1841" s="116">
        <v>0</v>
      </c>
      <c r="F1841" s="87" t="s">
        <v>768</v>
      </c>
      <c r="G1841" s="87" t="s">
        <v>967</v>
      </c>
      <c r="H1841" s="87" t="s">
        <v>768</v>
      </c>
      <c r="I1841" s="87">
        <v>20</v>
      </c>
    </row>
    <row r="1842" spans="1:9" ht="15" customHeight="1" x14ac:dyDescent="0.25">
      <c r="A1842" s="87" t="s">
        <v>33</v>
      </c>
      <c r="B1842" s="87" t="s">
        <v>327</v>
      </c>
      <c r="C1842" s="87">
        <v>1991</v>
      </c>
      <c r="D1842" s="87" t="s">
        <v>18</v>
      </c>
      <c r="E1842" s="116">
        <v>-1</v>
      </c>
      <c r="F1842" s="87" t="s">
        <v>768</v>
      </c>
      <c r="G1842" s="87" t="s">
        <v>967</v>
      </c>
      <c r="H1842" s="87" t="s">
        <v>768</v>
      </c>
      <c r="I1842" s="87">
        <v>20</v>
      </c>
    </row>
    <row r="1843" spans="1:9" ht="15" customHeight="1" x14ac:dyDescent="0.25">
      <c r="A1843" s="87" t="s">
        <v>33</v>
      </c>
      <c r="B1843" s="87" t="s">
        <v>327</v>
      </c>
      <c r="C1843" s="87">
        <v>1992</v>
      </c>
      <c r="D1843" s="87" t="s">
        <v>18</v>
      </c>
      <c r="E1843" s="116">
        <v>-1</v>
      </c>
      <c r="F1843" s="87" t="s">
        <v>768</v>
      </c>
      <c r="G1843" s="87" t="s">
        <v>967</v>
      </c>
      <c r="H1843" s="87" t="s">
        <v>768</v>
      </c>
      <c r="I1843" s="87">
        <v>20</v>
      </c>
    </row>
    <row r="1844" spans="1:9" ht="15" customHeight="1" x14ac:dyDescent="0.25">
      <c r="A1844" s="87" t="s">
        <v>33</v>
      </c>
      <c r="B1844" s="87" t="s">
        <v>327</v>
      </c>
      <c r="C1844" s="87">
        <v>1993</v>
      </c>
      <c r="D1844" s="87" t="s">
        <v>18</v>
      </c>
      <c r="E1844" s="116">
        <v>-1</v>
      </c>
      <c r="F1844" s="87" t="s">
        <v>768</v>
      </c>
      <c r="G1844" s="87" t="s">
        <v>967</v>
      </c>
      <c r="H1844" s="87" t="s">
        <v>768</v>
      </c>
      <c r="I1844" s="87">
        <v>20</v>
      </c>
    </row>
    <row r="1845" spans="1:9" ht="15" customHeight="1" x14ac:dyDescent="0.25">
      <c r="A1845" s="87" t="s">
        <v>33</v>
      </c>
      <c r="B1845" s="87" t="s">
        <v>327</v>
      </c>
      <c r="C1845" s="87">
        <v>1994</v>
      </c>
      <c r="D1845" s="87" t="s">
        <v>18</v>
      </c>
      <c r="E1845" s="116">
        <v>10</v>
      </c>
      <c r="F1845" s="87" t="s">
        <v>768</v>
      </c>
      <c r="G1845" s="87" t="s">
        <v>967</v>
      </c>
      <c r="H1845" s="87" t="s">
        <v>768</v>
      </c>
      <c r="I1845" s="87">
        <v>20</v>
      </c>
    </row>
    <row r="1846" spans="1:9" ht="15" customHeight="1" x14ac:dyDescent="0.25">
      <c r="A1846" s="87" t="s">
        <v>33</v>
      </c>
      <c r="B1846" s="87" t="s">
        <v>327</v>
      </c>
      <c r="C1846" s="87">
        <v>1995</v>
      </c>
      <c r="D1846" s="87" t="s">
        <v>18</v>
      </c>
      <c r="E1846" s="116">
        <v>-1</v>
      </c>
      <c r="F1846" s="87" t="s">
        <v>768</v>
      </c>
      <c r="G1846" s="87" t="s">
        <v>967</v>
      </c>
      <c r="H1846" s="87" t="s">
        <v>768</v>
      </c>
      <c r="I1846" s="87">
        <v>20</v>
      </c>
    </row>
    <row r="1847" spans="1:9" ht="15" customHeight="1" x14ac:dyDescent="0.25">
      <c r="A1847" s="87" t="s">
        <v>33</v>
      </c>
      <c r="B1847" s="87" t="s">
        <v>327</v>
      </c>
      <c r="C1847" s="87">
        <v>1996</v>
      </c>
      <c r="D1847" s="87" t="s">
        <v>18</v>
      </c>
      <c r="E1847" s="116">
        <v>20</v>
      </c>
      <c r="F1847" s="87" t="s">
        <v>768</v>
      </c>
      <c r="G1847" s="87" t="s">
        <v>289</v>
      </c>
      <c r="H1847" s="87" t="s">
        <v>768</v>
      </c>
      <c r="I1847" s="87">
        <v>20</v>
      </c>
    </row>
    <row r="1848" spans="1:9" ht="15" customHeight="1" x14ac:dyDescent="0.25">
      <c r="A1848" s="87" t="s">
        <v>33</v>
      </c>
      <c r="B1848" s="87" t="s">
        <v>327</v>
      </c>
      <c r="C1848" s="87">
        <v>1997</v>
      </c>
      <c r="D1848" s="87" t="s">
        <v>18</v>
      </c>
      <c r="E1848" s="116">
        <v>-1</v>
      </c>
      <c r="F1848" s="87" t="s">
        <v>768</v>
      </c>
      <c r="G1848" s="87" t="s">
        <v>967</v>
      </c>
      <c r="H1848" s="87" t="s">
        <v>768</v>
      </c>
      <c r="I1848" s="87">
        <v>20</v>
      </c>
    </row>
    <row r="1849" spans="1:9" ht="15" customHeight="1" x14ac:dyDescent="0.25">
      <c r="A1849" s="87" t="s">
        <v>33</v>
      </c>
      <c r="B1849" s="87" t="s">
        <v>327</v>
      </c>
      <c r="C1849" s="87">
        <v>1998</v>
      </c>
      <c r="D1849" s="87" t="s">
        <v>18</v>
      </c>
      <c r="E1849" s="116">
        <v>15</v>
      </c>
      <c r="F1849" s="87" t="s">
        <v>967</v>
      </c>
      <c r="G1849" s="87" t="s">
        <v>289</v>
      </c>
      <c r="H1849" s="87" t="s">
        <v>813</v>
      </c>
      <c r="I1849" s="87">
        <v>20</v>
      </c>
    </row>
    <row r="1850" spans="1:9" ht="15" customHeight="1" x14ac:dyDescent="0.25">
      <c r="A1850" s="87" t="s">
        <v>33</v>
      </c>
      <c r="B1850" s="87" t="s">
        <v>327</v>
      </c>
      <c r="C1850" s="87">
        <v>1999</v>
      </c>
      <c r="D1850" s="87" t="s">
        <v>18</v>
      </c>
      <c r="E1850" s="116">
        <v>18</v>
      </c>
      <c r="F1850" s="87" t="s">
        <v>967</v>
      </c>
      <c r="G1850" s="87" t="s">
        <v>289</v>
      </c>
      <c r="H1850" s="87" t="s">
        <v>814</v>
      </c>
      <c r="I1850" s="87">
        <v>20</v>
      </c>
    </row>
    <row r="1851" spans="1:9" ht="15" customHeight="1" x14ac:dyDescent="0.25">
      <c r="A1851" s="87" t="s">
        <v>33</v>
      </c>
      <c r="B1851" s="87" t="s">
        <v>327</v>
      </c>
      <c r="C1851" s="87">
        <v>2000</v>
      </c>
      <c r="D1851" s="87" t="s">
        <v>18</v>
      </c>
      <c r="E1851" s="116">
        <v>-1</v>
      </c>
      <c r="F1851" s="87" t="s">
        <v>967</v>
      </c>
      <c r="G1851" s="87" t="s">
        <v>967</v>
      </c>
      <c r="H1851" s="87" t="s">
        <v>967</v>
      </c>
      <c r="I1851" s="87">
        <v>20</v>
      </c>
    </row>
    <row r="1852" spans="1:9" ht="15" customHeight="1" x14ac:dyDescent="0.25">
      <c r="A1852" s="87" t="s">
        <v>33</v>
      </c>
      <c r="B1852" s="87" t="s">
        <v>327</v>
      </c>
      <c r="C1852" s="87">
        <v>2001</v>
      </c>
      <c r="D1852" s="87" t="s">
        <v>18</v>
      </c>
      <c r="E1852" s="116">
        <v>-1</v>
      </c>
      <c r="F1852" s="87" t="s">
        <v>967</v>
      </c>
      <c r="G1852" s="87" t="s">
        <v>967</v>
      </c>
      <c r="H1852" s="87" t="s">
        <v>967</v>
      </c>
      <c r="I1852" s="87">
        <v>20</v>
      </c>
    </row>
    <row r="1853" spans="1:9" ht="15" customHeight="1" x14ac:dyDescent="0.25">
      <c r="A1853" s="87" t="s">
        <v>33</v>
      </c>
      <c r="B1853" s="87" t="s">
        <v>327</v>
      </c>
      <c r="C1853" s="87">
        <v>2002</v>
      </c>
      <c r="D1853" s="87" t="s">
        <v>18</v>
      </c>
      <c r="E1853" s="116">
        <v>0</v>
      </c>
      <c r="F1853" s="87" t="s">
        <v>967</v>
      </c>
      <c r="G1853" s="87" t="s">
        <v>967</v>
      </c>
      <c r="H1853" s="87" t="s">
        <v>967</v>
      </c>
      <c r="I1853" s="87">
        <v>20</v>
      </c>
    </row>
    <row r="1854" spans="1:9" ht="15" customHeight="1" x14ac:dyDescent="0.25">
      <c r="A1854" s="87" t="s">
        <v>33</v>
      </c>
      <c r="B1854" s="87" t="s">
        <v>327</v>
      </c>
      <c r="C1854" s="87">
        <v>2003</v>
      </c>
      <c r="D1854" s="87" t="s">
        <v>18</v>
      </c>
      <c r="E1854" s="116">
        <v>0.01</v>
      </c>
      <c r="F1854" s="87" t="s">
        <v>967</v>
      </c>
      <c r="G1854" s="87" t="s">
        <v>967</v>
      </c>
      <c r="H1854" s="87" t="s">
        <v>967</v>
      </c>
      <c r="I1854" s="87">
        <v>20</v>
      </c>
    </row>
    <row r="1855" spans="1:9" ht="15" customHeight="1" x14ac:dyDescent="0.25">
      <c r="A1855" s="87" t="s">
        <v>33</v>
      </c>
      <c r="B1855" s="87" t="s">
        <v>327</v>
      </c>
      <c r="C1855" s="87">
        <v>2004</v>
      </c>
      <c r="D1855" s="87" t="s">
        <v>18</v>
      </c>
      <c r="E1855" s="116">
        <v>5</v>
      </c>
      <c r="F1855" s="87" t="s">
        <v>967</v>
      </c>
      <c r="G1855" s="87" t="s">
        <v>272</v>
      </c>
      <c r="H1855" s="87" t="s">
        <v>967</v>
      </c>
      <c r="I1855" s="87">
        <v>20</v>
      </c>
    </row>
    <row r="1856" spans="1:9" ht="15" customHeight="1" x14ac:dyDescent="0.25">
      <c r="A1856" s="87" t="s">
        <v>33</v>
      </c>
      <c r="B1856" s="87" t="s">
        <v>327</v>
      </c>
      <c r="C1856" s="87">
        <v>2005</v>
      </c>
      <c r="D1856" s="87" t="s">
        <v>18</v>
      </c>
      <c r="E1856" s="116">
        <v>231</v>
      </c>
      <c r="F1856" s="87" t="s">
        <v>967</v>
      </c>
      <c r="G1856" s="87" t="s">
        <v>272</v>
      </c>
      <c r="H1856" s="87" t="s">
        <v>967</v>
      </c>
      <c r="I1856" s="87">
        <v>20</v>
      </c>
    </row>
    <row r="1857" spans="1:9" ht="15" customHeight="1" x14ac:dyDescent="0.25">
      <c r="A1857" s="87" t="s">
        <v>33</v>
      </c>
      <c r="B1857" s="87" t="s">
        <v>327</v>
      </c>
      <c r="C1857" s="87">
        <v>2006</v>
      </c>
      <c r="D1857" s="87" t="s">
        <v>18</v>
      </c>
      <c r="E1857" s="116">
        <v>0</v>
      </c>
      <c r="F1857" s="87" t="s">
        <v>967</v>
      </c>
      <c r="G1857" s="87" t="s">
        <v>272</v>
      </c>
      <c r="H1857" s="87" t="s">
        <v>815</v>
      </c>
      <c r="I1857" s="87">
        <v>20</v>
      </c>
    </row>
    <row r="1858" spans="1:9" ht="15" customHeight="1" x14ac:dyDescent="0.25">
      <c r="A1858" s="87" t="s">
        <v>33</v>
      </c>
      <c r="B1858" s="87" t="s">
        <v>327</v>
      </c>
      <c r="C1858" s="87">
        <v>2007</v>
      </c>
      <c r="D1858" s="87" t="s">
        <v>18</v>
      </c>
      <c r="E1858" s="116">
        <v>0</v>
      </c>
      <c r="F1858" s="87" t="s">
        <v>967</v>
      </c>
      <c r="G1858" s="87" t="s">
        <v>272</v>
      </c>
      <c r="H1858" s="87" t="s">
        <v>967</v>
      </c>
      <c r="I1858" s="87">
        <v>20</v>
      </c>
    </row>
    <row r="1859" spans="1:9" ht="15" customHeight="1" x14ac:dyDescent="0.25">
      <c r="A1859" s="87" t="s">
        <v>33</v>
      </c>
      <c r="B1859" s="87" t="s">
        <v>327</v>
      </c>
      <c r="C1859" s="87">
        <v>2008</v>
      </c>
      <c r="D1859" s="87" t="s">
        <v>18</v>
      </c>
      <c r="E1859" s="116">
        <v>2</v>
      </c>
      <c r="F1859" s="87" t="s">
        <v>967</v>
      </c>
      <c r="G1859" s="87" t="s">
        <v>272</v>
      </c>
      <c r="H1859" s="87" t="s">
        <v>967</v>
      </c>
      <c r="I1859" s="87">
        <v>20</v>
      </c>
    </row>
    <row r="1860" spans="1:9" ht="15" customHeight="1" x14ac:dyDescent="0.25">
      <c r="A1860" s="87" t="s">
        <v>33</v>
      </c>
      <c r="B1860" s="87" t="s">
        <v>327</v>
      </c>
      <c r="C1860" s="87">
        <v>2009</v>
      </c>
      <c r="D1860" s="87" t="s">
        <v>18</v>
      </c>
      <c r="E1860" s="116">
        <v>3</v>
      </c>
      <c r="F1860" s="87" t="s">
        <v>967</v>
      </c>
      <c r="G1860" s="87" t="s">
        <v>272</v>
      </c>
      <c r="H1860" s="87" t="s">
        <v>967</v>
      </c>
      <c r="I1860" s="87">
        <v>20</v>
      </c>
    </row>
    <row r="1861" spans="1:9" ht="15" customHeight="1" x14ac:dyDescent="0.25">
      <c r="A1861" s="87" t="s">
        <v>33</v>
      </c>
      <c r="B1861" s="87" t="s">
        <v>327</v>
      </c>
      <c r="C1861" s="87">
        <v>2010</v>
      </c>
      <c r="D1861" s="87" t="s">
        <v>18</v>
      </c>
      <c r="E1861" s="116">
        <v>7</v>
      </c>
      <c r="F1861" s="87" t="s">
        <v>967</v>
      </c>
      <c r="G1861" s="87" t="s">
        <v>272</v>
      </c>
      <c r="H1861" s="87" t="s">
        <v>967</v>
      </c>
      <c r="I1861" s="87">
        <v>20</v>
      </c>
    </row>
    <row r="1862" spans="1:9" ht="15" customHeight="1" x14ac:dyDescent="0.25">
      <c r="A1862" s="87" t="s">
        <v>33</v>
      </c>
      <c r="B1862" s="87" t="s">
        <v>327</v>
      </c>
      <c r="C1862" s="87">
        <v>2011</v>
      </c>
      <c r="D1862" s="87" t="s">
        <v>18</v>
      </c>
      <c r="E1862" s="116">
        <v>3</v>
      </c>
      <c r="F1862" s="87" t="s">
        <v>967</v>
      </c>
      <c r="G1862" s="87" t="s">
        <v>272</v>
      </c>
      <c r="H1862" s="87" t="s">
        <v>967</v>
      </c>
      <c r="I1862" s="87">
        <v>20</v>
      </c>
    </row>
    <row r="1863" spans="1:9" ht="15" customHeight="1" x14ac:dyDescent="0.25">
      <c r="A1863" s="87" t="s">
        <v>33</v>
      </c>
      <c r="B1863" s="87" t="s">
        <v>327</v>
      </c>
      <c r="C1863" s="87">
        <v>2012</v>
      </c>
      <c r="D1863" s="87" t="s">
        <v>18</v>
      </c>
      <c r="E1863" s="116">
        <v>0</v>
      </c>
      <c r="F1863" s="87" t="s">
        <v>967</v>
      </c>
      <c r="G1863" s="87" t="s">
        <v>272</v>
      </c>
      <c r="H1863" s="87" t="s">
        <v>967</v>
      </c>
      <c r="I1863" s="87">
        <v>20</v>
      </c>
    </row>
    <row r="1864" spans="1:9" ht="15" customHeight="1" x14ac:dyDescent="0.25">
      <c r="A1864" s="87" t="s">
        <v>33</v>
      </c>
      <c r="B1864" s="87" t="s">
        <v>327</v>
      </c>
      <c r="C1864" s="87">
        <v>2013</v>
      </c>
      <c r="D1864" s="87" t="s">
        <v>18</v>
      </c>
      <c r="E1864" s="116">
        <v>0</v>
      </c>
      <c r="F1864" s="87" t="s">
        <v>967</v>
      </c>
      <c r="G1864" s="87" t="s">
        <v>272</v>
      </c>
      <c r="H1864" s="87" t="s">
        <v>967</v>
      </c>
      <c r="I1864" s="87">
        <v>20</v>
      </c>
    </row>
    <row r="1865" spans="1:9" ht="15" customHeight="1" x14ac:dyDescent="0.25">
      <c r="A1865" s="87" t="s">
        <v>33</v>
      </c>
      <c r="B1865" s="87" t="s">
        <v>327</v>
      </c>
      <c r="C1865" s="87">
        <v>2014</v>
      </c>
      <c r="D1865" s="87" t="s">
        <v>18</v>
      </c>
      <c r="E1865" s="116">
        <v>15</v>
      </c>
      <c r="F1865" s="87" t="s">
        <v>967</v>
      </c>
      <c r="G1865" s="87" t="s">
        <v>272</v>
      </c>
      <c r="H1865" s="87" t="s">
        <v>967</v>
      </c>
      <c r="I1865" s="87">
        <v>20</v>
      </c>
    </row>
    <row r="1866" spans="1:9" ht="15" customHeight="1" x14ac:dyDescent="0.25">
      <c r="A1866" s="87" t="s">
        <v>33</v>
      </c>
      <c r="B1866" s="87" t="s">
        <v>327</v>
      </c>
      <c r="C1866" s="87">
        <v>2015</v>
      </c>
      <c r="D1866" s="87" t="s">
        <v>18</v>
      </c>
      <c r="E1866" s="116">
        <v>6</v>
      </c>
      <c r="F1866" s="87" t="s">
        <v>967</v>
      </c>
      <c r="G1866" s="87" t="s">
        <v>272</v>
      </c>
      <c r="H1866" s="87" t="s">
        <v>967</v>
      </c>
      <c r="I1866" s="87">
        <v>20</v>
      </c>
    </row>
    <row r="1867" spans="1:9" ht="15" customHeight="1" x14ac:dyDescent="0.25">
      <c r="A1867" s="87" t="s">
        <v>33</v>
      </c>
      <c r="B1867" s="87" t="s">
        <v>327</v>
      </c>
      <c r="C1867" s="87">
        <v>2016</v>
      </c>
      <c r="D1867" s="87" t="s">
        <v>18</v>
      </c>
      <c r="E1867" s="116">
        <v>3</v>
      </c>
      <c r="F1867" s="87" t="s">
        <v>967</v>
      </c>
      <c r="G1867" s="87" t="s">
        <v>274</v>
      </c>
      <c r="H1867" s="87" t="s">
        <v>816</v>
      </c>
      <c r="I1867" s="87">
        <v>20</v>
      </c>
    </row>
    <row r="1868" spans="1:9" ht="15" customHeight="1" x14ac:dyDescent="0.25">
      <c r="A1868" s="87" t="s">
        <v>33</v>
      </c>
      <c r="B1868" s="87" t="s">
        <v>327</v>
      </c>
      <c r="C1868" s="87">
        <v>2017</v>
      </c>
      <c r="D1868" s="87" t="s">
        <v>18</v>
      </c>
      <c r="E1868" s="116">
        <v>2</v>
      </c>
      <c r="F1868" s="87" t="s">
        <v>967</v>
      </c>
      <c r="G1868" s="87" t="s">
        <v>274</v>
      </c>
      <c r="H1868" s="87" t="s">
        <v>967</v>
      </c>
      <c r="I1868" s="87">
        <v>20</v>
      </c>
    </row>
    <row r="1869" spans="1:9" ht="15" customHeight="1" x14ac:dyDescent="0.25">
      <c r="A1869" s="87" t="s">
        <v>33</v>
      </c>
      <c r="B1869" s="87" t="s">
        <v>327</v>
      </c>
      <c r="C1869" s="87">
        <v>2018</v>
      </c>
      <c r="D1869" s="87" t="s">
        <v>18</v>
      </c>
      <c r="E1869" s="116">
        <v>2</v>
      </c>
      <c r="F1869" s="87" t="s">
        <v>967</v>
      </c>
      <c r="G1869" s="87" t="s">
        <v>272</v>
      </c>
      <c r="H1869" s="87" t="s">
        <v>967</v>
      </c>
      <c r="I1869" s="87">
        <v>20</v>
      </c>
    </row>
    <row r="1870" spans="1:9" ht="15" customHeight="1" x14ac:dyDescent="0.25">
      <c r="A1870" s="87" t="s">
        <v>33</v>
      </c>
      <c r="B1870" s="87" t="s">
        <v>327</v>
      </c>
      <c r="C1870" s="87">
        <v>2019</v>
      </c>
      <c r="D1870" s="87" t="s">
        <v>18</v>
      </c>
      <c r="E1870" s="116">
        <v>0</v>
      </c>
      <c r="F1870" s="87" t="s">
        <v>967</v>
      </c>
      <c r="G1870" s="87" t="s">
        <v>274</v>
      </c>
      <c r="H1870" s="87" t="s">
        <v>967</v>
      </c>
      <c r="I1870" s="87">
        <v>20</v>
      </c>
    </row>
    <row r="1871" spans="1:9" ht="15" customHeight="1" x14ac:dyDescent="0.25">
      <c r="A1871" s="87" t="s">
        <v>33</v>
      </c>
      <c r="B1871" s="87" t="s">
        <v>327</v>
      </c>
      <c r="C1871" s="87">
        <v>2020</v>
      </c>
      <c r="D1871" s="87" t="s">
        <v>18</v>
      </c>
      <c r="E1871" s="116">
        <v>0</v>
      </c>
      <c r="F1871" s="87" t="s">
        <v>967</v>
      </c>
      <c r="G1871" s="87" t="s">
        <v>274</v>
      </c>
      <c r="H1871" s="87" t="s">
        <v>967</v>
      </c>
      <c r="I1871" s="87">
        <v>20</v>
      </c>
    </row>
    <row r="1872" spans="1:9" ht="15" customHeight="1" x14ac:dyDescent="0.25">
      <c r="A1872" s="87" t="s">
        <v>33</v>
      </c>
      <c r="B1872" s="87" t="s">
        <v>327</v>
      </c>
      <c r="C1872" s="87">
        <v>2021</v>
      </c>
      <c r="D1872" s="87" t="s">
        <v>18</v>
      </c>
      <c r="E1872" s="116">
        <v>2</v>
      </c>
      <c r="F1872" s="87" t="s">
        <v>1062</v>
      </c>
      <c r="G1872" s="87" t="s">
        <v>272</v>
      </c>
      <c r="H1872" s="87" t="s">
        <v>967</v>
      </c>
      <c r="I1872" s="87">
        <v>20</v>
      </c>
    </row>
    <row r="1873" spans="1:9" ht="15" customHeight="1" x14ac:dyDescent="0.25">
      <c r="A1873" s="87" t="s">
        <v>33</v>
      </c>
      <c r="B1873" s="87" t="s">
        <v>327</v>
      </c>
      <c r="C1873" s="87">
        <v>2022</v>
      </c>
      <c r="D1873" s="87" t="s">
        <v>18</v>
      </c>
      <c r="E1873" s="116">
        <v>2</v>
      </c>
      <c r="F1873" s="87" t="s">
        <v>967</v>
      </c>
      <c r="G1873" s="87" t="s">
        <v>274</v>
      </c>
      <c r="H1873" s="87" t="s">
        <v>967</v>
      </c>
      <c r="I1873" s="87">
        <v>20</v>
      </c>
    </row>
    <row r="1874" spans="1:9" ht="15" customHeight="1" x14ac:dyDescent="0.25">
      <c r="A1874" s="87" t="s">
        <v>33</v>
      </c>
      <c r="B1874" s="87" t="s">
        <v>241</v>
      </c>
      <c r="C1874" s="87">
        <v>1975</v>
      </c>
      <c r="D1874" s="87" t="s">
        <v>18</v>
      </c>
      <c r="E1874" s="116">
        <v>750</v>
      </c>
      <c r="F1874" s="87" t="s">
        <v>768</v>
      </c>
      <c r="G1874" s="87" t="s">
        <v>967</v>
      </c>
      <c r="H1874" s="87" t="s">
        <v>768</v>
      </c>
      <c r="I1874" s="87">
        <v>18</v>
      </c>
    </row>
    <row r="1875" spans="1:9" ht="15" customHeight="1" x14ac:dyDescent="0.25">
      <c r="A1875" s="87" t="s">
        <v>33</v>
      </c>
      <c r="B1875" s="87" t="s">
        <v>241</v>
      </c>
      <c r="C1875" s="87">
        <v>1976</v>
      </c>
      <c r="D1875" s="87" t="s">
        <v>18</v>
      </c>
      <c r="E1875" s="116">
        <v>225</v>
      </c>
      <c r="F1875" s="87" t="s">
        <v>768</v>
      </c>
      <c r="G1875" s="87" t="s">
        <v>967</v>
      </c>
      <c r="H1875" s="87" t="s">
        <v>768</v>
      </c>
      <c r="I1875" s="87">
        <v>18</v>
      </c>
    </row>
    <row r="1876" spans="1:9" ht="15" customHeight="1" x14ac:dyDescent="0.25">
      <c r="A1876" s="87" t="s">
        <v>33</v>
      </c>
      <c r="B1876" s="87" t="s">
        <v>241</v>
      </c>
      <c r="C1876" s="87">
        <v>1977</v>
      </c>
      <c r="D1876" s="87" t="s">
        <v>18</v>
      </c>
      <c r="E1876" s="116">
        <v>225</v>
      </c>
      <c r="F1876" s="87" t="s">
        <v>768</v>
      </c>
      <c r="G1876" s="87" t="s">
        <v>967</v>
      </c>
      <c r="H1876" s="87" t="s">
        <v>768</v>
      </c>
      <c r="I1876" s="87">
        <v>18</v>
      </c>
    </row>
    <row r="1877" spans="1:9" ht="15" customHeight="1" x14ac:dyDescent="0.25">
      <c r="A1877" s="87" t="s">
        <v>33</v>
      </c>
      <c r="B1877" s="87" t="s">
        <v>241</v>
      </c>
      <c r="C1877" s="87">
        <v>1978</v>
      </c>
      <c r="D1877" s="87" t="s">
        <v>18</v>
      </c>
      <c r="E1877" s="116">
        <v>1000</v>
      </c>
      <c r="F1877" s="87" t="s">
        <v>768</v>
      </c>
      <c r="G1877" s="87" t="s">
        <v>967</v>
      </c>
      <c r="H1877" s="87" t="s">
        <v>768</v>
      </c>
      <c r="I1877" s="87">
        <v>18</v>
      </c>
    </row>
    <row r="1878" spans="1:9" ht="15" customHeight="1" x14ac:dyDescent="0.25">
      <c r="A1878" s="87" t="s">
        <v>33</v>
      </c>
      <c r="B1878" s="87" t="s">
        <v>241</v>
      </c>
      <c r="C1878" s="87">
        <v>1979</v>
      </c>
      <c r="D1878" s="87" t="s">
        <v>18</v>
      </c>
      <c r="E1878" s="116">
        <v>750</v>
      </c>
      <c r="F1878" s="87" t="s">
        <v>768</v>
      </c>
      <c r="G1878" s="87" t="s">
        <v>967</v>
      </c>
      <c r="H1878" s="87" t="s">
        <v>768</v>
      </c>
      <c r="I1878" s="87">
        <v>18</v>
      </c>
    </row>
    <row r="1879" spans="1:9" ht="15" customHeight="1" x14ac:dyDescent="0.25">
      <c r="A1879" s="87" t="s">
        <v>33</v>
      </c>
      <c r="B1879" s="87" t="s">
        <v>241</v>
      </c>
      <c r="C1879" s="87">
        <v>1980</v>
      </c>
      <c r="D1879" s="87" t="s">
        <v>18</v>
      </c>
      <c r="E1879" s="116">
        <v>1800</v>
      </c>
      <c r="F1879" s="87" t="s">
        <v>768</v>
      </c>
      <c r="G1879" s="87" t="s">
        <v>967</v>
      </c>
      <c r="H1879" s="87" t="s">
        <v>768</v>
      </c>
      <c r="I1879" s="87">
        <v>18</v>
      </c>
    </row>
    <row r="1880" spans="1:9" ht="15" customHeight="1" x14ac:dyDescent="0.25">
      <c r="A1880" s="87" t="s">
        <v>33</v>
      </c>
      <c r="B1880" s="87" t="s">
        <v>241</v>
      </c>
      <c r="C1880" s="87">
        <v>1981</v>
      </c>
      <c r="D1880" s="87" t="s">
        <v>18</v>
      </c>
      <c r="E1880" s="116">
        <v>140</v>
      </c>
      <c r="F1880" s="87" t="s">
        <v>768</v>
      </c>
      <c r="G1880" s="87" t="s">
        <v>967</v>
      </c>
      <c r="H1880" s="87" t="s">
        <v>768</v>
      </c>
      <c r="I1880" s="87">
        <v>18</v>
      </c>
    </row>
    <row r="1881" spans="1:9" ht="15" customHeight="1" x14ac:dyDescent="0.25">
      <c r="A1881" s="87" t="s">
        <v>33</v>
      </c>
      <c r="B1881" s="87" t="s">
        <v>241</v>
      </c>
      <c r="C1881" s="87">
        <v>1982</v>
      </c>
      <c r="D1881" s="87" t="s">
        <v>18</v>
      </c>
      <c r="E1881" s="116">
        <v>600</v>
      </c>
      <c r="F1881" s="87" t="s">
        <v>768</v>
      </c>
      <c r="G1881" s="87" t="s">
        <v>967</v>
      </c>
      <c r="H1881" s="87" t="s">
        <v>768</v>
      </c>
      <c r="I1881" s="87">
        <v>18</v>
      </c>
    </row>
    <row r="1882" spans="1:9" ht="15" customHeight="1" x14ac:dyDescent="0.25">
      <c r="A1882" s="87" t="s">
        <v>33</v>
      </c>
      <c r="B1882" s="87" t="s">
        <v>241</v>
      </c>
      <c r="C1882" s="87">
        <v>1983</v>
      </c>
      <c r="D1882" s="87" t="s">
        <v>18</v>
      </c>
      <c r="E1882" s="116">
        <v>475</v>
      </c>
      <c r="F1882" s="87" t="s">
        <v>768</v>
      </c>
      <c r="G1882" s="87" t="s">
        <v>967</v>
      </c>
      <c r="H1882" s="87" t="s">
        <v>768</v>
      </c>
      <c r="I1882" s="87">
        <v>18</v>
      </c>
    </row>
    <row r="1883" spans="1:9" ht="15" customHeight="1" x14ac:dyDescent="0.25">
      <c r="A1883" s="87" t="s">
        <v>33</v>
      </c>
      <c r="B1883" s="87" t="s">
        <v>241</v>
      </c>
      <c r="C1883" s="87">
        <v>1984</v>
      </c>
      <c r="D1883" s="87" t="s">
        <v>18</v>
      </c>
      <c r="E1883" s="116">
        <v>500</v>
      </c>
      <c r="F1883" s="87" t="s">
        <v>768</v>
      </c>
      <c r="G1883" s="87" t="s">
        <v>967</v>
      </c>
      <c r="H1883" s="87" t="s">
        <v>768</v>
      </c>
      <c r="I1883" s="87">
        <v>18</v>
      </c>
    </row>
    <row r="1884" spans="1:9" ht="15" customHeight="1" x14ac:dyDescent="0.25">
      <c r="A1884" s="87" t="s">
        <v>33</v>
      </c>
      <c r="B1884" s="87" t="s">
        <v>241</v>
      </c>
      <c r="C1884" s="87">
        <v>1985</v>
      </c>
      <c r="D1884" s="87" t="s">
        <v>18</v>
      </c>
      <c r="E1884" s="116">
        <v>3000</v>
      </c>
      <c r="F1884" s="87" t="s">
        <v>768</v>
      </c>
      <c r="G1884" s="87" t="s">
        <v>967</v>
      </c>
      <c r="H1884" s="87" t="s">
        <v>768</v>
      </c>
      <c r="I1884" s="87">
        <v>18</v>
      </c>
    </row>
    <row r="1885" spans="1:9" ht="15" customHeight="1" x14ac:dyDescent="0.25">
      <c r="A1885" s="87" t="s">
        <v>33</v>
      </c>
      <c r="B1885" s="87" t="s">
        <v>241</v>
      </c>
      <c r="C1885" s="87">
        <v>1986</v>
      </c>
      <c r="D1885" s="87" t="s">
        <v>18</v>
      </c>
      <c r="E1885" s="116">
        <v>3000</v>
      </c>
      <c r="F1885" s="87" t="s">
        <v>768</v>
      </c>
      <c r="G1885" s="87" t="s">
        <v>967</v>
      </c>
      <c r="H1885" s="87" t="s">
        <v>768</v>
      </c>
      <c r="I1885" s="87">
        <v>18</v>
      </c>
    </row>
    <row r="1886" spans="1:9" ht="15" customHeight="1" x14ac:dyDescent="0.25">
      <c r="A1886" s="87" t="s">
        <v>33</v>
      </c>
      <c r="B1886" s="87" t="s">
        <v>241</v>
      </c>
      <c r="C1886" s="87">
        <v>1987</v>
      </c>
      <c r="D1886" s="87" t="s">
        <v>18</v>
      </c>
      <c r="E1886" s="116">
        <v>5000</v>
      </c>
      <c r="F1886" s="87" t="s">
        <v>768</v>
      </c>
      <c r="G1886" s="87" t="s">
        <v>967</v>
      </c>
      <c r="H1886" s="87" t="s">
        <v>768</v>
      </c>
      <c r="I1886" s="87">
        <v>18</v>
      </c>
    </row>
    <row r="1887" spans="1:9" ht="15" customHeight="1" x14ac:dyDescent="0.25">
      <c r="A1887" s="87" t="s">
        <v>33</v>
      </c>
      <c r="B1887" s="87" t="s">
        <v>241</v>
      </c>
      <c r="C1887" s="87">
        <v>1988</v>
      </c>
      <c r="D1887" s="87" t="s">
        <v>18</v>
      </c>
      <c r="E1887" s="116">
        <v>3000</v>
      </c>
      <c r="F1887" s="87" t="s">
        <v>768</v>
      </c>
      <c r="G1887" s="87" t="s">
        <v>967</v>
      </c>
      <c r="H1887" s="87" t="s">
        <v>768</v>
      </c>
      <c r="I1887" s="87">
        <v>18</v>
      </c>
    </row>
    <row r="1888" spans="1:9" ht="15" customHeight="1" x14ac:dyDescent="0.25">
      <c r="A1888" s="87" t="s">
        <v>33</v>
      </c>
      <c r="B1888" s="87" t="s">
        <v>241</v>
      </c>
      <c r="C1888" s="87">
        <v>1989</v>
      </c>
      <c r="D1888" s="87" t="s">
        <v>18</v>
      </c>
      <c r="E1888" s="116">
        <v>1600</v>
      </c>
      <c r="F1888" s="87" t="s">
        <v>768</v>
      </c>
      <c r="G1888" s="87" t="s">
        <v>967</v>
      </c>
      <c r="H1888" s="87" t="s">
        <v>768</v>
      </c>
      <c r="I1888" s="87">
        <v>18</v>
      </c>
    </row>
    <row r="1889" spans="1:9" ht="15" customHeight="1" x14ac:dyDescent="0.25">
      <c r="A1889" s="87" t="s">
        <v>33</v>
      </c>
      <c r="B1889" s="87" t="s">
        <v>241</v>
      </c>
      <c r="C1889" s="87">
        <v>1990</v>
      </c>
      <c r="D1889" s="87" t="s">
        <v>18</v>
      </c>
      <c r="E1889" s="116">
        <v>6000</v>
      </c>
      <c r="F1889" s="87" t="s">
        <v>768</v>
      </c>
      <c r="G1889" s="87" t="s">
        <v>967</v>
      </c>
      <c r="H1889" s="87" t="s">
        <v>768</v>
      </c>
      <c r="I1889" s="87">
        <v>18</v>
      </c>
    </row>
    <row r="1890" spans="1:9" ht="15" customHeight="1" x14ac:dyDescent="0.25">
      <c r="A1890" s="87" t="s">
        <v>33</v>
      </c>
      <c r="B1890" s="87" t="s">
        <v>241</v>
      </c>
      <c r="C1890" s="87">
        <v>1991</v>
      </c>
      <c r="D1890" s="87" t="s">
        <v>18</v>
      </c>
      <c r="E1890" s="116">
        <v>7500</v>
      </c>
      <c r="F1890" s="87" t="s">
        <v>768</v>
      </c>
      <c r="G1890" s="87" t="s">
        <v>967</v>
      </c>
      <c r="H1890" s="87" t="s">
        <v>768</v>
      </c>
      <c r="I1890" s="87">
        <v>18</v>
      </c>
    </row>
    <row r="1891" spans="1:9" ht="15" customHeight="1" x14ac:dyDescent="0.25">
      <c r="A1891" s="87" t="s">
        <v>33</v>
      </c>
      <c r="B1891" s="87" t="s">
        <v>241</v>
      </c>
      <c r="C1891" s="87">
        <v>1992</v>
      </c>
      <c r="D1891" s="87" t="s">
        <v>18</v>
      </c>
      <c r="E1891" s="116">
        <v>15000</v>
      </c>
      <c r="F1891" s="87" t="s">
        <v>768</v>
      </c>
      <c r="G1891" s="87" t="s">
        <v>967</v>
      </c>
      <c r="H1891" s="87" t="s">
        <v>768</v>
      </c>
      <c r="I1891" s="87">
        <v>18</v>
      </c>
    </row>
    <row r="1892" spans="1:9" ht="15" customHeight="1" x14ac:dyDescent="0.25">
      <c r="A1892" s="87" t="s">
        <v>33</v>
      </c>
      <c r="B1892" s="87" t="s">
        <v>241</v>
      </c>
      <c r="C1892" s="87">
        <v>1993</v>
      </c>
      <c r="D1892" s="87" t="s">
        <v>18</v>
      </c>
      <c r="E1892" s="116">
        <v>1000</v>
      </c>
      <c r="F1892" s="87" t="s">
        <v>768</v>
      </c>
      <c r="G1892" s="87" t="s">
        <v>967</v>
      </c>
      <c r="H1892" s="87" t="s">
        <v>768</v>
      </c>
      <c r="I1892" s="87">
        <v>18</v>
      </c>
    </row>
    <row r="1893" spans="1:9" ht="15" customHeight="1" x14ac:dyDescent="0.25">
      <c r="A1893" s="87" t="s">
        <v>33</v>
      </c>
      <c r="B1893" s="87" t="s">
        <v>241</v>
      </c>
      <c r="C1893" s="87">
        <v>1994</v>
      </c>
      <c r="D1893" s="87" t="s">
        <v>18</v>
      </c>
      <c r="E1893" s="116">
        <v>2420</v>
      </c>
      <c r="F1893" s="87" t="s">
        <v>768</v>
      </c>
      <c r="G1893" s="87" t="s">
        <v>967</v>
      </c>
      <c r="H1893" s="87" t="s">
        <v>768</v>
      </c>
      <c r="I1893" s="87">
        <v>18</v>
      </c>
    </row>
    <row r="1894" spans="1:9" ht="15" customHeight="1" x14ac:dyDescent="0.25">
      <c r="A1894" s="87" t="s">
        <v>33</v>
      </c>
      <c r="B1894" s="87" t="s">
        <v>241</v>
      </c>
      <c r="C1894" s="87">
        <v>1995</v>
      </c>
      <c r="D1894" s="87" t="s">
        <v>18</v>
      </c>
      <c r="E1894" s="116">
        <v>3730</v>
      </c>
      <c r="F1894" s="87" t="s">
        <v>768</v>
      </c>
      <c r="G1894" s="87" t="s">
        <v>967</v>
      </c>
      <c r="H1894" s="87" t="s">
        <v>768</v>
      </c>
      <c r="I1894" s="87">
        <v>18</v>
      </c>
    </row>
    <row r="1895" spans="1:9" ht="15" customHeight="1" x14ac:dyDescent="0.25">
      <c r="A1895" s="87" t="s">
        <v>33</v>
      </c>
      <c r="B1895" s="87" t="s">
        <v>241</v>
      </c>
      <c r="C1895" s="87">
        <v>1996</v>
      </c>
      <c r="D1895" s="87" t="s">
        <v>18</v>
      </c>
      <c r="E1895" s="116">
        <v>7415</v>
      </c>
      <c r="F1895" s="87" t="s">
        <v>768</v>
      </c>
      <c r="G1895" s="87" t="s">
        <v>967</v>
      </c>
      <c r="H1895" s="87" t="s">
        <v>768</v>
      </c>
      <c r="I1895" s="87">
        <v>18</v>
      </c>
    </row>
    <row r="1896" spans="1:9" ht="15" customHeight="1" x14ac:dyDescent="0.25">
      <c r="A1896" s="87" t="s">
        <v>33</v>
      </c>
      <c r="B1896" s="87" t="s">
        <v>241</v>
      </c>
      <c r="C1896" s="87">
        <v>1997</v>
      </c>
      <c r="D1896" s="87" t="s">
        <v>18</v>
      </c>
      <c r="E1896" s="116">
        <v>6221</v>
      </c>
      <c r="F1896" s="87" t="s">
        <v>768</v>
      </c>
      <c r="G1896" s="87" t="s">
        <v>967</v>
      </c>
      <c r="H1896" s="87" t="s">
        <v>768</v>
      </c>
      <c r="I1896" s="87">
        <v>18</v>
      </c>
    </row>
    <row r="1897" spans="1:9" ht="15" customHeight="1" x14ac:dyDescent="0.25">
      <c r="A1897" s="87" t="s">
        <v>33</v>
      </c>
      <c r="B1897" s="87" t="s">
        <v>241</v>
      </c>
      <c r="C1897" s="87">
        <v>1998</v>
      </c>
      <c r="D1897" s="87" t="s">
        <v>18</v>
      </c>
      <c r="E1897" s="116">
        <v>4642</v>
      </c>
      <c r="F1897" s="87" t="s">
        <v>768</v>
      </c>
      <c r="G1897" s="87" t="s">
        <v>967</v>
      </c>
      <c r="H1897" s="87" t="s">
        <v>768</v>
      </c>
      <c r="I1897" s="87">
        <v>18</v>
      </c>
    </row>
    <row r="1898" spans="1:9" ht="15" customHeight="1" x14ac:dyDescent="0.25">
      <c r="A1898" s="87" t="s">
        <v>33</v>
      </c>
      <c r="B1898" s="87" t="s">
        <v>241</v>
      </c>
      <c r="C1898" s="87">
        <v>1999</v>
      </c>
      <c r="D1898" s="87" t="s">
        <v>18</v>
      </c>
      <c r="E1898" s="116">
        <v>3875</v>
      </c>
      <c r="F1898" s="87" t="s">
        <v>768</v>
      </c>
      <c r="G1898" s="87" t="s">
        <v>967</v>
      </c>
      <c r="H1898" s="87" t="s">
        <v>768</v>
      </c>
      <c r="I1898" s="87">
        <v>18</v>
      </c>
    </row>
    <row r="1899" spans="1:9" ht="15" customHeight="1" x14ac:dyDescent="0.25">
      <c r="A1899" s="87" t="s">
        <v>33</v>
      </c>
      <c r="B1899" s="87" t="s">
        <v>241</v>
      </c>
      <c r="C1899" s="87">
        <v>2000</v>
      </c>
      <c r="D1899" s="87" t="s">
        <v>18</v>
      </c>
      <c r="E1899" s="116">
        <v>1875</v>
      </c>
      <c r="F1899" s="87" t="s">
        <v>768</v>
      </c>
      <c r="G1899" s="87" t="s">
        <v>967</v>
      </c>
      <c r="H1899" s="87" t="s">
        <v>768</v>
      </c>
      <c r="I1899" s="87">
        <v>18</v>
      </c>
    </row>
    <row r="1900" spans="1:9" ht="15" customHeight="1" x14ac:dyDescent="0.25">
      <c r="A1900" s="87" t="s">
        <v>33</v>
      </c>
      <c r="B1900" s="87" t="s">
        <v>241</v>
      </c>
      <c r="C1900" s="87">
        <v>2001</v>
      </c>
      <c r="D1900" s="87" t="s">
        <v>18</v>
      </c>
      <c r="E1900" s="116">
        <v>1954</v>
      </c>
      <c r="F1900" s="87" t="s">
        <v>768</v>
      </c>
      <c r="G1900" s="87" t="s">
        <v>967</v>
      </c>
      <c r="H1900" s="87" t="s">
        <v>768</v>
      </c>
      <c r="I1900" s="87">
        <v>18</v>
      </c>
    </row>
    <row r="1901" spans="1:9" ht="15" customHeight="1" x14ac:dyDescent="0.25">
      <c r="A1901" s="87" t="s">
        <v>33</v>
      </c>
      <c r="B1901" s="87" t="s">
        <v>241</v>
      </c>
      <c r="C1901" s="87">
        <v>2002</v>
      </c>
      <c r="D1901" s="87" t="s">
        <v>18</v>
      </c>
      <c r="E1901" s="116">
        <v>4489</v>
      </c>
      <c r="F1901" s="87" t="s">
        <v>768</v>
      </c>
      <c r="G1901" s="87" t="s">
        <v>967</v>
      </c>
      <c r="H1901" s="87" t="s">
        <v>768</v>
      </c>
      <c r="I1901" s="87">
        <v>18</v>
      </c>
    </row>
    <row r="1902" spans="1:9" ht="15" customHeight="1" x14ac:dyDescent="0.25">
      <c r="A1902" s="87" t="s">
        <v>33</v>
      </c>
      <c r="B1902" s="87" t="s">
        <v>241</v>
      </c>
      <c r="C1902" s="87">
        <v>2003</v>
      </c>
      <c r="D1902" s="87" t="s">
        <v>18</v>
      </c>
      <c r="E1902" s="116">
        <v>-1</v>
      </c>
      <c r="F1902" s="87" t="s">
        <v>967</v>
      </c>
      <c r="G1902" s="87" t="s">
        <v>967</v>
      </c>
      <c r="H1902" s="87" t="s">
        <v>967</v>
      </c>
      <c r="I1902" s="87">
        <v>18</v>
      </c>
    </row>
    <row r="1903" spans="1:9" ht="15" customHeight="1" x14ac:dyDescent="0.25">
      <c r="A1903" s="87" t="s">
        <v>33</v>
      </c>
      <c r="B1903" s="87" t="s">
        <v>241</v>
      </c>
      <c r="C1903" s="87">
        <v>2004</v>
      </c>
      <c r="D1903" s="87" t="s">
        <v>18</v>
      </c>
      <c r="E1903" s="116">
        <v>0.01</v>
      </c>
      <c r="F1903" s="87" t="s">
        <v>967</v>
      </c>
      <c r="G1903" s="87" t="s">
        <v>967</v>
      </c>
      <c r="H1903" s="87" t="s">
        <v>967</v>
      </c>
      <c r="I1903" s="87">
        <v>18</v>
      </c>
    </row>
    <row r="1904" spans="1:9" ht="15" customHeight="1" x14ac:dyDescent="0.25">
      <c r="A1904" s="87" t="s">
        <v>33</v>
      </c>
      <c r="B1904" s="87" t="s">
        <v>241</v>
      </c>
      <c r="C1904" s="87">
        <v>2005</v>
      </c>
      <c r="D1904" s="87" t="s">
        <v>18</v>
      </c>
      <c r="E1904" s="116">
        <v>-1</v>
      </c>
      <c r="F1904" s="87" t="s">
        <v>967</v>
      </c>
      <c r="G1904" s="87" t="s">
        <v>967</v>
      </c>
      <c r="H1904" s="87" t="s">
        <v>967</v>
      </c>
      <c r="I1904" s="87">
        <v>18</v>
      </c>
    </row>
    <row r="1905" spans="1:9" ht="15" customHeight="1" x14ac:dyDescent="0.25">
      <c r="A1905" s="87" t="s">
        <v>33</v>
      </c>
      <c r="B1905" s="87" t="s">
        <v>241</v>
      </c>
      <c r="C1905" s="87">
        <v>2006</v>
      </c>
      <c r="D1905" s="87" t="s">
        <v>18</v>
      </c>
      <c r="E1905" s="116">
        <v>-1</v>
      </c>
      <c r="F1905" s="87" t="s">
        <v>967</v>
      </c>
      <c r="G1905" s="87" t="s">
        <v>967</v>
      </c>
      <c r="H1905" s="87" t="s">
        <v>967</v>
      </c>
      <c r="I1905" s="87">
        <v>18</v>
      </c>
    </row>
    <row r="1906" spans="1:9" ht="15" customHeight="1" x14ac:dyDescent="0.25">
      <c r="A1906" s="87" t="s">
        <v>33</v>
      </c>
      <c r="B1906" s="87" t="s">
        <v>241</v>
      </c>
      <c r="C1906" s="87">
        <v>2007</v>
      </c>
      <c r="D1906" s="87" t="s">
        <v>18</v>
      </c>
      <c r="E1906" s="116">
        <v>-1</v>
      </c>
      <c r="F1906" s="87" t="s">
        <v>967</v>
      </c>
      <c r="G1906" s="87" t="s">
        <v>967</v>
      </c>
      <c r="H1906" s="87" t="s">
        <v>967</v>
      </c>
      <c r="I1906" s="87">
        <v>18</v>
      </c>
    </row>
    <row r="1907" spans="1:9" ht="15" customHeight="1" x14ac:dyDescent="0.25">
      <c r="A1907" s="87" t="s">
        <v>33</v>
      </c>
      <c r="B1907" s="87" t="s">
        <v>241</v>
      </c>
      <c r="C1907" s="87">
        <v>2008</v>
      </c>
      <c r="D1907" s="87" t="s">
        <v>18</v>
      </c>
      <c r="E1907" s="116">
        <v>-1</v>
      </c>
      <c r="F1907" s="87" t="s">
        <v>967</v>
      </c>
      <c r="G1907" s="87" t="s">
        <v>967</v>
      </c>
      <c r="H1907" s="87" t="s">
        <v>967</v>
      </c>
      <c r="I1907" s="87">
        <v>18</v>
      </c>
    </row>
    <row r="1908" spans="1:9" ht="15" customHeight="1" x14ac:dyDescent="0.25">
      <c r="A1908" s="87" t="s">
        <v>33</v>
      </c>
      <c r="B1908" s="87" t="s">
        <v>241</v>
      </c>
      <c r="C1908" s="87">
        <v>2009</v>
      </c>
      <c r="D1908" s="87" t="s">
        <v>18</v>
      </c>
      <c r="E1908" s="116">
        <v>-1</v>
      </c>
      <c r="F1908" s="87" t="s">
        <v>967</v>
      </c>
      <c r="G1908" s="87" t="s">
        <v>967</v>
      </c>
      <c r="H1908" s="87" t="s">
        <v>967</v>
      </c>
      <c r="I1908" s="87">
        <v>18</v>
      </c>
    </row>
    <row r="1909" spans="1:9" ht="15" customHeight="1" x14ac:dyDescent="0.25">
      <c r="A1909" s="87" t="s">
        <v>33</v>
      </c>
      <c r="B1909" s="87" t="s">
        <v>241</v>
      </c>
      <c r="C1909" s="87">
        <v>2010</v>
      </c>
      <c r="D1909" s="87" t="s">
        <v>18</v>
      </c>
      <c r="E1909" s="116">
        <v>-1</v>
      </c>
      <c r="F1909" s="87" t="s">
        <v>967</v>
      </c>
      <c r="G1909" s="87" t="s">
        <v>967</v>
      </c>
      <c r="H1909" s="87" t="s">
        <v>967</v>
      </c>
      <c r="I1909" s="87">
        <v>18</v>
      </c>
    </row>
    <row r="1910" spans="1:9" ht="15" customHeight="1" x14ac:dyDescent="0.25">
      <c r="A1910" s="87" t="s">
        <v>33</v>
      </c>
      <c r="B1910" s="87" t="s">
        <v>241</v>
      </c>
      <c r="C1910" s="87">
        <v>2011</v>
      </c>
      <c r="D1910" s="87" t="s">
        <v>18</v>
      </c>
      <c r="E1910" s="116">
        <v>-1</v>
      </c>
      <c r="F1910" s="87" t="s">
        <v>967</v>
      </c>
      <c r="G1910" s="87" t="s">
        <v>967</v>
      </c>
      <c r="H1910" s="87" t="s">
        <v>967</v>
      </c>
      <c r="I1910" s="87">
        <v>18</v>
      </c>
    </row>
    <row r="1911" spans="1:9" ht="15" customHeight="1" x14ac:dyDescent="0.25">
      <c r="A1911" s="87" t="s">
        <v>33</v>
      </c>
      <c r="B1911" s="87" t="s">
        <v>241</v>
      </c>
      <c r="C1911" s="87">
        <v>2012</v>
      </c>
      <c r="D1911" s="87" t="s">
        <v>18</v>
      </c>
      <c r="E1911" s="116">
        <v>-1</v>
      </c>
      <c r="F1911" s="87" t="s">
        <v>967</v>
      </c>
      <c r="G1911" s="87" t="s">
        <v>967</v>
      </c>
      <c r="H1911" s="87" t="s">
        <v>967</v>
      </c>
      <c r="I1911" s="87">
        <v>18</v>
      </c>
    </row>
    <row r="1912" spans="1:9" ht="15" customHeight="1" x14ac:dyDescent="0.25">
      <c r="A1912" s="87" t="s">
        <v>33</v>
      </c>
      <c r="B1912" s="87" t="s">
        <v>241</v>
      </c>
      <c r="C1912" s="87">
        <v>2013</v>
      </c>
      <c r="D1912" s="87" t="s">
        <v>18</v>
      </c>
      <c r="E1912" s="116">
        <v>-1</v>
      </c>
      <c r="F1912" s="87" t="s">
        <v>967</v>
      </c>
      <c r="G1912" s="87" t="s">
        <v>967</v>
      </c>
      <c r="H1912" s="87" t="s">
        <v>967</v>
      </c>
      <c r="I1912" s="87">
        <v>18</v>
      </c>
    </row>
    <row r="1913" spans="1:9" ht="15" customHeight="1" x14ac:dyDescent="0.25">
      <c r="A1913" s="87" t="s">
        <v>33</v>
      </c>
      <c r="B1913" s="87" t="s">
        <v>241</v>
      </c>
      <c r="C1913" s="87">
        <v>2014</v>
      </c>
      <c r="D1913" s="87" t="s">
        <v>18</v>
      </c>
      <c r="E1913" s="116">
        <v>-1</v>
      </c>
      <c r="F1913" s="87" t="s">
        <v>967</v>
      </c>
      <c r="G1913" s="87" t="s">
        <v>967</v>
      </c>
      <c r="H1913" s="87" t="s">
        <v>967</v>
      </c>
      <c r="I1913" s="87">
        <v>18</v>
      </c>
    </row>
    <row r="1914" spans="1:9" ht="15" customHeight="1" x14ac:dyDescent="0.25">
      <c r="A1914" s="87" t="s">
        <v>33</v>
      </c>
      <c r="B1914" s="87" t="s">
        <v>241</v>
      </c>
      <c r="C1914" s="87">
        <v>2015</v>
      </c>
      <c r="D1914" s="87" t="s">
        <v>18</v>
      </c>
      <c r="E1914" s="116">
        <v>-1</v>
      </c>
      <c r="F1914" s="87" t="s">
        <v>967</v>
      </c>
      <c r="G1914" s="87" t="s">
        <v>967</v>
      </c>
      <c r="H1914" s="87" t="s">
        <v>967</v>
      </c>
      <c r="I1914" s="87">
        <v>18</v>
      </c>
    </row>
    <row r="1915" spans="1:9" ht="15" customHeight="1" x14ac:dyDescent="0.25">
      <c r="A1915" s="87" t="s">
        <v>33</v>
      </c>
      <c r="B1915" s="87" t="s">
        <v>241</v>
      </c>
      <c r="C1915" s="87">
        <v>2016</v>
      </c>
      <c r="D1915" s="87" t="s">
        <v>18</v>
      </c>
      <c r="E1915" s="116">
        <v>-1</v>
      </c>
      <c r="F1915" s="87" t="s">
        <v>967</v>
      </c>
      <c r="G1915" s="87" t="s">
        <v>967</v>
      </c>
      <c r="H1915" s="87" t="s">
        <v>967</v>
      </c>
      <c r="I1915" s="87">
        <v>18</v>
      </c>
    </row>
    <row r="1916" spans="1:9" ht="15" customHeight="1" x14ac:dyDescent="0.25">
      <c r="A1916" s="87" t="s">
        <v>33</v>
      </c>
      <c r="B1916" s="87" t="s">
        <v>241</v>
      </c>
      <c r="C1916" s="87">
        <v>2017</v>
      </c>
      <c r="D1916" s="87" t="s">
        <v>18</v>
      </c>
      <c r="E1916" s="116">
        <v>-1</v>
      </c>
      <c r="F1916" s="87" t="s">
        <v>967</v>
      </c>
      <c r="G1916" s="87" t="s">
        <v>967</v>
      </c>
      <c r="H1916" s="87" t="s">
        <v>967</v>
      </c>
      <c r="I1916" s="87">
        <v>18</v>
      </c>
    </row>
    <row r="1917" spans="1:9" ht="15" customHeight="1" x14ac:dyDescent="0.25">
      <c r="A1917" s="87" t="s">
        <v>33</v>
      </c>
      <c r="B1917" s="87" t="s">
        <v>241</v>
      </c>
      <c r="C1917" s="87">
        <v>2018</v>
      </c>
      <c r="D1917" s="87" t="s">
        <v>18</v>
      </c>
      <c r="E1917" s="116">
        <v>-1</v>
      </c>
      <c r="F1917" s="87" t="s">
        <v>967</v>
      </c>
      <c r="G1917" s="87" t="s">
        <v>967</v>
      </c>
      <c r="H1917" s="87" t="s">
        <v>967</v>
      </c>
      <c r="I1917" s="87">
        <v>18</v>
      </c>
    </row>
    <row r="1918" spans="1:9" ht="15" customHeight="1" x14ac:dyDescent="0.25">
      <c r="A1918" s="87" t="s">
        <v>33</v>
      </c>
      <c r="B1918" s="87" t="s">
        <v>241</v>
      </c>
      <c r="C1918" s="87">
        <v>2019</v>
      </c>
      <c r="D1918" s="87" t="s">
        <v>18</v>
      </c>
      <c r="E1918" s="116">
        <v>-1</v>
      </c>
      <c r="F1918" s="87" t="s">
        <v>967</v>
      </c>
      <c r="G1918" s="87" t="s">
        <v>967</v>
      </c>
      <c r="H1918" s="87" t="s">
        <v>967</v>
      </c>
      <c r="I1918" s="87">
        <v>18</v>
      </c>
    </row>
    <row r="1919" spans="1:9" ht="15" customHeight="1" x14ac:dyDescent="0.25">
      <c r="A1919" s="87" t="s">
        <v>33</v>
      </c>
      <c r="B1919" s="87" t="s">
        <v>241</v>
      </c>
      <c r="C1919" s="87">
        <v>2020</v>
      </c>
      <c r="D1919" s="87" t="s">
        <v>18</v>
      </c>
      <c r="E1919" s="116">
        <v>-1</v>
      </c>
      <c r="F1919" s="87" t="s">
        <v>967</v>
      </c>
      <c r="G1919" s="87" t="s">
        <v>967</v>
      </c>
      <c r="H1919" s="87" t="s">
        <v>967</v>
      </c>
      <c r="I1919" s="87">
        <v>18</v>
      </c>
    </row>
    <row r="1920" spans="1:9" ht="15" customHeight="1" x14ac:dyDescent="0.25">
      <c r="A1920" s="87" t="s">
        <v>33</v>
      </c>
      <c r="B1920" s="87" t="s">
        <v>241</v>
      </c>
      <c r="C1920" s="87">
        <v>2021</v>
      </c>
      <c r="D1920" s="87" t="s">
        <v>18</v>
      </c>
      <c r="E1920" s="116">
        <v>-1</v>
      </c>
      <c r="F1920" s="87" t="s">
        <v>967</v>
      </c>
      <c r="G1920" s="87" t="s">
        <v>967</v>
      </c>
      <c r="H1920" s="87" t="s">
        <v>967</v>
      </c>
      <c r="I1920" s="87">
        <v>18</v>
      </c>
    </row>
    <row r="1921" spans="1:9" ht="15" customHeight="1" x14ac:dyDescent="0.25">
      <c r="A1921" s="87" t="s">
        <v>33</v>
      </c>
      <c r="B1921" s="87" t="s">
        <v>241</v>
      </c>
      <c r="C1921" s="87">
        <v>2022</v>
      </c>
      <c r="D1921" s="87" t="s">
        <v>18</v>
      </c>
      <c r="E1921" s="116">
        <v>-1</v>
      </c>
      <c r="F1921" s="87" t="s">
        <v>967</v>
      </c>
      <c r="G1921" s="87" t="s">
        <v>967</v>
      </c>
      <c r="H1921" s="87" t="s">
        <v>967</v>
      </c>
      <c r="I1921" s="87">
        <v>18</v>
      </c>
    </row>
    <row r="1922" spans="1:9" ht="15" customHeight="1" x14ac:dyDescent="0.25">
      <c r="A1922" s="87" t="s">
        <v>33</v>
      </c>
      <c r="B1922" s="87" t="s">
        <v>329</v>
      </c>
      <c r="C1922" s="87">
        <v>1975</v>
      </c>
      <c r="D1922" s="87" t="s">
        <v>18</v>
      </c>
      <c r="E1922" s="116">
        <v>1E-3</v>
      </c>
      <c r="F1922" s="87" t="s">
        <v>330</v>
      </c>
      <c r="G1922" s="87" t="s">
        <v>967</v>
      </c>
      <c r="H1922" s="87" t="s">
        <v>330</v>
      </c>
      <c r="I1922" s="87">
        <v>32</v>
      </c>
    </row>
    <row r="1923" spans="1:9" ht="15" customHeight="1" x14ac:dyDescent="0.25">
      <c r="A1923" s="87" t="s">
        <v>33</v>
      </c>
      <c r="B1923" s="87" t="s">
        <v>329</v>
      </c>
      <c r="C1923" s="87">
        <v>1976</v>
      </c>
      <c r="D1923" s="87" t="s">
        <v>18</v>
      </c>
      <c r="E1923" s="116">
        <v>1E-3</v>
      </c>
      <c r="F1923" s="87" t="s">
        <v>330</v>
      </c>
      <c r="G1923" s="87" t="s">
        <v>967</v>
      </c>
      <c r="H1923" s="87" t="s">
        <v>330</v>
      </c>
      <c r="I1923" s="87">
        <v>32</v>
      </c>
    </row>
    <row r="1924" spans="1:9" ht="15" customHeight="1" x14ac:dyDescent="0.25">
      <c r="A1924" s="87" t="s">
        <v>33</v>
      </c>
      <c r="B1924" s="87" t="s">
        <v>329</v>
      </c>
      <c r="C1924" s="87">
        <v>1977</v>
      </c>
      <c r="D1924" s="87" t="s">
        <v>18</v>
      </c>
      <c r="E1924" s="116">
        <v>1E-3</v>
      </c>
      <c r="F1924" s="87" t="s">
        <v>330</v>
      </c>
      <c r="G1924" s="87" t="s">
        <v>967</v>
      </c>
      <c r="H1924" s="87" t="s">
        <v>330</v>
      </c>
      <c r="I1924" s="87">
        <v>32</v>
      </c>
    </row>
    <row r="1925" spans="1:9" ht="15" customHeight="1" x14ac:dyDescent="0.25">
      <c r="A1925" s="87" t="s">
        <v>33</v>
      </c>
      <c r="B1925" s="87" t="s">
        <v>329</v>
      </c>
      <c r="C1925" s="87">
        <v>1978</v>
      </c>
      <c r="D1925" s="87" t="s">
        <v>18</v>
      </c>
      <c r="E1925" s="116">
        <v>1E-3</v>
      </c>
      <c r="F1925" s="87" t="s">
        <v>330</v>
      </c>
      <c r="G1925" s="87" t="s">
        <v>967</v>
      </c>
      <c r="H1925" s="87" t="s">
        <v>330</v>
      </c>
      <c r="I1925" s="87">
        <v>32</v>
      </c>
    </row>
    <row r="1926" spans="1:9" ht="15" customHeight="1" x14ac:dyDescent="0.25">
      <c r="A1926" s="87" t="s">
        <v>33</v>
      </c>
      <c r="B1926" s="87" t="s">
        <v>329</v>
      </c>
      <c r="C1926" s="87">
        <v>1979</v>
      </c>
      <c r="D1926" s="87" t="s">
        <v>18</v>
      </c>
      <c r="E1926" s="116">
        <v>1E-3</v>
      </c>
      <c r="F1926" s="87" t="s">
        <v>330</v>
      </c>
      <c r="G1926" s="87" t="s">
        <v>967</v>
      </c>
      <c r="H1926" s="87" t="s">
        <v>330</v>
      </c>
      <c r="I1926" s="87">
        <v>32</v>
      </c>
    </row>
    <row r="1927" spans="1:9" ht="15" customHeight="1" x14ac:dyDescent="0.25">
      <c r="A1927" s="87" t="s">
        <v>33</v>
      </c>
      <c r="B1927" s="87" t="s">
        <v>329</v>
      </c>
      <c r="C1927" s="87">
        <v>1980</v>
      </c>
      <c r="D1927" s="87" t="s">
        <v>18</v>
      </c>
      <c r="E1927" s="116">
        <v>1E-3</v>
      </c>
      <c r="F1927" s="87" t="s">
        <v>330</v>
      </c>
      <c r="G1927" s="87" t="s">
        <v>967</v>
      </c>
      <c r="H1927" s="87" t="s">
        <v>330</v>
      </c>
      <c r="I1927" s="87">
        <v>32</v>
      </c>
    </row>
    <row r="1928" spans="1:9" ht="15" customHeight="1" x14ac:dyDescent="0.25">
      <c r="A1928" s="87" t="s">
        <v>33</v>
      </c>
      <c r="B1928" s="87" t="s">
        <v>329</v>
      </c>
      <c r="C1928" s="87">
        <v>1981</v>
      </c>
      <c r="D1928" s="87" t="s">
        <v>18</v>
      </c>
      <c r="E1928" s="116">
        <v>1E-3</v>
      </c>
      <c r="F1928" s="87" t="s">
        <v>330</v>
      </c>
      <c r="G1928" s="87" t="s">
        <v>967</v>
      </c>
      <c r="H1928" s="87" t="s">
        <v>330</v>
      </c>
      <c r="I1928" s="87">
        <v>32</v>
      </c>
    </row>
    <row r="1929" spans="1:9" ht="15" customHeight="1" x14ac:dyDescent="0.25">
      <c r="A1929" s="87" t="s">
        <v>33</v>
      </c>
      <c r="B1929" s="87" t="s">
        <v>329</v>
      </c>
      <c r="C1929" s="87">
        <v>1982</v>
      </c>
      <c r="D1929" s="87" t="s">
        <v>18</v>
      </c>
      <c r="E1929" s="116">
        <v>1E-3</v>
      </c>
      <c r="F1929" s="87" t="s">
        <v>330</v>
      </c>
      <c r="G1929" s="87" t="s">
        <v>967</v>
      </c>
      <c r="H1929" s="87" t="s">
        <v>330</v>
      </c>
      <c r="I1929" s="87">
        <v>32</v>
      </c>
    </row>
    <row r="1930" spans="1:9" ht="15" customHeight="1" x14ac:dyDescent="0.25">
      <c r="A1930" s="87" t="s">
        <v>33</v>
      </c>
      <c r="B1930" s="87" t="s">
        <v>329</v>
      </c>
      <c r="C1930" s="87">
        <v>1983</v>
      </c>
      <c r="D1930" s="87" t="s">
        <v>18</v>
      </c>
      <c r="E1930" s="116">
        <v>1E-3</v>
      </c>
      <c r="F1930" s="87" t="s">
        <v>330</v>
      </c>
      <c r="G1930" s="87" t="s">
        <v>967</v>
      </c>
      <c r="H1930" s="87" t="s">
        <v>330</v>
      </c>
      <c r="I1930" s="87">
        <v>32</v>
      </c>
    </row>
    <row r="1931" spans="1:9" ht="15" customHeight="1" x14ac:dyDescent="0.25">
      <c r="A1931" s="87" t="s">
        <v>33</v>
      </c>
      <c r="B1931" s="87" t="s">
        <v>329</v>
      </c>
      <c r="C1931" s="87">
        <v>1984</v>
      </c>
      <c r="D1931" s="87" t="s">
        <v>18</v>
      </c>
      <c r="E1931" s="116">
        <v>1E-3</v>
      </c>
      <c r="F1931" s="87" t="s">
        <v>330</v>
      </c>
      <c r="G1931" s="87" t="s">
        <v>967</v>
      </c>
      <c r="H1931" s="87" t="s">
        <v>330</v>
      </c>
      <c r="I1931" s="87">
        <v>32</v>
      </c>
    </row>
    <row r="1932" spans="1:9" ht="15" customHeight="1" x14ac:dyDescent="0.25">
      <c r="A1932" s="87" t="s">
        <v>33</v>
      </c>
      <c r="B1932" s="87" t="s">
        <v>329</v>
      </c>
      <c r="C1932" s="87">
        <v>1985</v>
      </c>
      <c r="D1932" s="87" t="s">
        <v>18</v>
      </c>
      <c r="E1932" s="116">
        <v>1E-3</v>
      </c>
      <c r="F1932" s="87" t="s">
        <v>330</v>
      </c>
      <c r="G1932" s="87" t="s">
        <v>967</v>
      </c>
      <c r="H1932" s="87" t="s">
        <v>330</v>
      </c>
      <c r="I1932" s="87">
        <v>32</v>
      </c>
    </row>
    <row r="1933" spans="1:9" ht="15" customHeight="1" x14ac:dyDescent="0.25">
      <c r="A1933" s="87" t="s">
        <v>33</v>
      </c>
      <c r="B1933" s="87" t="s">
        <v>329</v>
      </c>
      <c r="C1933" s="87">
        <v>1986</v>
      </c>
      <c r="D1933" s="87" t="s">
        <v>18</v>
      </c>
      <c r="E1933" s="116">
        <v>1E-3</v>
      </c>
      <c r="F1933" s="87" t="s">
        <v>330</v>
      </c>
      <c r="G1933" s="87" t="s">
        <v>967</v>
      </c>
      <c r="H1933" s="87" t="s">
        <v>330</v>
      </c>
      <c r="I1933" s="87">
        <v>32</v>
      </c>
    </row>
    <row r="1934" spans="1:9" ht="15" customHeight="1" x14ac:dyDescent="0.25">
      <c r="A1934" s="87" t="s">
        <v>33</v>
      </c>
      <c r="B1934" s="87" t="s">
        <v>329</v>
      </c>
      <c r="C1934" s="87">
        <v>1987</v>
      </c>
      <c r="D1934" s="87" t="s">
        <v>18</v>
      </c>
      <c r="E1934" s="116">
        <v>1E-3</v>
      </c>
      <c r="F1934" s="87" t="s">
        <v>330</v>
      </c>
      <c r="G1934" s="87" t="s">
        <v>967</v>
      </c>
      <c r="H1934" s="87" t="s">
        <v>330</v>
      </c>
      <c r="I1934" s="87">
        <v>32</v>
      </c>
    </row>
    <row r="1935" spans="1:9" ht="15" customHeight="1" x14ac:dyDescent="0.25">
      <c r="A1935" s="87" t="s">
        <v>33</v>
      </c>
      <c r="B1935" s="87" t="s">
        <v>329</v>
      </c>
      <c r="C1935" s="87">
        <v>1988</v>
      </c>
      <c r="D1935" s="87" t="s">
        <v>18</v>
      </c>
      <c r="E1935" s="116">
        <v>1E-3</v>
      </c>
      <c r="F1935" s="87" t="s">
        <v>330</v>
      </c>
      <c r="G1935" s="87" t="s">
        <v>967</v>
      </c>
      <c r="H1935" s="87" t="s">
        <v>330</v>
      </c>
      <c r="I1935" s="87">
        <v>32</v>
      </c>
    </row>
    <row r="1936" spans="1:9" ht="15" customHeight="1" x14ac:dyDescent="0.25">
      <c r="A1936" s="87" t="s">
        <v>33</v>
      </c>
      <c r="B1936" s="87" t="s">
        <v>329</v>
      </c>
      <c r="C1936" s="87">
        <v>1989</v>
      </c>
      <c r="D1936" s="87" t="s">
        <v>18</v>
      </c>
      <c r="E1936" s="116">
        <v>1E-3</v>
      </c>
      <c r="F1936" s="87" t="s">
        <v>330</v>
      </c>
      <c r="G1936" s="87" t="s">
        <v>967</v>
      </c>
      <c r="H1936" s="87" t="s">
        <v>330</v>
      </c>
      <c r="I1936" s="87">
        <v>32</v>
      </c>
    </row>
    <row r="1937" spans="1:9" ht="15" customHeight="1" x14ac:dyDescent="0.25">
      <c r="A1937" s="87" t="s">
        <v>33</v>
      </c>
      <c r="B1937" s="87" t="s">
        <v>329</v>
      </c>
      <c r="C1937" s="87">
        <v>1990</v>
      </c>
      <c r="D1937" s="87" t="s">
        <v>18</v>
      </c>
      <c r="E1937" s="116">
        <v>1E-3</v>
      </c>
      <c r="F1937" s="87" t="s">
        <v>330</v>
      </c>
      <c r="G1937" s="87" t="s">
        <v>967</v>
      </c>
      <c r="H1937" s="87" t="s">
        <v>330</v>
      </c>
      <c r="I1937" s="87">
        <v>32</v>
      </c>
    </row>
    <row r="1938" spans="1:9" ht="15" customHeight="1" x14ac:dyDescent="0.25">
      <c r="A1938" s="87" t="s">
        <v>33</v>
      </c>
      <c r="B1938" s="87" t="s">
        <v>329</v>
      </c>
      <c r="C1938" s="87">
        <v>1991</v>
      </c>
      <c r="D1938" s="87" t="s">
        <v>18</v>
      </c>
      <c r="E1938" s="116">
        <v>1E-3</v>
      </c>
      <c r="F1938" s="87" t="s">
        <v>330</v>
      </c>
      <c r="G1938" s="87" t="s">
        <v>967</v>
      </c>
      <c r="H1938" s="87" t="s">
        <v>330</v>
      </c>
      <c r="I1938" s="87">
        <v>32</v>
      </c>
    </row>
    <row r="1939" spans="1:9" ht="15" customHeight="1" x14ac:dyDescent="0.25">
      <c r="A1939" s="87" t="s">
        <v>33</v>
      </c>
      <c r="B1939" s="87" t="s">
        <v>329</v>
      </c>
      <c r="C1939" s="87">
        <v>1992</v>
      </c>
      <c r="D1939" s="87" t="s">
        <v>18</v>
      </c>
      <c r="E1939" s="116">
        <v>1E-3</v>
      </c>
      <c r="F1939" s="87" t="s">
        <v>330</v>
      </c>
      <c r="G1939" s="87" t="s">
        <v>967</v>
      </c>
      <c r="H1939" s="87" t="s">
        <v>330</v>
      </c>
      <c r="I1939" s="87">
        <v>32</v>
      </c>
    </row>
    <row r="1940" spans="1:9" ht="15" customHeight="1" x14ac:dyDescent="0.25">
      <c r="A1940" s="87" t="s">
        <v>33</v>
      </c>
      <c r="B1940" s="87" t="s">
        <v>329</v>
      </c>
      <c r="C1940" s="87">
        <v>1993</v>
      </c>
      <c r="D1940" s="87" t="s">
        <v>18</v>
      </c>
      <c r="E1940" s="116">
        <v>1E-3</v>
      </c>
      <c r="F1940" s="87" t="s">
        <v>330</v>
      </c>
      <c r="G1940" s="87" t="s">
        <v>967</v>
      </c>
      <c r="H1940" s="87" t="s">
        <v>330</v>
      </c>
      <c r="I1940" s="87">
        <v>32</v>
      </c>
    </row>
    <row r="1941" spans="1:9" ht="15" customHeight="1" x14ac:dyDescent="0.25">
      <c r="A1941" s="87" t="s">
        <v>33</v>
      </c>
      <c r="B1941" s="87" t="s">
        <v>329</v>
      </c>
      <c r="C1941" s="87">
        <v>1994</v>
      </c>
      <c r="D1941" s="87" t="s">
        <v>18</v>
      </c>
      <c r="E1941" s="116">
        <v>1E-3</v>
      </c>
      <c r="F1941" s="87" t="s">
        <v>330</v>
      </c>
      <c r="G1941" s="87" t="s">
        <v>967</v>
      </c>
      <c r="H1941" s="87" t="s">
        <v>330</v>
      </c>
      <c r="I1941" s="87">
        <v>32</v>
      </c>
    </row>
    <row r="1942" spans="1:9" ht="15" customHeight="1" x14ac:dyDescent="0.25">
      <c r="A1942" s="87" t="s">
        <v>33</v>
      </c>
      <c r="B1942" s="87" t="s">
        <v>329</v>
      </c>
      <c r="C1942" s="87">
        <v>1995</v>
      </c>
      <c r="D1942" s="87" t="s">
        <v>18</v>
      </c>
      <c r="E1942" s="116">
        <v>1E-3</v>
      </c>
      <c r="F1942" s="87" t="s">
        <v>330</v>
      </c>
      <c r="G1942" s="87" t="s">
        <v>967</v>
      </c>
      <c r="H1942" s="87" t="s">
        <v>330</v>
      </c>
      <c r="I1942" s="87">
        <v>32</v>
      </c>
    </row>
    <row r="1943" spans="1:9" ht="15" customHeight="1" x14ac:dyDescent="0.25">
      <c r="A1943" s="87" t="s">
        <v>33</v>
      </c>
      <c r="B1943" s="87" t="s">
        <v>329</v>
      </c>
      <c r="C1943" s="87">
        <v>1996</v>
      </c>
      <c r="D1943" s="87" t="s">
        <v>18</v>
      </c>
      <c r="E1943" s="116">
        <v>1E-3</v>
      </c>
      <c r="F1943" s="87" t="s">
        <v>330</v>
      </c>
      <c r="G1943" s="87" t="s">
        <v>967</v>
      </c>
      <c r="H1943" s="87" t="s">
        <v>330</v>
      </c>
      <c r="I1943" s="87">
        <v>32</v>
      </c>
    </row>
    <row r="1944" spans="1:9" ht="15" customHeight="1" x14ac:dyDescent="0.25">
      <c r="A1944" s="87" t="s">
        <v>33</v>
      </c>
      <c r="B1944" s="87" t="s">
        <v>329</v>
      </c>
      <c r="C1944" s="87">
        <v>1997</v>
      </c>
      <c r="D1944" s="87" t="s">
        <v>18</v>
      </c>
      <c r="E1944" s="116">
        <v>1E-3</v>
      </c>
      <c r="F1944" s="87" t="s">
        <v>330</v>
      </c>
      <c r="G1944" s="87" t="s">
        <v>967</v>
      </c>
      <c r="H1944" s="87" t="s">
        <v>330</v>
      </c>
      <c r="I1944" s="87">
        <v>32</v>
      </c>
    </row>
    <row r="1945" spans="1:9" ht="15" customHeight="1" x14ac:dyDescent="0.25">
      <c r="A1945" s="87" t="s">
        <v>33</v>
      </c>
      <c r="B1945" s="87" t="s">
        <v>329</v>
      </c>
      <c r="C1945" s="87">
        <v>1998</v>
      </c>
      <c r="D1945" s="87" t="s">
        <v>18</v>
      </c>
      <c r="E1945" s="116">
        <v>1E-3</v>
      </c>
      <c r="F1945" s="87" t="s">
        <v>330</v>
      </c>
      <c r="G1945" s="87" t="s">
        <v>967</v>
      </c>
      <c r="H1945" s="87" t="s">
        <v>330</v>
      </c>
      <c r="I1945" s="87">
        <v>32</v>
      </c>
    </row>
    <row r="1946" spans="1:9" ht="15" customHeight="1" x14ac:dyDescent="0.25">
      <c r="A1946" s="87" t="s">
        <v>33</v>
      </c>
      <c r="B1946" s="87" t="s">
        <v>329</v>
      </c>
      <c r="C1946" s="87">
        <v>1999</v>
      </c>
      <c r="D1946" s="87" t="s">
        <v>18</v>
      </c>
      <c r="E1946" s="116">
        <v>1E-3</v>
      </c>
      <c r="F1946" s="87" t="s">
        <v>330</v>
      </c>
      <c r="G1946" s="87" t="s">
        <v>967</v>
      </c>
      <c r="H1946" s="87" t="s">
        <v>330</v>
      </c>
      <c r="I1946" s="87">
        <v>32</v>
      </c>
    </row>
    <row r="1947" spans="1:9" ht="15" customHeight="1" x14ac:dyDescent="0.25">
      <c r="A1947" s="87" t="s">
        <v>33</v>
      </c>
      <c r="B1947" s="87" t="s">
        <v>329</v>
      </c>
      <c r="C1947" s="87">
        <v>2000</v>
      </c>
      <c r="D1947" s="87" t="s">
        <v>18</v>
      </c>
      <c r="E1947" s="116">
        <v>410</v>
      </c>
      <c r="F1947" s="87" t="s">
        <v>908</v>
      </c>
      <c r="G1947" s="87" t="s">
        <v>967</v>
      </c>
      <c r="H1947" s="87" t="s">
        <v>933</v>
      </c>
      <c r="I1947" s="87">
        <v>32</v>
      </c>
    </row>
    <row r="1948" spans="1:9" ht="15" customHeight="1" x14ac:dyDescent="0.25">
      <c r="A1948" s="87" t="s">
        <v>33</v>
      </c>
      <c r="B1948" s="87" t="s">
        <v>329</v>
      </c>
      <c r="C1948" s="87">
        <v>2001</v>
      </c>
      <c r="D1948" s="87" t="s">
        <v>18</v>
      </c>
      <c r="E1948" s="116">
        <v>677</v>
      </c>
      <c r="F1948" s="87" t="s">
        <v>908</v>
      </c>
      <c r="G1948" s="87" t="s">
        <v>967</v>
      </c>
      <c r="H1948" s="87" t="s">
        <v>933</v>
      </c>
      <c r="I1948" s="87">
        <v>32</v>
      </c>
    </row>
    <row r="1949" spans="1:9" ht="15" customHeight="1" x14ac:dyDescent="0.25">
      <c r="A1949" s="87" t="s">
        <v>33</v>
      </c>
      <c r="B1949" s="87" t="s">
        <v>329</v>
      </c>
      <c r="C1949" s="87">
        <v>2002</v>
      </c>
      <c r="D1949" s="87" t="s">
        <v>18</v>
      </c>
      <c r="E1949" s="116">
        <v>0.01</v>
      </c>
      <c r="F1949" s="87" t="s">
        <v>330</v>
      </c>
      <c r="G1949" s="87" t="s">
        <v>967</v>
      </c>
      <c r="H1949" s="87" t="s">
        <v>330</v>
      </c>
      <c r="I1949" s="87">
        <v>32</v>
      </c>
    </row>
    <row r="1950" spans="1:9" ht="15" customHeight="1" x14ac:dyDescent="0.25">
      <c r="A1950" s="87" t="s">
        <v>33</v>
      </c>
      <c r="B1950" s="87" t="s">
        <v>329</v>
      </c>
      <c r="C1950" s="87">
        <v>2003</v>
      </c>
      <c r="D1950" s="87" t="s">
        <v>18</v>
      </c>
      <c r="E1950" s="116">
        <v>1E-3</v>
      </c>
      <c r="F1950" s="87" t="s">
        <v>330</v>
      </c>
      <c r="G1950" s="87" t="s">
        <v>967</v>
      </c>
      <c r="H1950" s="87" t="s">
        <v>330</v>
      </c>
      <c r="I1950" s="87">
        <v>32</v>
      </c>
    </row>
    <row r="1951" spans="1:9" ht="15" customHeight="1" x14ac:dyDescent="0.25">
      <c r="A1951" s="87" t="s">
        <v>33</v>
      </c>
      <c r="B1951" s="87" t="s">
        <v>329</v>
      </c>
      <c r="C1951" s="87">
        <v>2004</v>
      </c>
      <c r="D1951" s="87" t="s">
        <v>18</v>
      </c>
      <c r="E1951" s="116">
        <v>473</v>
      </c>
      <c r="F1951" s="87" t="s">
        <v>330</v>
      </c>
      <c r="G1951" s="87" t="s">
        <v>967</v>
      </c>
      <c r="H1951" s="87" t="s">
        <v>330</v>
      </c>
      <c r="I1951" s="87">
        <v>32</v>
      </c>
    </row>
    <row r="1952" spans="1:9" ht="15" customHeight="1" x14ac:dyDescent="0.25">
      <c r="A1952" s="87" t="s">
        <v>33</v>
      </c>
      <c r="B1952" s="87" t="s">
        <v>329</v>
      </c>
      <c r="C1952" s="87">
        <v>2005</v>
      </c>
      <c r="D1952" s="87" t="s">
        <v>18</v>
      </c>
      <c r="E1952" s="116">
        <v>449</v>
      </c>
      <c r="F1952" s="87" t="s">
        <v>330</v>
      </c>
      <c r="G1952" s="87" t="s">
        <v>967</v>
      </c>
      <c r="H1952" s="87" t="s">
        <v>330</v>
      </c>
      <c r="I1952" s="87">
        <v>32</v>
      </c>
    </row>
    <row r="1953" spans="1:9" ht="15" customHeight="1" x14ac:dyDescent="0.25">
      <c r="A1953" s="87" t="s">
        <v>33</v>
      </c>
      <c r="B1953" s="87" t="s">
        <v>329</v>
      </c>
      <c r="C1953" s="87">
        <v>2006</v>
      </c>
      <c r="D1953" s="87" t="s">
        <v>18</v>
      </c>
      <c r="E1953" s="116">
        <v>968</v>
      </c>
      <c r="F1953" s="87" t="s">
        <v>908</v>
      </c>
      <c r="G1953" s="87" t="s">
        <v>967</v>
      </c>
      <c r="H1953" s="87" t="s">
        <v>933</v>
      </c>
      <c r="I1953" s="87">
        <v>32</v>
      </c>
    </row>
    <row r="1954" spans="1:9" ht="15" customHeight="1" x14ac:dyDescent="0.25">
      <c r="A1954" s="87" t="s">
        <v>33</v>
      </c>
      <c r="B1954" s="87" t="s">
        <v>329</v>
      </c>
      <c r="C1954" s="87">
        <v>2007</v>
      </c>
      <c r="D1954" s="87" t="s">
        <v>18</v>
      </c>
      <c r="E1954" s="116">
        <v>-1</v>
      </c>
      <c r="F1954" s="87" t="s">
        <v>330</v>
      </c>
      <c r="G1954" s="87" t="s">
        <v>967</v>
      </c>
      <c r="H1954" s="87" t="s">
        <v>330</v>
      </c>
      <c r="I1954" s="87">
        <v>32</v>
      </c>
    </row>
    <row r="1955" spans="1:9" ht="15" customHeight="1" x14ac:dyDescent="0.25">
      <c r="A1955" s="87" t="s">
        <v>33</v>
      </c>
      <c r="B1955" s="87" t="s">
        <v>329</v>
      </c>
      <c r="C1955" s="87">
        <v>2008</v>
      </c>
      <c r="D1955" s="87" t="s">
        <v>18</v>
      </c>
      <c r="E1955" s="116">
        <v>399</v>
      </c>
      <c r="F1955" s="87" t="s">
        <v>330</v>
      </c>
      <c r="G1955" s="87" t="s">
        <v>967</v>
      </c>
      <c r="H1955" s="87" t="s">
        <v>330</v>
      </c>
      <c r="I1955" s="87">
        <v>32</v>
      </c>
    </row>
    <row r="1956" spans="1:9" ht="15" customHeight="1" x14ac:dyDescent="0.25">
      <c r="A1956" s="87" t="s">
        <v>33</v>
      </c>
      <c r="B1956" s="87" t="s">
        <v>329</v>
      </c>
      <c r="C1956" s="87">
        <v>2009</v>
      </c>
      <c r="D1956" s="87" t="s">
        <v>18</v>
      </c>
      <c r="E1956" s="116">
        <v>1175</v>
      </c>
      <c r="F1956" s="87" t="s">
        <v>908</v>
      </c>
      <c r="G1956" s="87" t="s">
        <v>967</v>
      </c>
      <c r="H1956" s="87" t="s">
        <v>933</v>
      </c>
      <c r="I1956" s="87">
        <v>32</v>
      </c>
    </row>
    <row r="1957" spans="1:9" ht="15" customHeight="1" x14ac:dyDescent="0.25">
      <c r="A1957" s="87" t="s">
        <v>33</v>
      </c>
      <c r="B1957" s="87" t="s">
        <v>329</v>
      </c>
      <c r="C1957" s="87">
        <v>2010</v>
      </c>
      <c r="D1957" s="87" t="s">
        <v>18</v>
      </c>
      <c r="E1957" s="116">
        <v>542</v>
      </c>
      <c r="F1957" s="87" t="s">
        <v>908</v>
      </c>
      <c r="G1957" s="87" t="s">
        <v>967</v>
      </c>
      <c r="H1957" s="87" t="s">
        <v>933</v>
      </c>
      <c r="I1957" s="87">
        <v>32</v>
      </c>
    </row>
    <row r="1958" spans="1:9" ht="15" customHeight="1" x14ac:dyDescent="0.25">
      <c r="A1958" s="87" t="s">
        <v>33</v>
      </c>
      <c r="B1958" s="87" t="s">
        <v>329</v>
      </c>
      <c r="C1958" s="87">
        <v>2011</v>
      </c>
      <c r="D1958" s="87" t="s">
        <v>18</v>
      </c>
      <c r="E1958" s="116">
        <v>1291</v>
      </c>
      <c r="F1958" s="87" t="s">
        <v>908</v>
      </c>
      <c r="G1958" s="87" t="s">
        <v>967</v>
      </c>
      <c r="H1958" s="87" t="s">
        <v>933</v>
      </c>
      <c r="I1958" s="87">
        <v>32</v>
      </c>
    </row>
    <row r="1959" spans="1:9" ht="15" customHeight="1" x14ac:dyDescent="0.25">
      <c r="A1959" s="87" t="s">
        <v>33</v>
      </c>
      <c r="B1959" s="87" t="s">
        <v>329</v>
      </c>
      <c r="C1959" s="87">
        <v>2012</v>
      </c>
      <c r="D1959" s="87" t="s">
        <v>18</v>
      </c>
      <c r="E1959" s="116">
        <v>-1</v>
      </c>
      <c r="F1959" s="87" t="s">
        <v>330</v>
      </c>
      <c r="G1959" s="87" t="s">
        <v>967</v>
      </c>
      <c r="H1959" s="87" t="s">
        <v>330</v>
      </c>
      <c r="I1959" s="87">
        <v>32</v>
      </c>
    </row>
    <row r="1960" spans="1:9" ht="15" customHeight="1" x14ac:dyDescent="0.25">
      <c r="A1960" s="87" t="s">
        <v>33</v>
      </c>
      <c r="B1960" s="87" t="s">
        <v>329</v>
      </c>
      <c r="C1960" s="87">
        <v>2013</v>
      </c>
      <c r="D1960" s="87" t="s">
        <v>18</v>
      </c>
      <c r="E1960" s="116">
        <v>-1</v>
      </c>
      <c r="F1960" s="87" t="s">
        <v>330</v>
      </c>
      <c r="G1960" s="87" t="s">
        <v>967</v>
      </c>
      <c r="H1960" s="87" t="s">
        <v>330</v>
      </c>
      <c r="I1960" s="87">
        <v>32</v>
      </c>
    </row>
    <row r="1961" spans="1:9" ht="15" customHeight="1" x14ac:dyDescent="0.25">
      <c r="A1961" s="87" t="s">
        <v>33</v>
      </c>
      <c r="B1961" s="87" t="s">
        <v>329</v>
      </c>
      <c r="C1961" s="87">
        <v>2014</v>
      </c>
      <c r="D1961" s="87" t="s">
        <v>18</v>
      </c>
      <c r="E1961" s="116">
        <v>-1</v>
      </c>
      <c r="F1961" s="87" t="s">
        <v>330</v>
      </c>
      <c r="G1961" s="87" t="s">
        <v>967</v>
      </c>
      <c r="H1961" s="87" t="s">
        <v>330</v>
      </c>
      <c r="I1961" s="87">
        <v>32</v>
      </c>
    </row>
    <row r="1962" spans="1:9" ht="15" customHeight="1" x14ac:dyDescent="0.25">
      <c r="A1962" s="87" t="s">
        <v>33</v>
      </c>
      <c r="B1962" s="87" t="s">
        <v>329</v>
      </c>
      <c r="C1962" s="87">
        <v>2015</v>
      </c>
      <c r="D1962" s="87" t="s">
        <v>18</v>
      </c>
      <c r="E1962" s="116">
        <v>789</v>
      </c>
      <c r="F1962" s="87" t="s">
        <v>908</v>
      </c>
      <c r="G1962" s="87" t="s">
        <v>967</v>
      </c>
      <c r="H1962" s="87" t="s">
        <v>933</v>
      </c>
      <c r="I1962" s="87">
        <v>32</v>
      </c>
    </row>
    <row r="1963" spans="1:9" ht="15" customHeight="1" x14ac:dyDescent="0.25">
      <c r="A1963" s="87" t="s">
        <v>33</v>
      </c>
      <c r="B1963" s="87" t="s">
        <v>329</v>
      </c>
      <c r="C1963" s="87">
        <v>2016</v>
      </c>
      <c r="D1963" s="87" t="s">
        <v>18</v>
      </c>
      <c r="E1963" s="116">
        <v>343</v>
      </c>
      <c r="F1963" s="87" t="s">
        <v>908</v>
      </c>
      <c r="G1963" s="87" t="s">
        <v>967</v>
      </c>
      <c r="H1963" s="87" t="s">
        <v>933</v>
      </c>
      <c r="I1963" s="87">
        <v>32</v>
      </c>
    </row>
    <row r="1964" spans="1:9" ht="15" customHeight="1" x14ac:dyDescent="0.25">
      <c r="A1964" s="87" t="s">
        <v>33</v>
      </c>
      <c r="B1964" s="87" t="s">
        <v>329</v>
      </c>
      <c r="C1964" s="87">
        <v>2017</v>
      </c>
      <c r="D1964" s="87" t="s">
        <v>18</v>
      </c>
      <c r="E1964" s="116">
        <v>538</v>
      </c>
      <c r="F1964" s="87" t="s">
        <v>908</v>
      </c>
      <c r="G1964" s="87" t="s">
        <v>967</v>
      </c>
      <c r="H1964" s="87" t="s">
        <v>933</v>
      </c>
      <c r="I1964" s="87">
        <v>32</v>
      </c>
    </row>
    <row r="1965" spans="1:9" ht="15" customHeight="1" x14ac:dyDescent="0.25">
      <c r="A1965" s="87" t="s">
        <v>33</v>
      </c>
      <c r="B1965" s="87" t="s">
        <v>329</v>
      </c>
      <c r="C1965" s="87">
        <v>2018</v>
      </c>
      <c r="D1965" s="87" t="s">
        <v>18</v>
      </c>
      <c r="E1965" s="116">
        <v>1095</v>
      </c>
      <c r="F1965" s="87" t="s">
        <v>967</v>
      </c>
      <c r="G1965" s="87" t="s">
        <v>967</v>
      </c>
      <c r="H1965" s="87" t="s">
        <v>967</v>
      </c>
      <c r="I1965" s="87">
        <v>32</v>
      </c>
    </row>
    <row r="1966" spans="1:9" ht="15" customHeight="1" x14ac:dyDescent="0.25">
      <c r="A1966" s="87" t="s">
        <v>33</v>
      </c>
      <c r="B1966" s="87" t="s">
        <v>329</v>
      </c>
      <c r="C1966" s="87">
        <v>2019</v>
      </c>
      <c r="D1966" s="87" t="s">
        <v>18</v>
      </c>
      <c r="E1966" s="116">
        <v>261</v>
      </c>
      <c r="F1966" s="87" t="s">
        <v>967</v>
      </c>
      <c r="G1966" s="87" t="s">
        <v>967</v>
      </c>
      <c r="H1966" s="87" t="s">
        <v>967</v>
      </c>
      <c r="I1966" s="87">
        <v>32</v>
      </c>
    </row>
    <row r="1967" spans="1:9" ht="15" customHeight="1" x14ac:dyDescent="0.25">
      <c r="A1967" s="87" t="s">
        <v>33</v>
      </c>
      <c r="B1967" s="87" t="s">
        <v>329</v>
      </c>
      <c r="C1967" s="87">
        <v>2020</v>
      </c>
      <c r="D1967" s="87" t="s">
        <v>18</v>
      </c>
      <c r="E1967" s="116">
        <v>1376</v>
      </c>
      <c r="F1967" s="87" t="s">
        <v>967</v>
      </c>
      <c r="G1967" s="87" t="s">
        <v>967</v>
      </c>
      <c r="H1967" s="87" t="s">
        <v>967</v>
      </c>
      <c r="I1967" s="87">
        <v>32</v>
      </c>
    </row>
    <row r="1968" spans="1:9" ht="15" customHeight="1" x14ac:dyDescent="0.25">
      <c r="A1968" s="87" t="s">
        <v>33</v>
      </c>
      <c r="B1968" s="87" t="s">
        <v>329</v>
      </c>
      <c r="C1968" s="87">
        <v>2021</v>
      </c>
      <c r="D1968" s="87" t="s">
        <v>18</v>
      </c>
      <c r="E1968" s="116">
        <v>-1</v>
      </c>
      <c r="F1968" s="87" t="s">
        <v>967</v>
      </c>
      <c r="G1968" s="87" t="s">
        <v>967</v>
      </c>
      <c r="H1968" s="87" t="s">
        <v>967</v>
      </c>
      <c r="I1968" s="87">
        <v>32</v>
      </c>
    </row>
    <row r="1969" spans="1:9" ht="15" customHeight="1" x14ac:dyDescent="0.25">
      <c r="A1969" s="87" t="s">
        <v>33</v>
      </c>
      <c r="B1969" s="87" t="s">
        <v>329</v>
      </c>
      <c r="C1969" s="87">
        <v>2022</v>
      </c>
      <c r="D1969" s="87" t="s">
        <v>18</v>
      </c>
      <c r="E1969" s="116">
        <v>-1</v>
      </c>
      <c r="F1969" s="87" t="s">
        <v>967</v>
      </c>
      <c r="G1969" s="87" t="s">
        <v>967</v>
      </c>
      <c r="H1969" s="87" t="s">
        <v>967</v>
      </c>
      <c r="I1969" s="87">
        <v>32</v>
      </c>
    </row>
    <row r="1970" spans="1:9" ht="15" customHeight="1" x14ac:dyDescent="0.25">
      <c r="A1970" s="87" t="s">
        <v>38</v>
      </c>
      <c r="B1970" s="87" t="s">
        <v>331</v>
      </c>
      <c r="C1970" s="87">
        <v>1975</v>
      </c>
      <c r="D1970" s="87" t="s">
        <v>15</v>
      </c>
      <c r="E1970" s="116">
        <v>-1</v>
      </c>
      <c r="F1970" s="87" t="s">
        <v>494</v>
      </c>
      <c r="G1970" s="87" t="s">
        <v>967</v>
      </c>
      <c r="H1970" s="87" t="s">
        <v>900</v>
      </c>
      <c r="I1970" s="87">
        <v>14</v>
      </c>
    </row>
    <row r="1971" spans="1:9" ht="15" customHeight="1" x14ac:dyDescent="0.25">
      <c r="A1971" s="87" t="s">
        <v>38</v>
      </c>
      <c r="B1971" s="87" t="s">
        <v>331</v>
      </c>
      <c r="C1971" s="87">
        <v>1976</v>
      </c>
      <c r="D1971" s="87" t="s">
        <v>15</v>
      </c>
      <c r="E1971" s="116">
        <v>-1</v>
      </c>
      <c r="F1971" s="87" t="s">
        <v>494</v>
      </c>
      <c r="G1971" s="87" t="s">
        <v>967</v>
      </c>
      <c r="H1971" s="87" t="s">
        <v>900</v>
      </c>
      <c r="I1971" s="87">
        <v>14</v>
      </c>
    </row>
    <row r="1972" spans="1:9" ht="15" customHeight="1" x14ac:dyDescent="0.25">
      <c r="A1972" s="87" t="s">
        <v>38</v>
      </c>
      <c r="B1972" s="87" t="s">
        <v>331</v>
      </c>
      <c r="C1972" s="87">
        <v>1977</v>
      </c>
      <c r="D1972" s="87" t="s">
        <v>15</v>
      </c>
      <c r="E1972" s="116">
        <v>-1</v>
      </c>
      <c r="F1972" s="87" t="s">
        <v>494</v>
      </c>
      <c r="G1972" s="87" t="s">
        <v>967</v>
      </c>
      <c r="H1972" s="87" t="s">
        <v>900</v>
      </c>
      <c r="I1972" s="87">
        <v>14</v>
      </c>
    </row>
    <row r="1973" spans="1:9" ht="15" customHeight="1" x14ac:dyDescent="0.25">
      <c r="A1973" s="87" t="s">
        <v>38</v>
      </c>
      <c r="B1973" s="87" t="s">
        <v>331</v>
      </c>
      <c r="C1973" s="87">
        <v>1978</v>
      </c>
      <c r="D1973" s="87" t="s">
        <v>15</v>
      </c>
      <c r="E1973" s="116">
        <v>-1</v>
      </c>
      <c r="F1973" s="87" t="s">
        <v>494</v>
      </c>
      <c r="G1973" s="87" t="s">
        <v>967</v>
      </c>
      <c r="H1973" s="87" t="s">
        <v>900</v>
      </c>
      <c r="I1973" s="87">
        <v>14</v>
      </c>
    </row>
    <row r="1974" spans="1:9" ht="15" customHeight="1" x14ac:dyDescent="0.25">
      <c r="A1974" s="87" t="s">
        <v>38</v>
      </c>
      <c r="B1974" s="87" t="s">
        <v>331</v>
      </c>
      <c r="C1974" s="87">
        <v>1979</v>
      </c>
      <c r="D1974" s="87" t="s">
        <v>15</v>
      </c>
      <c r="E1974" s="116">
        <v>-1</v>
      </c>
      <c r="F1974" s="87" t="s">
        <v>494</v>
      </c>
      <c r="G1974" s="87" t="s">
        <v>967</v>
      </c>
      <c r="H1974" s="87" t="s">
        <v>900</v>
      </c>
      <c r="I1974" s="87">
        <v>14</v>
      </c>
    </row>
    <row r="1975" spans="1:9" ht="15" customHeight="1" x14ac:dyDescent="0.25">
      <c r="A1975" s="87" t="s">
        <v>38</v>
      </c>
      <c r="B1975" s="87" t="s">
        <v>331</v>
      </c>
      <c r="C1975" s="87">
        <v>1980</v>
      </c>
      <c r="D1975" s="87" t="s">
        <v>15</v>
      </c>
      <c r="E1975" s="116">
        <v>-1</v>
      </c>
      <c r="F1975" s="87" t="s">
        <v>494</v>
      </c>
      <c r="G1975" s="87" t="s">
        <v>967</v>
      </c>
      <c r="H1975" s="87" t="s">
        <v>900</v>
      </c>
      <c r="I1975" s="87">
        <v>14</v>
      </c>
    </row>
    <row r="1976" spans="1:9" ht="15" customHeight="1" x14ac:dyDescent="0.25">
      <c r="A1976" s="87" t="s">
        <v>38</v>
      </c>
      <c r="B1976" s="87" t="s">
        <v>331</v>
      </c>
      <c r="C1976" s="87">
        <v>1981</v>
      </c>
      <c r="D1976" s="87" t="s">
        <v>15</v>
      </c>
      <c r="E1976" s="116">
        <v>-1</v>
      </c>
      <c r="F1976" s="87" t="s">
        <v>494</v>
      </c>
      <c r="G1976" s="87" t="s">
        <v>967</v>
      </c>
      <c r="H1976" s="87" t="s">
        <v>900</v>
      </c>
      <c r="I1976" s="87">
        <v>14</v>
      </c>
    </row>
    <row r="1977" spans="1:9" ht="15" customHeight="1" x14ac:dyDescent="0.25">
      <c r="A1977" s="87" t="s">
        <v>38</v>
      </c>
      <c r="B1977" s="87" t="s">
        <v>331</v>
      </c>
      <c r="C1977" s="87">
        <v>1982</v>
      </c>
      <c r="D1977" s="87" t="s">
        <v>15</v>
      </c>
      <c r="E1977" s="116">
        <v>-1</v>
      </c>
      <c r="F1977" s="87" t="s">
        <v>494</v>
      </c>
      <c r="G1977" s="87" t="s">
        <v>967</v>
      </c>
      <c r="H1977" s="87" t="s">
        <v>900</v>
      </c>
      <c r="I1977" s="87">
        <v>14</v>
      </c>
    </row>
    <row r="1978" spans="1:9" ht="15" customHeight="1" x14ac:dyDescent="0.25">
      <c r="A1978" s="87" t="s">
        <v>38</v>
      </c>
      <c r="B1978" s="87" t="s">
        <v>331</v>
      </c>
      <c r="C1978" s="87">
        <v>1983</v>
      </c>
      <c r="D1978" s="87" t="s">
        <v>15</v>
      </c>
      <c r="E1978" s="116">
        <v>-1</v>
      </c>
      <c r="F1978" s="87" t="s">
        <v>494</v>
      </c>
      <c r="G1978" s="87" t="s">
        <v>967</v>
      </c>
      <c r="H1978" s="87" t="s">
        <v>900</v>
      </c>
      <c r="I1978" s="87">
        <v>14</v>
      </c>
    </row>
    <row r="1979" spans="1:9" ht="15" customHeight="1" x14ac:dyDescent="0.25">
      <c r="A1979" s="87" t="s">
        <v>38</v>
      </c>
      <c r="B1979" s="87" t="s">
        <v>331</v>
      </c>
      <c r="C1979" s="87">
        <v>1984</v>
      </c>
      <c r="D1979" s="87" t="s">
        <v>15</v>
      </c>
      <c r="E1979" s="116">
        <v>-1</v>
      </c>
      <c r="F1979" s="87" t="s">
        <v>494</v>
      </c>
      <c r="G1979" s="87" t="s">
        <v>967</v>
      </c>
      <c r="H1979" s="87" t="s">
        <v>900</v>
      </c>
      <c r="I1979" s="87">
        <v>14</v>
      </c>
    </row>
    <row r="1980" spans="1:9" ht="15" customHeight="1" x14ac:dyDescent="0.25">
      <c r="A1980" s="87" t="s">
        <v>38</v>
      </c>
      <c r="B1980" s="87" t="s">
        <v>331</v>
      </c>
      <c r="C1980" s="87">
        <v>1985</v>
      </c>
      <c r="D1980" s="87" t="s">
        <v>15</v>
      </c>
      <c r="E1980" s="116">
        <v>-1</v>
      </c>
      <c r="F1980" s="87" t="s">
        <v>494</v>
      </c>
      <c r="G1980" s="87" t="s">
        <v>967</v>
      </c>
      <c r="H1980" s="87" t="s">
        <v>900</v>
      </c>
      <c r="I1980" s="87">
        <v>14</v>
      </c>
    </row>
    <row r="1981" spans="1:9" ht="15" customHeight="1" x14ac:dyDescent="0.25">
      <c r="A1981" s="87" t="s">
        <v>38</v>
      </c>
      <c r="B1981" s="87" t="s">
        <v>331</v>
      </c>
      <c r="C1981" s="87">
        <v>1986</v>
      </c>
      <c r="D1981" s="87" t="s">
        <v>15</v>
      </c>
      <c r="E1981" s="116">
        <v>-1</v>
      </c>
      <c r="F1981" s="87" t="s">
        <v>494</v>
      </c>
      <c r="G1981" s="87" t="s">
        <v>967</v>
      </c>
      <c r="H1981" s="87" t="s">
        <v>900</v>
      </c>
      <c r="I1981" s="87">
        <v>14</v>
      </c>
    </row>
    <row r="1982" spans="1:9" ht="15" customHeight="1" x14ac:dyDescent="0.25">
      <c r="A1982" s="87" t="s">
        <v>38</v>
      </c>
      <c r="B1982" s="87" t="s">
        <v>331</v>
      </c>
      <c r="C1982" s="87">
        <v>1987</v>
      </c>
      <c r="D1982" s="87" t="s">
        <v>15</v>
      </c>
      <c r="E1982" s="116">
        <v>-1</v>
      </c>
      <c r="F1982" s="87" t="s">
        <v>494</v>
      </c>
      <c r="G1982" s="87" t="s">
        <v>967</v>
      </c>
      <c r="H1982" s="87" t="s">
        <v>900</v>
      </c>
      <c r="I1982" s="87">
        <v>14</v>
      </c>
    </row>
    <row r="1983" spans="1:9" ht="15" customHeight="1" x14ac:dyDescent="0.25">
      <c r="A1983" s="87" t="s">
        <v>38</v>
      </c>
      <c r="B1983" s="87" t="s">
        <v>331</v>
      </c>
      <c r="C1983" s="87">
        <v>1988</v>
      </c>
      <c r="D1983" s="87" t="s">
        <v>15</v>
      </c>
      <c r="E1983" s="116">
        <v>-1</v>
      </c>
      <c r="F1983" s="87" t="s">
        <v>494</v>
      </c>
      <c r="G1983" s="87" t="s">
        <v>967</v>
      </c>
      <c r="H1983" s="87" t="s">
        <v>900</v>
      </c>
      <c r="I1983" s="87">
        <v>14</v>
      </c>
    </row>
    <row r="1984" spans="1:9" ht="15" customHeight="1" x14ac:dyDescent="0.25">
      <c r="A1984" s="87" t="s">
        <v>38</v>
      </c>
      <c r="B1984" s="87" t="s">
        <v>331</v>
      </c>
      <c r="C1984" s="87">
        <v>1989</v>
      </c>
      <c r="D1984" s="87" t="s">
        <v>15</v>
      </c>
      <c r="E1984" s="116">
        <v>-1</v>
      </c>
      <c r="F1984" s="87" t="s">
        <v>494</v>
      </c>
      <c r="G1984" s="87" t="s">
        <v>967</v>
      </c>
      <c r="H1984" s="87" t="s">
        <v>900</v>
      </c>
      <c r="I1984" s="87">
        <v>14</v>
      </c>
    </row>
    <row r="1985" spans="1:9" ht="15" customHeight="1" x14ac:dyDescent="0.25">
      <c r="A1985" s="87" t="s">
        <v>38</v>
      </c>
      <c r="B1985" s="87" t="s">
        <v>331</v>
      </c>
      <c r="C1985" s="87">
        <v>1990</v>
      </c>
      <c r="D1985" s="87" t="s">
        <v>15</v>
      </c>
      <c r="E1985" s="116">
        <v>-1</v>
      </c>
      <c r="F1985" s="87" t="s">
        <v>494</v>
      </c>
      <c r="G1985" s="87" t="s">
        <v>967</v>
      </c>
      <c r="H1985" s="87" t="s">
        <v>900</v>
      </c>
      <c r="I1985" s="87">
        <v>14</v>
      </c>
    </row>
    <row r="1986" spans="1:9" ht="15" customHeight="1" x14ac:dyDescent="0.25">
      <c r="A1986" s="87" t="s">
        <v>38</v>
      </c>
      <c r="B1986" s="87" t="s">
        <v>331</v>
      </c>
      <c r="C1986" s="87">
        <v>1991</v>
      </c>
      <c r="D1986" s="87" t="s">
        <v>15</v>
      </c>
      <c r="E1986" s="116">
        <v>-1</v>
      </c>
      <c r="F1986" s="87" t="s">
        <v>494</v>
      </c>
      <c r="G1986" s="87" t="s">
        <v>967</v>
      </c>
      <c r="H1986" s="87" t="s">
        <v>900</v>
      </c>
      <c r="I1986" s="87">
        <v>14</v>
      </c>
    </row>
    <row r="1987" spans="1:9" ht="15" customHeight="1" x14ac:dyDescent="0.25">
      <c r="A1987" s="87" t="s">
        <v>38</v>
      </c>
      <c r="B1987" s="87" t="s">
        <v>331</v>
      </c>
      <c r="C1987" s="87">
        <v>1992</v>
      </c>
      <c r="D1987" s="87" t="s">
        <v>15</v>
      </c>
      <c r="E1987" s="116">
        <v>-1</v>
      </c>
      <c r="F1987" s="87" t="s">
        <v>494</v>
      </c>
      <c r="G1987" s="87" t="s">
        <v>967</v>
      </c>
      <c r="H1987" s="87" t="s">
        <v>900</v>
      </c>
      <c r="I1987" s="87">
        <v>14</v>
      </c>
    </row>
    <row r="1988" spans="1:9" ht="15" customHeight="1" x14ac:dyDescent="0.25">
      <c r="A1988" s="87" t="s">
        <v>38</v>
      </c>
      <c r="B1988" s="87" t="s">
        <v>331</v>
      </c>
      <c r="C1988" s="87">
        <v>1993</v>
      </c>
      <c r="D1988" s="87" t="s">
        <v>15</v>
      </c>
      <c r="E1988" s="116">
        <v>-1</v>
      </c>
      <c r="F1988" s="87" t="s">
        <v>494</v>
      </c>
      <c r="G1988" s="87" t="s">
        <v>967</v>
      </c>
      <c r="H1988" s="87" t="s">
        <v>900</v>
      </c>
      <c r="I1988" s="87">
        <v>14</v>
      </c>
    </row>
    <row r="1989" spans="1:9" ht="15" customHeight="1" x14ac:dyDescent="0.25">
      <c r="A1989" s="87" t="s">
        <v>38</v>
      </c>
      <c r="B1989" s="87" t="s">
        <v>331</v>
      </c>
      <c r="C1989" s="87">
        <v>1994</v>
      </c>
      <c r="D1989" s="87" t="s">
        <v>15</v>
      </c>
      <c r="E1989" s="116">
        <v>-1</v>
      </c>
      <c r="F1989" s="87" t="s">
        <v>494</v>
      </c>
      <c r="G1989" s="87" t="s">
        <v>967</v>
      </c>
      <c r="H1989" s="87" t="s">
        <v>900</v>
      </c>
      <c r="I1989" s="87">
        <v>14</v>
      </c>
    </row>
    <row r="1990" spans="1:9" ht="15" customHeight="1" x14ac:dyDescent="0.25">
      <c r="A1990" s="87" t="s">
        <v>38</v>
      </c>
      <c r="B1990" s="87" t="s">
        <v>331</v>
      </c>
      <c r="C1990" s="87">
        <v>1995</v>
      </c>
      <c r="D1990" s="87" t="s">
        <v>15</v>
      </c>
      <c r="E1990" s="116">
        <v>346</v>
      </c>
      <c r="F1990" s="87" t="s">
        <v>967</v>
      </c>
      <c r="G1990" s="87" t="s">
        <v>332</v>
      </c>
      <c r="H1990" s="87" t="s">
        <v>967</v>
      </c>
      <c r="I1990" s="87">
        <v>14</v>
      </c>
    </row>
    <row r="1991" spans="1:9" ht="15" customHeight="1" x14ac:dyDescent="0.25">
      <c r="A1991" s="87" t="s">
        <v>38</v>
      </c>
      <c r="B1991" s="87" t="s">
        <v>331</v>
      </c>
      <c r="C1991" s="87">
        <v>1996</v>
      </c>
      <c r="D1991" s="87" t="s">
        <v>15</v>
      </c>
      <c r="E1991" s="116">
        <v>134</v>
      </c>
      <c r="F1991" s="87" t="s">
        <v>967</v>
      </c>
      <c r="G1991" s="87" t="s">
        <v>272</v>
      </c>
      <c r="H1991" s="87" t="s">
        <v>967</v>
      </c>
      <c r="I1991" s="87">
        <v>14</v>
      </c>
    </row>
    <row r="1992" spans="1:9" ht="15" customHeight="1" x14ac:dyDescent="0.25">
      <c r="A1992" s="87" t="s">
        <v>38</v>
      </c>
      <c r="B1992" s="87" t="s">
        <v>331</v>
      </c>
      <c r="C1992" s="87">
        <v>1997</v>
      </c>
      <c r="D1992" s="87" t="s">
        <v>15</v>
      </c>
      <c r="E1992" s="116">
        <v>410</v>
      </c>
      <c r="F1992" s="87" t="s">
        <v>967</v>
      </c>
      <c r="G1992" s="87" t="s">
        <v>332</v>
      </c>
      <c r="H1992" s="87" t="s">
        <v>967</v>
      </c>
      <c r="I1992" s="87">
        <v>14</v>
      </c>
    </row>
    <row r="1993" spans="1:9" ht="15" customHeight="1" x14ac:dyDescent="0.25">
      <c r="A1993" s="87" t="s">
        <v>38</v>
      </c>
      <c r="B1993" s="87" t="s">
        <v>331</v>
      </c>
      <c r="C1993" s="87">
        <v>1998</v>
      </c>
      <c r="D1993" s="87" t="s">
        <v>15</v>
      </c>
      <c r="E1993" s="116">
        <v>69</v>
      </c>
      <c r="F1993" s="87" t="s">
        <v>313</v>
      </c>
      <c r="G1993" s="87" t="s">
        <v>272</v>
      </c>
      <c r="H1993" s="87" t="s">
        <v>495</v>
      </c>
      <c r="I1993" s="87">
        <v>14</v>
      </c>
    </row>
    <row r="1994" spans="1:9" ht="15" customHeight="1" x14ac:dyDescent="0.25">
      <c r="A1994" s="87" t="s">
        <v>38</v>
      </c>
      <c r="B1994" s="87" t="s">
        <v>331</v>
      </c>
      <c r="C1994" s="87">
        <v>1999</v>
      </c>
      <c r="D1994" s="87" t="s">
        <v>15</v>
      </c>
      <c r="E1994" s="116">
        <v>22</v>
      </c>
      <c r="F1994" s="87" t="s">
        <v>967</v>
      </c>
      <c r="G1994" s="87" t="s">
        <v>272</v>
      </c>
      <c r="H1994" s="87" t="s">
        <v>967</v>
      </c>
      <c r="I1994" s="87">
        <v>14</v>
      </c>
    </row>
    <row r="1995" spans="1:9" ht="15" customHeight="1" x14ac:dyDescent="0.25">
      <c r="A1995" s="87" t="s">
        <v>38</v>
      </c>
      <c r="B1995" s="87" t="s">
        <v>331</v>
      </c>
      <c r="C1995" s="87">
        <v>2000</v>
      </c>
      <c r="D1995" s="87" t="s">
        <v>15</v>
      </c>
      <c r="E1995" s="116">
        <v>23</v>
      </c>
      <c r="F1995" s="87" t="s">
        <v>967</v>
      </c>
      <c r="G1995" s="87" t="s">
        <v>272</v>
      </c>
      <c r="H1995" s="87" t="s">
        <v>967</v>
      </c>
      <c r="I1995" s="87">
        <v>14</v>
      </c>
    </row>
    <row r="1996" spans="1:9" ht="15" customHeight="1" x14ac:dyDescent="0.25">
      <c r="A1996" s="87" t="s">
        <v>38</v>
      </c>
      <c r="B1996" s="87" t="s">
        <v>331</v>
      </c>
      <c r="C1996" s="87">
        <v>2001</v>
      </c>
      <c r="D1996" s="87" t="s">
        <v>15</v>
      </c>
      <c r="E1996" s="116">
        <v>180</v>
      </c>
      <c r="F1996" s="87" t="s">
        <v>967</v>
      </c>
      <c r="G1996" s="87" t="s">
        <v>272</v>
      </c>
      <c r="H1996" s="87" t="s">
        <v>967</v>
      </c>
      <c r="I1996" s="87">
        <v>14</v>
      </c>
    </row>
    <row r="1997" spans="1:9" ht="15" customHeight="1" x14ac:dyDescent="0.25">
      <c r="A1997" s="87" t="s">
        <v>38</v>
      </c>
      <c r="B1997" s="87" t="s">
        <v>331</v>
      </c>
      <c r="C1997" s="87">
        <v>2002</v>
      </c>
      <c r="D1997" s="87" t="s">
        <v>15</v>
      </c>
      <c r="E1997" s="116">
        <v>32</v>
      </c>
      <c r="F1997" s="87" t="s">
        <v>313</v>
      </c>
      <c r="G1997" s="87" t="s">
        <v>272</v>
      </c>
      <c r="H1997" s="87" t="s">
        <v>313</v>
      </c>
      <c r="I1997" s="87">
        <v>14</v>
      </c>
    </row>
    <row r="1998" spans="1:9" ht="15" customHeight="1" x14ac:dyDescent="0.25">
      <c r="A1998" s="87" t="s">
        <v>38</v>
      </c>
      <c r="B1998" s="87" t="s">
        <v>331</v>
      </c>
      <c r="C1998" s="87">
        <v>2003</v>
      </c>
      <c r="D1998" s="87" t="s">
        <v>15</v>
      </c>
      <c r="E1998" s="116">
        <v>6</v>
      </c>
      <c r="F1998" s="87" t="s">
        <v>967</v>
      </c>
      <c r="G1998" s="87" t="s">
        <v>272</v>
      </c>
      <c r="H1998" s="87" t="s">
        <v>967</v>
      </c>
      <c r="I1998" s="87">
        <v>14</v>
      </c>
    </row>
    <row r="1999" spans="1:9" ht="15" customHeight="1" x14ac:dyDescent="0.25">
      <c r="A1999" s="87" t="s">
        <v>38</v>
      </c>
      <c r="B1999" s="87" t="s">
        <v>331</v>
      </c>
      <c r="C1999" s="87">
        <v>2004</v>
      </c>
      <c r="D1999" s="87" t="s">
        <v>15</v>
      </c>
      <c r="E1999" s="116">
        <v>52</v>
      </c>
      <c r="F1999" s="87" t="s">
        <v>967</v>
      </c>
      <c r="G1999" s="87" t="s">
        <v>272</v>
      </c>
      <c r="H1999" s="87" t="s">
        <v>967</v>
      </c>
      <c r="I1999" s="87">
        <v>14</v>
      </c>
    </row>
    <row r="2000" spans="1:9" ht="15" customHeight="1" x14ac:dyDescent="0.25">
      <c r="A2000" s="87" t="s">
        <v>38</v>
      </c>
      <c r="B2000" s="87" t="s">
        <v>331</v>
      </c>
      <c r="C2000" s="87">
        <v>2005</v>
      </c>
      <c r="D2000" s="87" t="s">
        <v>15</v>
      </c>
      <c r="E2000" s="116">
        <v>52</v>
      </c>
      <c r="F2000" s="87" t="s">
        <v>313</v>
      </c>
      <c r="G2000" s="87" t="s">
        <v>272</v>
      </c>
      <c r="H2000" s="87" t="s">
        <v>496</v>
      </c>
      <c r="I2000" s="87">
        <v>14</v>
      </c>
    </row>
    <row r="2001" spans="1:9" ht="15" customHeight="1" x14ac:dyDescent="0.25">
      <c r="A2001" s="87" t="s">
        <v>38</v>
      </c>
      <c r="B2001" s="87" t="s">
        <v>331</v>
      </c>
      <c r="C2001" s="87">
        <v>2006</v>
      </c>
      <c r="D2001" s="87" t="s">
        <v>15</v>
      </c>
      <c r="E2001" s="116">
        <v>45</v>
      </c>
      <c r="F2001" s="87" t="s">
        <v>967</v>
      </c>
      <c r="G2001" s="87" t="s">
        <v>272</v>
      </c>
      <c r="H2001" s="87" t="s">
        <v>967</v>
      </c>
      <c r="I2001" s="87">
        <v>14</v>
      </c>
    </row>
    <row r="2002" spans="1:9" ht="15" customHeight="1" x14ac:dyDescent="0.25">
      <c r="A2002" s="87" t="s">
        <v>38</v>
      </c>
      <c r="B2002" s="87" t="s">
        <v>331</v>
      </c>
      <c r="C2002" s="87">
        <v>2007</v>
      </c>
      <c r="D2002" s="87" t="s">
        <v>15</v>
      </c>
      <c r="E2002" s="116">
        <v>9</v>
      </c>
      <c r="F2002" s="87" t="s">
        <v>967</v>
      </c>
      <c r="G2002" s="87" t="s">
        <v>272</v>
      </c>
      <c r="H2002" s="87" t="s">
        <v>967</v>
      </c>
      <c r="I2002" s="87">
        <v>14</v>
      </c>
    </row>
    <row r="2003" spans="1:9" ht="15" customHeight="1" x14ac:dyDescent="0.25">
      <c r="A2003" s="87" t="s">
        <v>38</v>
      </c>
      <c r="B2003" s="87" t="s">
        <v>331</v>
      </c>
      <c r="C2003" s="87">
        <v>2008</v>
      </c>
      <c r="D2003" s="87" t="s">
        <v>15</v>
      </c>
      <c r="E2003" s="116">
        <v>71</v>
      </c>
      <c r="F2003" s="87" t="s">
        <v>967</v>
      </c>
      <c r="G2003" s="87" t="s">
        <v>272</v>
      </c>
      <c r="H2003" s="87" t="s">
        <v>967</v>
      </c>
      <c r="I2003" s="87">
        <v>14</v>
      </c>
    </row>
    <row r="2004" spans="1:9" ht="15" customHeight="1" x14ac:dyDescent="0.25">
      <c r="A2004" s="87" t="s">
        <v>38</v>
      </c>
      <c r="B2004" s="87" t="s">
        <v>331</v>
      </c>
      <c r="C2004" s="87">
        <v>2009</v>
      </c>
      <c r="D2004" s="87" t="s">
        <v>15</v>
      </c>
      <c r="E2004" s="116">
        <v>74</v>
      </c>
      <c r="F2004" s="87" t="s">
        <v>967</v>
      </c>
      <c r="G2004" s="87" t="s">
        <v>272</v>
      </c>
      <c r="H2004" s="87" t="s">
        <v>967</v>
      </c>
      <c r="I2004" s="87">
        <v>14</v>
      </c>
    </row>
    <row r="2005" spans="1:9" ht="15" customHeight="1" x14ac:dyDescent="0.25">
      <c r="A2005" s="87" t="s">
        <v>38</v>
      </c>
      <c r="B2005" s="87" t="s">
        <v>331</v>
      </c>
      <c r="C2005" s="87">
        <v>2010</v>
      </c>
      <c r="D2005" s="87" t="s">
        <v>15</v>
      </c>
      <c r="E2005" s="116">
        <v>14</v>
      </c>
      <c r="F2005" s="87" t="s">
        <v>967</v>
      </c>
      <c r="G2005" s="87" t="s">
        <v>272</v>
      </c>
      <c r="H2005" s="87" t="s">
        <v>497</v>
      </c>
      <c r="I2005" s="87">
        <v>14</v>
      </c>
    </row>
    <row r="2006" spans="1:9" ht="15" customHeight="1" x14ac:dyDescent="0.25">
      <c r="A2006" s="87" t="s">
        <v>38</v>
      </c>
      <c r="B2006" s="87" t="s">
        <v>331</v>
      </c>
      <c r="C2006" s="87">
        <v>2011</v>
      </c>
      <c r="D2006" s="87" t="s">
        <v>15</v>
      </c>
      <c r="E2006" s="116">
        <v>42</v>
      </c>
      <c r="F2006" s="87" t="s">
        <v>967</v>
      </c>
      <c r="G2006" s="87" t="s">
        <v>272</v>
      </c>
      <c r="H2006" s="87" t="s">
        <v>967</v>
      </c>
      <c r="I2006" s="87">
        <v>14</v>
      </c>
    </row>
    <row r="2007" spans="1:9" ht="15" customHeight="1" x14ac:dyDescent="0.25">
      <c r="A2007" s="87" t="s">
        <v>38</v>
      </c>
      <c r="B2007" s="87" t="s">
        <v>331</v>
      </c>
      <c r="C2007" s="87">
        <v>2012</v>
      </c>
      <c r="D2007" s="87" t="s">
        <v>15</v>
      </c>
      <c r="E2007" s="116">
        <v>54</v>
      </c>
      <c r="F2007" s="87" t="s">
        <v>967</v>
      </c>
      <c r="G2007" s="87" t="s">
        <v>272</v>
      </c>
      <c r="H2007" s="87" t="s">
        <v>967</v>
      </c>
      <c r="I2007" s="87">
        <v>14</v>
      </c>
    </row>
    <row r="2008" spans="1:9" ht="15" customHeight="1" x14ac:dyDescent="0.25">
      <c r="A2008" s="87" t="s">
        <v>38</v>
      </c>
      <c r="B2008" s="87" t="s">
        <v>331</v>
      </c>
      <c r="C2008" s="87">
        <v>2013</v>
      </c>
      <c r="D2008" s="87" t="s">
        <v>15</v>
      </c>
      <c r="E2008" s="116">
        <v>98</v>
      </c>
      <c r="F2008" s="87" t="s">
        <v>967</v>
      </c>
      <c r="G2008" s="87" t="s">
        <v>272</v>
      </c>
      <c r="H2008" s="87" t="s">
        <v>967</v>
      </c>
      <c r="I2008" s="87">
        <v>14</v>
      </c>
    </row>
    <row r="2009" spans="1:9" ht="15" customHeight="1" x14ac:dyDescent="0.25">
      <c r="A2009" s="87" t="s">
        <v>38</v>
      </c>
      <c r="B2009" s="87" t="s">
        <v>331</v>
      </c>
      <c r="C2009" s="87">
        <v>2014</v>
      </c>
      <c r="D2009" s="87" t="s">
        <v>15</v>
      </c>
      <c r="E2009" s="116">
        <v>125</v>
      </c>
      <c r="F2009" s="87" t="s">
        <v>967</v>
      </c>
      <c r="G2009" s="87" t="s">
        <v>272</v>
      </c>
      <c r="H2009" s="87" t="s">
        <v>967</v>
      </c>
      <c r="I2009" s="87">
        <v>14</v>
      </c>
    </row>
    <row r="2010" spans="1:9" ht="15" customHeight="1" x14ac:dyDescent="0.25">
      <c r="A2010" s="87" t="s">
        <v>38</v>
      </c>
      <c r="B2010" s="87" t="s">
        <v>331</v>
      </c>
      <c r="C2010" s="87">
        <v>2015</v>
      </c>
      <c r="D2010" s="87" t="s">
        <v>15</v>
      </c>
      <c r="E2010" s="116">
        <v>85</v>
      </c>
      <c r="F2010" s="87" t="s">
        <v>967</v>
      </c>
      <c r="G2010" s="87" t="s">
        <v>272</v>
      </c>
      <c r="H2010" s="87" t="s">
        <v>498</v>
      </c>
      <c r="I2010" s="87">
        <v>14</v>
      </c>
    </row>
    <row r="2011" spans="1:9" ht="15" customHeight="1" x14ac:dyDescent="0.25">
      <c r="A2011" s="87" t="s">
        <v>38</v>
      </c>
      <c r="B2011" s="87" t="s">
        <v>331</v>
      </c>
      <c r="C2011" s="87">
        <v>2016</v>
      </c>
      <c r="D2011" s="87" t="s">
        <v>15</v>
      </c>
      <c r="E2011" s="116">
        <v>35</v>
      </c>
      <c r="F2011" s="87" t="s">
        <v>967</v>
      </c>
      <c r="G2011" s="87" t="s">
        <v>272</v>
      </c>
      <c r="H2011" s="87" t="s">
        <v>499</v>
      </c>
      <c r="I2011" s="87">
        <v>14</v>
      </c>
    </row>
    <row r="2012" spans="1:9" ht="15" customHeight="1" x14ac:dyDescent="0.25">
      <c r="A2012" s="87" t="s">
        <v>38</v>
      </c>
      <c r="B2012" s="87" t="s">
        <v>331</v>
      </c>
      <c r="C2012" s="87">
        <v>2017</v>
      </c>
      <c r="D2012" s="87" t="s">
        <v>15</v>
      </c>
      <c r="E2012" s="116">
        <v>25</v>
      </c>
      <c r="F2012" s="87" t="s">
        <v>967</v>
      </c>
      <c r="G2012" s="87" t="s">
        <v>272</v>
      </c>
      <c r="H2012" s="87" t="s">
        <v>967</v>
      </c>
      <c r="I2012" s="87">
        <v>14</v>
      </c>
    </row>
    <row r="2013" spans="1:9" ht="15" customHeight="1" x14ac:dyDescent="0.25">
      <c r="A2013" s="87" t="s">
        <v>38</v>
      </c>
      <c r="B2013" s="87" t="s">
        <v>331</v>
      </c>
      <c r="C2013" s="87">
        <v>2018</v>
      </c>
      <c r="D2013" s="87" t="s">
        <v>15</v>
      </c>
      <c r="E2013" s="116">
        <v>46</v>
      </c>
      <c r="F2013" s="87" t="s">
        <v>967</v>
      </c>
      <c r="G2013" s="87" t="s">
        <v>272</v>
      </c>
      <c r="H2013" s="87" t="s">
        <v>967</v>
      </c>
      <c r="I2013" s="87">
        <v>14</v>
      </c>
    </row>
    <row r="2014" spans="1:9" ht="15" customHeight="1" x14ac:dyDescent="0.25">
      <c r="A2014" s="87" t="s">
        <v>38</v>
      </c>
      <c r="B2014" s="87" t="s">
        <v>331</v>
      </c>
      <c r="C2014" s="87">
        <v>2019</v>
      </c>
      <c r="D2014" s="87" t="s">
        <v>15</v>
      </c>
      <c r="E2014" s="116">
        <v>12</v>
      </c>
      <c r="F2014" s="87" t="s">
        <v>967</v>
      </c>
      <c r="G2014" s="87" t="s">
        <v>272</v>
      </c>
      <c r="H2014" s="87" t="s">
        <v>967</v>
      </c>
      <c r="I2014" s="87">
        <v>14</v>
      </c>
    </row>
    <row r="2015" spans="1:9" ht="15" customHeight="1" x14ac:dyDescent="0.25">
      <c r="A2015" s="87" t="s">
        <v>38</v>
      </c>
      <c r="B2015" s="87" t="s">
        <v>331</v>
      </c>
      <c r="C2015" s="87">
        <v>2020</v>
      </c>
      <c r="D2015" s="87" t="s">
        <v>15</v>
      </c>
      <c r="E2015" s="116">
        <v>48</v>
      </c>
      <c r="F2015" s="87" t="s">
        <v>967</v>
      </c>
      <c r="G2015" s="87" t="s">
        <v>272</v>
      </c>
      <c r="H2015" s="87" t="s">
        <v>967</v>
      </c>
      <c r="I2015" s="87">
        <v>14</v>
      </c>
    </row>
    <row r="2016" spans="1:9" ht="15" customHeight="1" x14ac:dyDescent="0.25">
      <c r="A2016" s="87" t="s">
        <v>38</v>
      </c>
      <c r="B2016" s="87" t="s">
        <v>331</v>
      </c>
      <c r="C2016" s="87">
        <v>2021</v>
      </c>
      <c r="D2016" s="87" t="s">
        <v>15</v>
      </c>
      <c r="E2016" s="116">
        <v>17</v>
      </c>
      <c r="F2016" s="87" t="s">
        <v>967</v>
      </c>
      <c r="G2016" s="87" t="s">
        <v>272</v>
      </c>
      <c r="H2016" s="87" t="s">
        <v>967</v>
      </c>
      <c r="I2016" s="87">
        <v>14</v>
      </c>
    </row>
    <row r="2017" spans="1:9" ht="15" customHeight="1" x14ac:dyDescent="0.25">
      <c r="A2017" s="87" t="s">
        <v>38</v>
      </c>
      <c r="B2017" s="87" t="s">
        <v>331</v>
      </c>
      <c r="C2017" s="87">
        <v>2022</v>
      </c>
      <c r="D2017" s="87" t="s">
        <v>15</v>
      </c>
      <c r="E2017" s="116">
        <v>54</v>
      </c>
      <c r="F2017" s="87" t="s">
        <v>967</v>
      </c>
      <c r="G2017" s="87" t="s">
        <v>272</v>
      </c>
      <c r="H2017" s="87" t="s">
        <v>967</v>
      </c>
      <c r="I2017" s="87">
        <v>14</v>
      </c>
    </row>
    <row r="2018" spans="1:9" ht="15" customHeight="1" x14ac:dyDescent="0.25">
      <c r="A2018" s="87" t="s">
        <v>38</v>
      </c>
      <c r="B2018" s="87" t="s">
        <v>218</v>
      </c>
      <c r="C2018" s="87">
        <v>1975</v>
      </c>
      <c r="D2018" s="87" t="s">
        <v>15</v>
      </c>
      <c r="E2018" s="116">
        <v>1200</v>
      </c>
      <c r="F2018" s="87" t="s">
        <v>537</v>
      </c>
      <c r="G2018" s="87" t="s">
        <v>332</v>
      </c>
      <c r="H2018" s="87" t="s">
        <v>537</v>
      </c>
      <c r="I2018" s="87">
        <v>14</v>
      </c>
    </row>
    <row r="2019" spans="1:9" ht="15" customHeight="1" x14ac:dyDescent="0.25">
      <c r="A2019" s="87" t="s">
        <v>38</v>
      </c>
      <c r="B2019" s="87" t="s">
        <v>218</v>
      </c>
      <c r="C2019" s="87">
        <v>1976</v>
      </c>
      <c r="D2019" s="87" t="s">
        <v>15</v>
      </c>
      <c r="E2019" s="116">
        <v>800</v>
      </c>
      <c r="F2019" s="87" t="s">
        <v>537</v>
      </c>
      <c r="G2019" s="87" t="s">
        <v>332</v>
      </c>
      <c r="H2019" s="87" t="s">
        <v>537</v>
      </c>
      <c r="I2019" s="87">
        <v>14</v>
      </c>
    </row>
    <row r="2020" spans="1:9" ht="15" customHeight="1" x14ac:dyDescent="0.25">
      <c r="A2020" s="87" t="s">
        <v>38</v>
      </c>
      <c r="B2020" s="87" t="s">
        <v>218</v>
      </c>
      <c r="C2020" s="87">
        <v>1977</v>
      </c>
      <c r="D2020" s="87" t="s">
        <v>15</v>
      </c>
      <c r="E2020" s="116">
        <v>950</v>
      </c>
      <c r="F2020" s="87" t="s">
        <v>537</v>
      </c>
      <c r="G2020" s="87" t="s">
        <v>332</v>
      </c>
      <c r="H2020" s="87" t="s">
        <v>537</v>
      </c>
      <c r="I2020" s="87">
        <v>14</v>
      </c>
    </row>
    <row r="2021" spans="1:9" ht="15" customHeight="1" x14ac:dyDescent="0.25">
      <c r="A2021" s="87" t="s">
        <v>38</v>
      </c>
      <c r="B2021" s="87" t="s">
        <v>218</v>
      </c>
      <c r="C2021" s="87">
        <v>1978</v>
      </c>
      <c r="D2021" s="87" t="s">
        <v>15</v>
      </c>
      <c r="E2021" s="116">
        <v>2000</v>
      </c>
      <c r="F2021" s="87" t="s">
        <v>537</v>
      </c>
      <c r="G2021" s="87" t="s">
        <v>332</v>
      </c>
      <c r="H2021" s="87" t="s">
        <v>537</v>
      </c>
      <c r="I2021" s="87">
        <v>14</v>
      </c>
    </row>
    <row r="2022" spans="1:9" ht="15" customHeight="1" x14ac:dyDescent="0.25">
      <c r="A2022" s="87" t="s">
        <v>38</v>
      </c>
      <c r="B2022" s="87" t="s">
        <v>218</v>
      </c>
      <c r="C2022" s="87">
        <v>1979</v>
      </c>
      <c r="D2022" s="87" t="s">
        <v>15</v>
      </c>
      <c r="E2022" s="116">
        <v>1350</v>
      </c>
      <c r="F2022" s="87" t="s">
        <v>537</v>
      </c>
      <c r="G2022" s="87" t="s">
        <v>332</v>
      </c>
      <c r="H2022" s="87" t="s">
        <v>537</v>
      </c>
      <c r="I2022" s="87">
        <v>14</v>
      </c>
    </row>
    <row r="2023" spans="1:9" ht="15" customHeight="1" x14ac:dyDescent="0.25">
      <c r="A2023" s="87" t="s">
        <v>38</v>
      </c>
      <c r="B2023" s="87" t="s">
        <v>218</v>
      </c>
      <c r="C2023" s="87">
        <v>1980</v>
      </c>
      <c r="D2023" s="87" t="s">
        <v>15</v>
      </c>
      <c r="E2023" s="116">
        <v>2000</v>
      </c>
      <c r="F2023" s="87" t="s">
        <v>537</v>
      </c>
      <c r="G2023" s="87" t="s">
        <v>332</v>
      </c>
      <c r="H2023" s="87" t="s">
        <v>537</v>
      </c>
      <c r="I2023" s="87">
        <v>14</v>
      </c>
    </row>
    <row r="2024" spans="1:9" ht="15" customHeight="1" x14ac:dyDescent="0.25">
      <c r="A2024" s="87" t="s">
        <v>38</v>
      </c>
      <c r="B2024" s="87" t="s">
        <v>218</v>
      </c>
      <c r="C2024" s="87">
        <v>1981</v>
      </c>
      <c r="D2024" s="87" t="s">
        <v>15</v>
      </c>
      <c r="E2024" s="116">
        <v>1260</v>
      </c>
      <c r="F2024" s="87" t="s">
        <v>537</v>
      </c>
      <c r="G2024" s="87" t="s">
        <v>332</v>
      </c>
      <c r="H2024" s="87" t="s">
        <v>537</v>
      </c>
      <c r="I2024" s="87">
        <v>14</v>
      </c>
    </row>
    <row r="2025" spans="1:9" ht="15" customHeight="1" x14ac:dyDescent="0.25">
      <c r="A2025" s="87" t="s">
        <v>38</v>
      </c>
      <c r="B2025" s="87" t="s">
        <v>218</v>
      </c>
      <c r="C2025" s="87">
        <v>1982</v>
      </c>
      <c r="D2025" s="87" t="s">
        <v>15</v>
      </c>
      <c r="E2025" s="116">
        <v>1400</v>
      </c>
      <c r="F2025" s="87" t="s">
        <v>537</v>
      </c>
      <c r="G2025" s="87" t="s">
        <v>332</v>
      </c>
      <c r="H2025" s="87" t="s">
        <v>537</v>
      </c>
      <c r="I2025" s="87">
        <v>14</v>
      </c>
    </row>
    <row r="2026" spans="1:9" ht="15" customHeight="1" x14ac:dyDescent="0.25">
      <c r="A2026" s="87" t="s">
        <v>38</v>
      </c>
      <c r="B2026" s="87" t="s">
        <v>218</v>
      </c>
      <c r="C2026" s="87">
        <v>1983</v>
      </c>
      <c r="D2026" s="87" t="s">
        <v>15</v>
      </c>
      <c r="E2026" s="116">
        <v>4300</v>
      </c>
      <c r="F2026" s="87" t="s">
        <v>537</v>
      </c>
      <c r="G2026" s="87" t="s">
        <v>332</v>
      </c>
      <c r="H2026" s="87" t="s">
        <v>537</v>
      </c>
      <c r="I2026" s="87">
        <v>14</v>
      </c>
    </row>
    <row r="2027" spans="1:9" ht="15" customHeight="1" x14ac:dyDescent="0.25">
      <c r="A2027" s="87" t="s">
        <v>38</v>
      </c>
      <c r="B2027" s="87" t="s">
        <v>218</v>
      </c>
      <c r="C2027" s="87">
        <v>1984</v>
      </c>
      <c r="D2027" s="87" t="s">
        <v>15</v>
      </c>
      <c r="E2027" s="116">
        <v>4922</v>
      </c>
      <c r="F2027" s="87" t="s">
        <v>537</v>
      </c>
      <c r="G2027" s="87" t="s">
        <v>289</v>
      </c>
      <c r="H2027" s="87" t="s">
        <v>537</v>
      </c>
      <c r="I2027" s="87">
        <v>14</v>
      </c>
    </row>
    <row r="2028" spans="1:9" ht="15" customHeight="1" x14ac:dyDescent="0.25">
      <c r="A2028" s="87" t="s">
        <v>38</v>
      </c>
      <c r="B2028" s="87" t="s">
        <v>218</v>
      </c>
      <c r="C2028" s="87">
        <v>1985</v>
      </c>
      <c r="D2028" s="87" t="s">
        <v>15</v>
      </c>
      <c r="E2028" s="116">
        <v>7196</v>
      </c>
      <c r="F2028" s="87" t="s">
        <v>537</v>
      </c>
      <c r="G2028" s="87" t="s">
        <v>332</v>
      </c>
      <c r="H2028" s="87" t="s">
        <v>537</v>
      </c>
      <c r="I2028" s="87">
        <v>14</v>
      </c>
    </row>
    <row r="2029" spans="1:9" ht="15" customHeight="1" x14ac:dyDescent="0.25">
      <c r="A2029" s="87" t="s">
        <v>38</v>
      </c>
      <c r="B2029" s="87" t="s">
        <v>218</v>
      </c>
      <c r="C2029" s="87">
        <v>1986</v>
      </c>
      <c r="D2029" s="87" t="s">
        <v>15</v>
      </c>
      <c r="E2029" s="116">
        <v>10150</v>
      </c>
      <c r="F2029" s="87" t="s">
        <v>537</v>
      </c>
      <c r="G2029" s="87" t="s">
        <v>332</v>
      </c>
      <c r="H2029" s="87" t="s">
        <v>537</v>
      </c>
      <c r="I2029" s="87">
        <v>14</v>
      </c>
    </row>
    <row r="2030" spans="1:9" ht="15" customHeight="1" x14ac:dyDescent="0.25">
      <c r="A2030" s="87" t="s">
        <v>38</v>
      </c>
      <c r="B2030" s="87" t="s">
        <v>218</v>
      </c>
      <c r="C2030" s="87">
        <v>1987</v>
      </c>
      <c r="D2030" s="87" t="s">
        <v>15</v>
      </c>
      <c r="E2030" s="116">
        <v>11676</v>
      </c>
      <c r="F2030" s="87" t="s">
        <v>537</v>
      </c>
      <c r="G2030" s="87" t="s">
        <v>332</v>
      </c>
      <c r="H2030" s="87" t="s">
        <v>537</v>
      </c>
      <c r="I2030" s="87">
        <v>14</v>
      </c>
    </row>
    <row r="2031" spans="1:9" ht="15" customHeight="1" x14ac:dyDescent="0.25">
      <c r="A2031" s="87" t="s">
        <v>38</v>
      </c>
      <c r="B2031" s="87" t="s">
        <v>218</v>
      </c>
      <c r="C2031" s="87">
        <v>1988</v>
      </c>
      <c r="D2031" s="87" t="s">
        <v>15</v>
      </c>
      <c r="E2031" s="116">
        <v>5908</v>
      </c>
      <c r="F2031" s="87" t="s">
        <v>537</v>
      </c>
      <c r="G2031" s="87" t="s">
        <v>332</v>
      </c>
      <c r="H2031" s="87" t="s">
        <v>537</v>
      </c>
      <c r="I2031" s="87">
        <v>14</v>
      </c>
    </row>
    <row r="2032" spans="1:9" ht="15" customHeight="1" x14ac:dyDescent="0.25">
      <c r="A2032" s="87" t="s">
        <v>38</v>
      </c>
      <c r="B2032" s="87" t="s">
        <v>218</v>
      </c>
      <c r="C2032" s="87">
        <v>1989</v>
      </c>
      <c r="D2032" s="87" t="s">
        <v>15</v>
      </c>
      <c r="E2032" s="116">
        <v>6000</v>
      </c>
      <c r="F2032" s="87" t="s">
        <v>537</v>
      </c>
      <c r="G2032" s="87" t="s">
        <v>332</v>
      </c>
      <c r="H2032" s="87" t="s">
        <v>537</v>
      </c>
      <c r="I2032" s="87">
        <v>14</v>
      </c>
    </row>
    <row r="2033" spans="1:9" ht="15" customHeight="1" x14ac:dyDescent="0.25">
      <c r="A2033" s="87" t="s">
        <v>38</v>
      </c>
      <c r="B2033" s="87" t="s">
        <v>218</v>
      </c>
      <c r="C2033" s="87">
        <v>1990</v>
      </c>
      <c r="D2033" s="87" t="s">
        <v>15</v>
      </c>
      <c r="E2033" s="116">
        <v>6500</v>
      </c>
      <c r="F2033" s="87" t="s">
        <v>537</v>
      </c>
      <c r="G2033" s="87" t="s">
        <v>332</v>
      </c>
      <c r="H2033" s="87" t="s">
        <v>537</v>
      </c>
      <c r="I2033" s="87">
        <v>14</v>
      </c>
    </row>
    <row r="2034" spans="1:9" ht="15" customHeight="1" x14ac:dyDescent="0.25">
      <c r="A2034" s="87" t="s">
        <v>38</v>
      </c>
      <c r="B2034" s="87" t="s">
        <v>218</v>
      </c>
      <c r="C2034" s="87">
        <v>1991</v>
      </c>
      <c r="D2034" s="87" t="s">
        <v>15</v>
      </c>
      <c r="E2034" s="116">
        <v>4200</v>
      </c>
      <c r="F2034" s="87" t="s">
        <v>537</v>
      </c>
      <c r="G2034" s="87" t="s">
        <v>332</v>
      </c>
      <c r="H2034" s="87" t="s">
        <v>537</v>
      </c>
      <c r="I2034" s="87">
        <v>14</v>
      </c>
    </row>
    <row r="2035" spans="1:9" ht="15" customHeight="1" x14ac:dyDescent="0.25">
      <c r="A2035" s="87" t="s">
        <v>38</v>
      </c>
      <c r="B2035" s="87" t="s">
        <v>218</v>
      </c>
      <c r="C2035" s="87">
        <v>1992</v>
      </c>
      <c r="D2035" s="87" t="s">
        <v>15</v>
      </c>
      <c r="E2035" s="116">
        <v>4670</v>
      </c>
      <c r="F2035" s="87" t="s">
        <v>537</v>
      </c>
      <c r="G2035" s="87" t="s">
        <v>332</v>
      </c>
      <c r="H2035" s="87" t="s">
        <v>537</v>
      </c>
      <c r="I2035" s="87">
        <v>14</v>
      </c>
    </row>
    <row r="2036" spans="1:9" ht="15" customHeight="1" x14ac:dyDescent="0.25">
      <c r="A2036" s="87" t="s">
        <v>38</v>
      </c>
      <c r="B2036" s="87" t="s">
        <v>218</v>
      </c>
      <c r="C2036" s="87">
        <v>1993</v>
      </c>
      <c r="D2036" s="87" t="s">
        <v>15</v>
      </c>
      <c r="E2036" s="116">
        <v>6140</v>
      </c>
      <c r="F2036" s="87" t="s">
        <v>537</v>
      </c>
      <c r="G2036" s="87" t="s">
        <v>332</v>
      </c>
      <c r="H2036" s="87" t="s">
        <v>537</v>
      </c>
      <c r="I2036" s="87">
        <v>14</v>
      </c>
    </row>
    <row r="2037" spans="1:9" ht="15" customHeight="1" x14ac:dyDescent="0.25">
      <c r="A2037" s="87" t="s">
        <v>38</v>
      </c>
      <c r="B2037" s="87" t="s">
        <v>218</v>
      </c>
      <c r="C2037" s="87">
        <v>1994</v>
      </c>
      <c r="D2037" s="87" t="s">
        <v>15</v>
      </c>
      <c r="E2037" s="116">
        <v>9104</v>
      </c>
      <c r="F2037" s="87" t="s">
        <v>537</v>
      </c>
      <c r="G2037" s="87" t="s">
        <v>332</v>
      </c>
      <c r="H2037" s="87" t="s">
        <v>537</v>
      </c>
      <c r="I2037" s="87">
        <v>14</v>
      </c>
    </row>
    <row r="2038" spans="1:9" ht="15" customHeight="1" x14ac:dyDescent="0.25">
      <c r="A2038" s="87" t="s">
        <v>38</v>
      </c>
      <c r="B2038" s="87" t="s">
        <v>218</v>
      </c>
      <c r="C2038" s="87">
        <v>1995</v>
      </c>
      <c r="D2038" s="87" t="s">
        <v>15</v>
      </c>
      <c r="E2038" s="116">
        <v>6834</v>
      </c>
      <c r="F2038" s="87" t="s">
        <v>537</v>
      </c>
      <c r="G2038" s="87" t="s">
        <v>967</v>
      </c>
      <c r="H2038" s="87" t="s">
        <v>537</v>
      </c>
      <c r="I2038" s="87">
        <v>14</v>
      </c>
    </row>
    <row r="2039" spans="1:9" ht="15" customHeight="1" x14ac:dyDescent="0.25">
      <c r="A2039" s="87" t="s">
        <v>38</v>
      </c>
      <c r="B2039" s="87" t="s">
        <v>218</v>
      </c>
      <c r="C2039" s="87">
        <v>1996</v>
      </c>
      <c r="D2039" s="87" t="s">
        <v>15</v>
      </c>
      <c r="E2039" s="116">
        <v>2769</v>
      </c>
      <c r="F2039" s="87" t="s">
        <v>537</v>
      </c>
      <c r="G2039" s="87" t="s">
        <v>967</v>
      </c>
      <c r="H2039" s="87" t="s">
        <v>537</v>
      </c>
      <c r="I2039" s="87">
        <v>14</v>
      </c>
    </row>
    <row r="2040" spans="1:9" ht="15" customHeight="1" x14ac:dyDescent="0.25">
      <c r="A2040" s="87" t="s">
        <v>38</v>
      </c>
      <c r="B2040" s="87" t="s">
        <v>218</v>
      </c>
      <c r="C2040" s="87">
        <v>1997</v>
      </c>
      <c r="D2040" s="87" t="s">
        <v>15</v>
      </c>
      <c r="E2040" s="116">
        <v>5419</v>
      </c>
      <c r="F2040" s="87" t="s">
        <v>537</v>
      </c>
      <c r="G2040" s="87" t="s">
        <v>967</v>
      </c>
      <c r="H2040" s="87" t="s">
        <v>537</v>
      </c>
      <c r="I2040" s="87">
        <v>14</v>
      </c>
    </row>
    <row r="2041" spans="1:9" ht="15" customHeight="1" x14ac:dyDescent="0.25">
      <c r="A2041" s="87" t="s">
        <v>38</v>
      </c>
      <c r="B2041" s="87" t="s">
        <v>218</v>
      </c>
      <c r="C2041" s="87">
        <v>1998</v>
      </c>
      <c r="D2041" s="87" t="s">
        <v>15</v>
      </c>
      <c r="E2041" s="116">
        <v>6100</v>
      </c>
      <c r="F2041" s="87" t="s">
        <v>967</v>
      </c>
      <c r="G2041" s="87" t="s">
        <v>272</v>
      </c>
      <c r="H2041" s="87" t="s">
        <v>967</v>
      </c>
      <c r="I2041" s="87">
        <v>14</v>
      </c>
    </row>
    <row r="2042" spans="1:9" ht="15" customHeight="1" x14ac:dyDescent="0.25">
      <c r="A2042" s="87" t="s">
        <v>38</v>
      </c>
      <c r="B2042" s="87" t="s">
        <v>218</v>
      </c>
      <c r="C2042" s="87">
        <v>1999</v>
      </c>
      <c r="D2042" s="87" t="s">
        <v>15</v>
      </c>
      <c r="E2042" s="116">
        <v>3030</v>
      </c>
      <c r="F2042" s="87" t="s">
        <v>313</v>
      </c>
      <c r="G2042" s="87" t="s">
        <v>272</v>
      </c>
      <c r="H2042" s="87" t="s">
        <v>313</v>
      </c>
      <c r="I2042" s="87">
        <v>14</v>
      </c>
    </row>
    <row r="2043" spans="1:9" ht="15" customHeight="1" x14ac:dyDescent="0.25">
      <c r="A2043" s="87" t="s">
        <v>38</v>
      </c>
      <c r="B2043" s="87" t="s">
        <v>218</v>
      </c>
      <c r="C2043" s="87">
        <v>2000</v>
      </c>
      <c r="D2043" s="87" t="s">
        <v>15</v>
      </c>
      <c r="E2043" s="116">
        <v>1964</v>
      </c>
      <c r="F2043" s="87" t="s">
        <v>333</v>
      </c>
      <c r="G2043" s="87" t="s">
        <v>272</v>
      </c>
      <c r="H2043" s="87" t="s">
        <v>333</v>
      </c>
      <c r="I2043" s="87">
        <v>14</v>
      </c>
    </row>
    <row r="2044" spans="1:9" ht="15" customHeight="1" x14ac:dyDescent="0.25">
      <c r="A2044" s="87" t="s">
        <v>38</v>
      </c>
      <c r="B2044" s="87" t="s">
        <v>218</v>
      </c>
      <c r="C2044" s="87">
        <v>2001</v>
      </c>
      <c r="D2044" s="87" t="s">
        <v>15</v>
      </c>
      <c r="E2044" s="116">
        <v>4363</v>
      </c>
      <c r="F2044" s="87" t="s">
        <v>967</v>
      </c>
      <c r="G2044" s="87" t="s">
        <v>272</v>
      </c>
      <c r="H2044" s="87" t="s">
        <v>967</v>
      </c>
      <c r="I2044" s="87">
        <v>14</v>
      </c>
    </row>
    <row r="2045" spans="1:9" ht="15" customHeight="1" x14ac:dyDescent="0.25">
      <c r="A2045" s="87" t="s">
        <v>38</v>
      </c>
      <c r="B2045" s="87" t="s">
        <v>218</v>
      </c>
      <c r="C2045" s="87">
        <v>2002</v>
      </c>
      <c r="D2045" s="87" t="s">
        <v>15</v>
      </c>
      <c r="E2045" s="116">
        <v>6207</v>
      </c>
      <c r="F2045" s="87" t="s">
        <v>967</v>
      </c>
      <c r="G2045" s="87" t="s">
        <v>272</v>
      </c>
      <c r="H2045" s="87" t="s">
        <v>967</v>
      </c>
      <c r="I2045" s="87">
        <v>14</v>
      </c>
    </row>
    <row r="2046" spans="1:9" ht="15" customHeight="1" x14ac:dyDescent="0.25">
      <c r="A2046" s="87" t="s">
        <v>38</v>
      </c>
      <c r="B2046" s="87" t="s">
        <v>218</v>
      </c>
      <c r="C2046" s="87">
        <v>2003</v>
      </c>
      <c r="D2046" s="87" t="s">
        <v>15</v>
      </c>
      <c r="E2046" s="116">
        <v>8449</v>
      </c>
      <c r="F2046" s="87" t="s">
        <v>967</v>
      </c>
      <c r="G2046" s="87" t="s">
        <v>272</v>
      </c>
      <c r="H2046" s="87" t="s">
        <v>967</v>
      </c>
      <c r="I2046" s="87">
        <v>14</v>
      </c>
    </row>
    <row r="2047" spans="1:9" ht="15" customHeight="1" x14ac:dyDescent="0.25">
      <c r="A2047" s="87" t="s">
        <v>38</v>
      </c>
      <c r="B2047" s="87" t="s">
        <v>218</v>
      </c>
      <c r="C2047" s="87">
        <v>2004</v>
      </c>
      <c r="D2047" s="87" t="s">
        <v>15</v>
      </c>
      <c r="E2047" s="116">
        <v>7539</v>
      </c>
      <c r="F2047" s="87" t="s">
        <v>334</v>
      </c>
      <c r="G2047" s="87" t="s">
        <v>272</v>
      </c>
      <c r="H2047" s="87" t="s">
        <v>334</v>
      </c>
      <c r="I2047" s="87">
        <v>14</v>
      </c>
    </row>
    <row r="2048" spans="1:9" ht="15" customHeight="1" x14ac:dyDescent="0.25">
      <c r="A2048" s="87" t="s">
        <v>38</v>
      </c>
      <c r="B2048" s="87" t="s">
        <v>218</v>
      </c>
      <c r="C2048" s="87">
        <v>2005</v>
      </c>
      <c r="D2048" s="87" t="s">
        <v>15</v>
      </c>
      <c r="E2048" s="116">
        <v>3931</v>
      </c>
      <c r="F2048" s="87" t="s">
        <v>967</v>
      </c>
      <c r="G2048" s="87" t="s">
        <v>272</v>
      </c>
      <c r="H2048" s="87" t="s">
        <v>967</v>
      </c>
      <c r="I2048" s="87">
        <v>14</v>
      </c>
    </row>
    <row r="2049" spans="1:9" ht="15" customHeight="1" x14ac:dyDescent="0.25">
      <c r="A2049" s="87" t="s">
        <v>38</v>
      </c>
      <c r="B2049" s="87" t="s">
        <v>218</v>
      </c>
      <c r="C2049" s="87">
        <v>2006</v>
      </c>
      <c r="D2049" s="87" t="s">
        <v>15</v>
      </c>
      <c r="E2049" s="116">
        <v>3392</v>
      </c>
      <c r="F2049" s="87" t="s">
        <v>967</v>
      </c>
      <c r="G2049" s="87" t="s">
        <v>272</v>
      </c>
      <c r="H2049" s="87" t="s">
        <v>538</v>
      </c>
      <c r="I2049" s="87">
        <v>14</v>
      </c>
    </row>
    <row r="2050" spans="1:9" ht="15" customHeight="1" x14ac:dyDescent="0.25">
      <c r="A2050" s="87" t="s">
        <v>38</v>
      </c>
      <c r="B2050" s="87" t="s">
        <v>218</v>
      </c>
      <c r="C2050" s="87">
        <v>2007</v>
      </c>
      <c r="D2050" s="87" t="s">
        <v>15</v>
      </c>
      <c r="E2050" s="116">
        <v>1548</v>
      </c>
      <c r="F2050" s="87" t="s">
        <v>967</v>
      </c>
      <c r="G2050" s="87" t="s">
        <v>272</v>
      </c>
      <c r="H2050" s="87" t="s">
        <v>967</v>
      </c>
      <c r="I2050" s="87">
        <v>14</v>
      </c>
    </row>
    <row r="2051" spans="1:9" ht="15" customHeight="1" x14ac:dyDescent="0.25">
      <c r="A2051" s="87" t="s">
        <v>38</v>
      </c>
      <c r="B2051" s="87" t="s">
        <v>218</v>
      </c>
      <c r="C2051" s="87">
        <v>2008</v>
      </c>
      <c r="D2051" s="87" t="s">
        <v>15</v>
      </c>
      <c r="E2051" s="116">
        <v>2623</v>
      </c>
      <c r="F2051" s="87" t="s">
        <v>967</v>
      </c>
      <c r="G2051" s="87" t="s">
        <v>272</v>
      </c>
      <c r="H2051" s="87" t="s">
        <v>967</v>
      </c>
      <c r="I2051" s="87">
        <v>14</v>
      </c>
    </row>
    <row r="2052" spans="1:9" ht="15" customHeight="1" x14ac:dyDescent="0.25">
      <c r="A2052" s="87" t="s">
        <v>38</v>
      </c>
      <c r="B2052" s="87" t="s">
        <v>218</v>
      </c>
      <c r="C2052" s="87">
        <v>2009</v>
      </c>
      <c r="D2052" s="87" t="s">
        <v>15</v>
      </c>
      <c r="E2052" s="116">
        <v>4223</v>
      </c>
      <c r="F2052" s="87" t="s">
        <v>967</v>
      </c>
      <c r="G2052" s="87" t="s">
        <v>272</v>
      </c>
      <c r="H2052" s="87" t="s">
        <v>967</v>
      </c>
      <c r="I2052" s="87">
        <v>14</v>
      </c>
    </row>
    <row r="2053" spans="1:9" ht="15" customHeight="1" x14ac:dyDescent="0.25">
      <c r="A2053" s="87" t="s">
        <v>38</v>
      </c>
      <c r="B2053" s="87" t="s">
        <v>218</v>
      </c>
      <c r="C2053" s="87">
        <v>2010</v>
      </c>
      <c r="D2053" s="87" t="s">
        <v>15</v>
      </c>
      <c r="E2053" s="116">
        <v>2409</v>
      </c>
      <c r="F2053" s="87" t="s">
        <v>967</v>
      </c>
      <c r="G2053" s="87" t="s">
        <v>272</v>
      </c>
      <c r="H2053" s="87" t="s">
        <v>967</v>
      </c>
      <c r="I2053" s="87">
        <v>14</v>
      </c>
    </row>
    <row r="2054" spans="1:9" ht="15" customHeight="1" x14ac:dyDescent="0.25">
      <c r="A2054" s="87" t="s">
        <v>38</v>
      </c>
      <c r="B2054" s="87" t="s">
        <v>218</v>
      </c>
      <c r="C2054" s="87">
        <v>2011</v>
      </c>
      <c r="D2054" s="87" t="s">
        <v>15</v>
      </c>
      <c r="E2054" s="116">
        <v>2022</v>
      </c>
      <c r="F2054" s="87" t="s">
        <v>967</v>
      </c>
      <c r="G2054" s="87" t="s">
        <v>272</v>
      </c>
      <c r="H2054" s="87" t="s">
        <v>967</v>
      </c>
      <c r="I2054" s="87">
        <v>14</v>
      </c>
    </row>
    <row r="2055" spans="1:9" ht="15" customHeight="1" x14ac:dyDescent="0.25">
      <c r="A2055" s="87" t="s">
        <v>38</v>
      </c>
      <c r="B2055" s="87" t="s">
        <v>218</v>
      </c>
      <c r="C2055" s="87">
        <v>2012</v>
      </c>
      <c r="D2055" s="87" t="s">
        <v>15</v>
      </c>
      <c r="E2055" s="116">
        <v>2128</v>
      </c>
      <c r="F2055" s="87" t="s">
        <v>967</v>
      </c>
      <c r="G2055" s="87" t="s">
        <v>272</v>
      </c>
      <c r="H2055" s="87" t="s">
        <v>967</v>
      </c>
      <c r="I2055" s="87">
        <v>14</v>
      </c>
    </row>
    <row r="2056" spans="1:9" ht="15" customHeight="1" x14ac:dyDescent="0.25">
      <c r="A2056" s="87" t="s">
        <v>38</v>
      </c>
      <c r="B2056" s="87" t="s">
        <v>218</v>
      </c>
      <c r="C2056" s="87">
        <v>2013</v>
      </c>
      <c r="D2056" s="87" t="s">
        <v>15</v>
      </c>
      <c r="E2056" s="116">
        <v>3117</v>
      </c>
      <c r="F2056" s="87" t="s">
        <v>967</v>
      </c>
      <c r="G2056" s="87" t="s">
        <v>272</v>
      </c>
      <c r="H2056" s="87" t="s">
        <v>967</v>
      </c>
      <c r="I2056" s="87">
        <v>14</v>
      </c>
    </row>
    <row r="2057" spans="1:9" ht="15" customHeight="1" x14ac:dyDescent="0.25">
      <c r="A2057" s="87" t="s">
        <v>38</v>
      </c>
      <c r="B2057" s="87" t="s">
        <v>218</v>
      </c>
      <c r="C2057" s="87">
        <v>2014</v>
      </c>
      <c r="D2057" s="87" t="s">
        <v>15</v>
      </c>
      <c r="E2057" s="116">
        <v>4392</v>
      </c>
      <c r="F2057" s="87" t="s">
        <v>967</v>
      </c>
      <c r="G2057" s="87" t="s">
        <v>272</v>
      </c>
      <c r="H2057" s="87" t="s">
        <v>539</v>
      </c>
      <c r="I2057" s="87">
        <v>14</v>
      </c>
    </row>
    <row r="2058" spans="1:9" ht="15" customHeight="1" x14ac:dyDescent="0.25">
      <c r="A2058" s="87" t="s">
        <v>38</v>
      </c>
      <c r="B2058" s="87" t="s">
        <v>218</v>
      </c>
      <c r="C2058" s="87">
        <v>2015</v>
      </c>
      <c r="D2058" s="87" t="s">
        <v>15</v>
      </c>
      <c r="E2058" s="116">
        <v>6022</v>
      </c>
      <c r="F2058" s="87" t="s">
        <v>967</v>
      </c>
      <c r="G2058" s="87" t="s">
        <v>272</v>
      </c>
      <c r="H2058" s="87" t="s">
        <v>540</v>
      </c>
      <c r="I2058" s="87">
        <v>14</v>
      </c>
    </row>
    <row r="2059" spans="1:9" ht="15" customHeight="1" x14ac:dyDescent="0.25">
      <c r="A2059" s="87" t="s">
        <v>38</v>
      </c>
      <c r="B2059" s="87" t="s">
        <v>218</v>
      </c>
      <c r="C2059" s="87">
        <v>2016</v>
      </c>
      <c r="D2059" s="87" t="s">
        <v>15</v>
      </c>
      <c r="E2059" s="116">
        <v>3040</v>
      </c>
      <c r="F2059" s="87" t="s">
        <v>967</v>
      </c>
      <c r="G2059" s="87" t="s">
        <v>272</v>
      </c>
      <c r="H2059" s="87" t="s">
        <v>541</v>
      </c>
      <c r="I2059" s="87">
        <v>14</v>
      </c>
    </row>
    <row r="2060" spans="1:9" ht="15" customHeight="1" x14ac:dyDescent="0.25">
      <c r="A2060" s="87" t="s">
        <v>38</v>
      </c>
      <c r="B2060" s="87" t="s">
        <v>218</v>
      </c>
      <c r="C2060" s="87">
        <v>2017</v>
      </c>
      <c r="D2060" s="87" t="s">
        <v>15</v>
      </c>
      <c r="E2060" s="116">
        <v>1721</v>
      </c>
      <c r="F2060" s="87" t="s">
        <v>967</v>
      </c>
      <c r="G2060" s="87" t="s">
        <v>272</v>
      </c>
      <c r="H2060" s="87" t="s">
        <v>967</v>
      </c>
      <c r="I2060" s="87">
        <v>14</v>
      </c>
    </row>
    <row r="2061" spans="1:9" ht="15" customHeight="1" x14ac:dyDescent="0.25">
      <c r="A2061" s="87" t="s">
        <v>38</v>
      </c>
      <c r="B2061" s="87" t="s">
        <v>218</v>
      </c>
      <c r="C2061" s="87">
        <v>2018</v>
      </c>
      <c r="D2061" s="87" t="s">
        <v>15</v>
      </c>
      <c r="E2061" s="116">
        <v>1829</v>
      </c>
      <c r="F2061" s="87" t="s">
        <v>967</v>
      </c>
      <c r="G2061" s="87" t="s">
        <v>272</v>
      </c>
      <c r="H2061" s="87" t="s">
        <v>967</v>
      </c>
      <c r="I2061" s="87">
        <v>14</v>
      </c>
    </row>
    <row r="2062" spans="1:9" ht="15" customHeight="1" x14ac:dyDescent="0.25">
      <c r="A2062" s="87" t="s">
        <v>38</v>
      </c>
      <c r="B2062" s="87" t="s">
        <v>218</v>
      </c>
      <c r="C2062" s="87">
        <v>2019</v>
      </c>
      <c r="D2062" s="87" t="s">
        <v>15</v>
      </c>
      <c r="E2062" s="116">
        <v>611</v>
      </c>
      <c r="F2062" s="87" t="s">
        <v>967</v>
      </c>
      <c r="G2062" s="87" t="s">
        <v>272</v>
      </c>
      <c r="H2062" s="87" t="s">
        <v>967</v>
      </c>
      <c r="I2062" s="87">
        <v>14</v>
      </c>
    </row>
    <row r="2063" spans="1:9" ht="15" customHeight="1" x14ac:dyDescent="0.25">
      <c r="A2063" s="87" t="s">
        <v>38</v>
      </c>
      <c r="B2063" s="87" t="s">
        <v>218</v>
      </c>
      <c r="C2063" s="87">
        <v>2020</v>
      </c>
      <c r="D2063" s="87" t="s">
        <v>15</v>
      </c>
      <c r="E2063" s="116">
        <v>2849</v>
      </c>
      <c r="F2063" s="87" t="s">
        <v>967</v>
      </c>
      <c r="G2063" s="87" t="s">
        <v>272</v>
      </c>
      <c r="H2063" s="87" t="s">
        <v>967</v>
      </c>
      <c r="I2063" s="87">
        <v>14</v>
      </c>
    </row>
    <row r="2064" spans="1:9" ht="15" customHeight="1" x14ac:dyDescent="0.25">
      <c r="A2064" s="87" t="s">
        <v>38</v>
      </c>
      <c r="B2064" s="87" t="s">
        <v>218</v>
      </c>
      <c r="C2064" s="87">
        <v>2021</v>
      </c>
      <c r="D2064" s="87" t="s">
        <v>15</v>
      </c>
      <c r="E2064" s="116">
        <v>3760</v>
      </c>
      <c r="F2064" s="87" t="s">
        <v>967</v>
      </c>
      <c r="G2064" s="87" t="s">
        <v>272</v>
      </c>
      <c r="H2064" s="87" t="s">
        <v>967</v>
      </c>
      <c r="I2064" s="87">
        <v>14</v>
      </c>
    </row>
    <row r="2065" spans="1:9" ht="15" customHeight="1" x14ac:dyDescent="0.25">
      <c r="A2065" s="87" t="s">
        <v>38</v>
      </c>
      <c r="B2065" s="87" t="s">
        <v>218</v>
      </c>
      <c r="C2065" s="87">
        <v>2022</v>
      </c>
      <c r="D2065" s="87" t="s">
        <v>15</v>
      </c>
      <c r="E2065" s="116">
        <v>5368</v>
      </c>
      <c r="F2065" s="87" t="s">
        <v>967</v>
      </c>
      <c r="G2065" s="87" t="s">
        <v>272</v>
      </c>
      <c r="H2065" s="87" t="s">
        <v>967</v>
      </c>
      <c r="I2065" s="87">
        <v>14</v>
      </c>
    </row>
    <row r="2066" spans="1:9" ht="15" customHeight="1" x14ac:dyDescent="0.25">
      <c r="A2066" s="87" t="s">
        <v>38</v>
      </c>
      <c r="B2066" s="87" t="s">
        <v>335</v>
      </c>
      <c r="C2066" s="87">
        <v>1975</v>
      </c>
      <c r="D2066" s="87" t="s">
        <v>15</v>
      </c>
      <c r="E2066" s="116">
        <v>-1</v>
      </c>
      <c r="F2066" s="87" t="s">
        <v>900</v>
      </c>
      <c r="G2066" s="87" t="s">
        <v>272</v>
      </c>
      <c r="H2066" s="87" t="s">
        <v>900</v>
      </c>
      <c r="I2066" s="87">
        <v>15</v>
      </c>
    </row>
    <row r="2067" spans="1:9" ht="15" customHeight="1" x14ac:dyDescent="0.25">
      <c r="A2067" s="87" t="s">
        <v>38</v>
      </c>
      <c r="B2067" s="87" t="s">
        <v>335</v>
      </c>
      <c r="C2067" s="87">
        <v>1976</v>
      </c>
      <c r="D2067" s="87" t="s">
        <v>15</v>
      </c>
      <c r="E2067" s="116">
        <v>-1</v>
      </c>
      <c r="F2067" s="87" t="s">
        <v>900</v>
      </c>
      <c r="G2067" s="87" t="s">
        <v>272</v>
      </c>
      <c r="H2067" s="87" t="s">
        <v>900</v>
      </c>
      <c r="I2067" s="87">
        <v>15</v>
      </c>
    </row>
    <row r="2068" spans="1:9" ht="15" customHeight="1" x14ac:dyDescent="0.25">
      <c r="A2068" s="87" t="s">
        <v>38</v>
      </c>
      <c r="B2068" s="87" t="s">
        <v>335</v>
      </c>
      <c r="C2068" s="87">
        <v>1977</v>
      </c>
      <c r="D2068" s="87" t="s">
        <v>15</v>
      </c>
      <c r="E2068" s="116">
        <v>-1</v>
      </c>
      <c r="F2068" s="87" t="s">
        <v>900</v>
      </c>
      <c r="G2068" s="87" t="s">
        <v>272</v>
      </c>
      <c r="H2068" s="87" t="s">
        <v>900</v>
      </c>
      <c r="I2068" s="87">
        <v>15</v>
      </c>
    </row>
    <row r="2069" spans="1:9" ht="15" customHeight="1" x14ac:dyDescent="0.25">
      <c r="A2069" s="87" t="s">
        <v>38</v>
      </c>
      <c r="B2069" s="87" t="s">
        <v>335</v>
      </c>
      <c r="C2069" s="87">
        <v>1978</v>
      </c>
      <c r="D2069" s="87" t="s">
        <v>15</v>
      </c>
      <c r="E2069" s="116">
        <v>-1</v>
      </c>
      <c r="F2069" s="87" t="s">
        <v>900</v>
      </c>
      <c r="G2069" s="87" t="s">
        <v>272</v>
      </c>
      <c r="H2069" s="87" t="s">
        <v>900</v>
      </c>
      <c r="I2069" s="87">
        <v>15</v>
      </c>
    </row>
    <row r="2070" spans="1:9" ht="15" customHeight="1" x14ac:dyDescent="0.25">
      <c r="A2070" s="87" t="s">
        <v>38</v>
      </c>
      <c r="B2070" s="87" t="s">
        <v>335</v>
      </c>
      <c r="C2070" s="87">
        <v>1979</v>
      </c>
      <c r="D2070" s="87" t="s">
        <v>15</v>
      </c>
      <c r="E2070" s="116">
        <v>-1</v>
      </c>
      <c r="F2070" s="87" t="s">
        <v>900</v>
      </c>
      <c r="G2070" s="87" t="s">
        <v>272</v>
      </c>
      <c r="H2070" s="87" t="s">
        <v>900</v>
      </c>
      <c r="I2070" s="87">
        <v>15</v>
      </c>
    </row>
    <row r="2071" spans="1:9" ht="15" customHeight="1" x14ac:dyDescent="0.25">
      <c r="A2071" s="87" t="s">
        <v>38</v>
      </c>
      <c r="B2071" s="87" t="s">
        <v>335</v>
      </c>
      <c r="C2071" s="87">
        <v>1980</v>
      </c>
      <c r="D2071" s="87" t="s">
        <v>15</v>
      </c>
      <c r="E2071" s="116">
        <v>-1</v>
      </c>
      <c r="F2071" s="87" t="s">
        <v>900</v>
      </c>
      <c r="G2071" s="87" t="s">
        <v>272</v>
      </c>
      <c r="H2071" s="87" t="s">
        <v>900</v>
      </c>
      <c r="I2071" s="87">
        <v>15</v>
      </c>
    </row>
    <row r="2072" spans="1:9" ht="15" customHeight="1" x14ac:dyDescent="0.25">
      <c r="A2072" s="87" t="s">
        <v>38</v>
      </c>
      <c r="B2072" s="87" t="s">
        <v>335</v>
      </c>
      <c r="C2072" s="87">
        <v>1981</v>
      </c>
      <c r="D2072" s="87" t="s">
        <v>15</v>
      </c>
      <c r="E2072" s="116">
        <v>-1</v>
      </c>
      <c r="F2072" s="87" t="s">
        <v>900</v>
      </c>
      <c r="G2072" s="87" t="s">
        <v>272</v>
      </c>
      <c r="H2072" s="87" t="s">
        <v>900</v>
      </c>
      <c r="I2072" s="87">
        <v>15</v>
      </c>
    </row>
    <row r="2073" spans="1:9" ht="15" customHeight="1" x14ac:dyDescent="0.25">
      <c r="A2073" s="87" t="s">
        <v>38</v>
      </c>
      <c r="B2073" s="87" t="s">
        <v>335</v>
      </c>
      <c r="C2073" s="87">
        <v>1982</v>
      </c>
      <c r="D2073" s="87" t="s">
        <v>15</v>
      </c>
      <c r="E2073" s="116">
        <v>-1</v>
      </c>
      <c r="F2073" s="87" t="s">
        <v>900</v>
      </c>
      <c r="G2073" s="87" t="s">
        <v>272</v>
      </c>
      <c r="H2073" s="87" t="s">
        <v>900</v>
      </c>
      <c r="I2073" s="87">
        <v>15</v>
      </c>
    </row>
    <row r="2074" spans="1:9" ht="15" customHeight="1" x14ac:dyDescent="0.25">
      <c r="A2074" s="87" t="s">
        <v>38</v>
      </c>
      <c r="B2074" s="87" t="s">
        <v>335</v>
      </c>
      <c r="C2074" s="87">
        <v>1983</v>
      </c>
      <c r="D2074" s="87" t="s">
        <v>15</v>
      </c>
      <c r="E2074" s="116">
        <v>-1</v>
      </c>
      <c r="F2074" s="87" t="s">
        <v>900</v>
      </c>
      <c r="G2074" s="87" t="s">
        <v>272</v>
      </c>
      <c r="H2074" s="87" t="s">
        <v>900</v>
      </c>
      <c r="I2074" s="87">
        <v>15</v>
      </c>
    </row>
    <row r="2075" spans="1:9" ht="15" customHeight="1" x14ac:dyDescent="0.25">
      <c r="A2075" s="87" t="s">
        <v>38</v>
      </c>
      <c r="B2075" s="87" t="s">
        <v>335</v>
      </c>
      <c r="C2075" s="87">
        <v>1984</v>
      </c>
      <c r="D2075" s="87" t="s">
        <v>15</v>
      </c>
      <c r="E2075" s="116">
        <v>-1</v>
      </c>
      <c r="F2075" s="87" t="s">
        <v>900</v>
      </c>
      <c r="G2075" s="87" t="s">
        <v>272</v>
      </c>
      <c r="H2075" s="87" t="s">
        <v>900</v>
      </c>
      <c r="I2075" s="87">
        <v>15</v>
      </c>
    </row>
    <row r="2076" spans="1:9" ht="15" customHeight="1" x14ac:dyDescent="0.25">
      <c r="A2076" s="87" t="s">
        <v>38</v>
      </c>
      <c r="B2076" s="87" t="s">
        <v>335</v>
      </c>
      <c r="C2076" s="87">
        <v>1985</v>
      </c>
      <c r="D2076" s="87" t="s">
        <v>15</v>
      </c>
      <c r="E2076" s="116">
        <v>-1</v>
      </c>
      <c r="F2076" s="87" t="s">
        <v>900</v>
      </c>
      <c r="G2076" s="87" t="s">
        <v>272</v>
      </c>
      <c r="H2076" s="87" t="s">
        <v>900</v>
      </c>
      <c r="I2076" s="87">
        <v>15</v>
      </c>
    </row>
    <row r="2077" spans="1:9" ht="15" customHeight="1" x14ac:dyDescent="0.25">
      <c r="A2077" s="87" t="s">
        <v>38</v>
      </c>
      <c r="B2077" s="87" t="s">
        <v>335</v>
      </c>
      <c r="C2077" s="87">
        <v>1986</v>
      </c>
      <c r="D2077" s="87" t="s">
        <v>15</v>
      </c>
      <c r="E2077" s="116">
        <v>-1</v>
      </c>
      <c r="F2077" s="87" t="s">
        <v>900</v>
      </c>
      <c r="G2077" s="87" t="s">
        <v>272</v>
      </c>
      <c r="H2077" s="87" t="s">
        <v>900</v>
      </c>
      <c r="I2077" s="87">
        <v>15</v>
      </c>
    </row>
    <row r="2078" spans="1:9" ht="15" customHeight="1" x14ac:dyDescent="0.25">
      <c r="A2078" s="87" t="s">
        <v>38</v>
      </c>
      <c r="B2078" s="87" t="s">
        <v>335</v>
      </c>
      <c r="C2078" s="87">
        <v>1987</v>
      </c>
      <c r="D2078" s="87" t="s">
        <v>15</v>
      </c>
      <c r="E2078" s="116">
        <v>-1</v>
      </c>
      <c r="F2078" s="87" t="s">
        <v>900</v>
      </c>
      <c r="G2078" s="87" t="s">
        <v>272</v>
      </c>
      <c r="H2078" s="87" t="s">
        <v>900</v>
      </c>
      <c r="I2078" s="87">
        <v>15</v>
      </c>
    </row>
    <row r="2079" spans="1:9" ht="15" customHeight="1" x14ac:dyDescent="0.25">
      <c r="A2079" s="87" t="s">
        <v>38</v>
      </c>
      <c r="B2079" s="87" t="s">
        <v>335</v>
      </c>
      <c r="C2079" s="87">
        <v>1988</v>
      </c>
      <c r="D2079" s="87" t="s">
        <v>15</v>
      </c>
      <c r="E2079" s="116">
        <v>-1</v>
      </c>
      <c r="F2079" s="87" t="s">
        <v>900</v>
      </c>
      <c r="G2079" s="87" t="s">
        <v>272</v>
      </c>
      <c r="H2079" s="87" t="s">
        <v>900</v>
      </c>
      <c r="I2079" s="87">
        <v>15</v>
      </c>
    </row>
    <row r="2080" spans="1:9" ht="15" customHeight="1" x14ac:dyDescent="0.25">
      <c r="A2080" s="87" t="s">
        <v>38</v>
      </c>
      <c r="B2080" s="87" t="s">
        <v>335</v>
      </c>
      <c r="C2080" s="87">
        <v>1989</v>
      </c>
      <c r="D2080" s="87" t="s">
        <v>15</v>
      </c>
      <c r="E2080" s="116">
        <v>-1</v>
      </c>
      <c r="F2080" s="87" t="s">
        <v>900</v>
      </c>
      <c r="G2080" s="87" t="s">
        <v>272</v>
      </c>
      <c r="H2080" s="87" t="s">
        <v>900</v>
      </c>
      <c r="I2080" s="87">
        <v>15</v>
      </c>
    </row>
    <row r="2081" spans="1:9" ht="15" customHeight="1" x14ac:dyDescent="0.25">
      <c r="A2081" s="87" t="s">
        <v>38</v>
      </c>
      <c r="B2081" s="87" t="s">
        <v>335</v>
      </c>
      <c r="C2081" s="87">
        <v>1990</v>
      </c>
      <c r="D2081" s="87" t="s">
        <v>15</v>
      </c>
      <c r="E2081" s="116">
        <v>-1</v>
      </c>
      <c r="F2081" s="87" t="s">
        <v>900</v>
      </c>
      <c r="G2081" s="87" t="s">
        <v>272</v>
      </c>
      <c r="H2081" s="87" t="s">
        <v>900</v>
      </c>
      <c r="I2081" s="87">
        <v>15</v>
      </c>
    </row>
    <row r="2082" spans="1:9" ht="15" customHeight="1" x14ac:dyDescent="0.25">
      <c r="A2082" s="87" t="s">
        <v>38</v>
      </c>
      <c r="B2082" s="87" t="s">
        <v>335</v>
      </c>
      <c r="C2082" s="87">
        <v>1991</v>
      </c>
      <c r="D2082" s="87" t="s">
        <v>15</v>
      </c>
      <c r="E2082" s="116">
        <v>-1</v>
      </c>
      <c r="F2082" s="87" t="s">
        <v>900</v>
      </c>
      <c r="G2082" s="87" t="s">
        <v>272</v>
      </c>
      <c r="H2082" s="87" t="s">
        <v>900</v>
      </c>
      <c r="I2082" s="87">
        <v>15</v>
      </c>
    </row>
    <row r="2083" spans="1:9" ht="15" customHeight="1" x14ac:dyDescent="0.25">
      <c r="A2083" s="87" t="s">
        <v>38</v>
      </c>
      <c r="B2083" s="87" t="s">
        <v>335</v>
      </c>
      <c r="C2083" s="87">
        <v>1992</v>
      </c>
      <c r="D2083" s="87" t="s">
        <v>15</v>
      </c>
      <c r="E2083" s="116">
        <v>-1</v>
      </c>
      <c r="F2083" s="87" t="s">
        <v>900</v>
      </c>
      <c r="G2083" s="87" t="s">
        <v>272</v>
      </c>
      <c r="H2083" s="87" t="s">
        <v>900</v>
      </c>
      <c r="I2083" s="87">
        <v>15</v>
      </c>
    </row>
    <row r="2084" spans="1:9" ht="15" customHeight="1" x14ac:dyDescent="0.25">
      <c r="A2084" s="87" t="s">
        <v>38</v>
      </c>
      <c r="B2084" s="87" t="s">
        <v>335</v>
      </c>
      <c r="C2084" s="87">
        <v>1993</v>
      </c>
      <c r="D2084" s="87" t="s">
        <v>15</v>
      </c>
      <c r="E2084" s="116">
        <v>-1</v>
      </c>
      <c r="F2084" s="87" t="s">
        <v>900</v>
      </c>
      <c r="G2084" s="87" t="s">
        <v>272</v>
      </c>
      <c r="H2084" s="87" t="s">
        <v>900</v>
      </c>
      <c r="I2084" s="87">
        <v>15</v>
      </c>
    </row>
    <row r="2085" spans="1:9" ht="15" customHeight="1" x14ac:dyDescent="0.25">
      <c r="A2085" s="87" t="s">
        <v>38</v>
      </c>
      <c r="B2085" s="87" t="s">
        <v>335</v>
      </c>
      <c r="C2085" s="87">
        <v>1994</v>
      </c>
      <c r="D2085" s="87" t="s">
        <v>15</v>
      </c>
      <c r="E2085" s="116">
        <v>-1</v>
      </c>
      <c r="F2085" s="87" t="s">
        <v>900</v>
      </c>
      <c r="G2085" s="87" t="s">
        <v>272</v>
      </c>
      <c r="H2085" s="87" t="s">
        <v>900</v>
      </c>
      <c r="I2085" s="87">
        <v>15</v>
      </c>
    </row>
    <row r="2086" spans="1:9" ht="15" customHeight="1" x14ac:dyDescent="0.25">
      <c r="A2086" s="87" t="s">
        <v>38</v>
      </c>
      <c r="B2086" s="87" t="s">
        <v>335</v>
      </c>
      <c r="C2086" s="87">
        <v>1995</v>
      </c>
      <c r="D2086" s="87" t="s">
        <v>15</v>
      </c>
      <c r="E2086" s="116">
        <v>42</v>
      </c>
      <c r="F2086" s="87" t="s">
        <v>967</v>
      </c>
      <c r="G2086" s="87" t="s">
        <v>967</v>
      </c>
      <c r="H2086" s="87" t="s">
        <v>967</v>
      </c>
      <c r="I2086" s="87">
        <v>15</v>
      </c>
    </row>
    <row r="2087" spans="1:9" ht="15" customHeight="1" x14ac:dyDescent="0.25">
      <c r="A2087" s="87" t="s">
        <v>38</v>
      </c>
      <c r="B2087" s="87" t="s">
        <v>335</v>
      </c>
      <c r="C2087" s="87">
        <v>1996</v>
      </c>
      <c r="D2087" s="87" t="s">
        <v>15</v>
      </c>
      <c r="E2087" s="116">
        <v>252</v>
      </c>
      <c r="F2087" s="87" t="s">
        <v>967</v>
      </c>
      <c r="G2087" s="87" t="s">
        <v>272</v>
      </c>
      <c r="H2087" s="87" t="s">
        <v>967</v>
      </c>
      <c r="I2087" s="87">
        <v>15</v>
      </c>
    </row>
    <row r="2088" spans="1:9" ht="15" customHeight="1" x14ac:dyDescent="0.25">
      <c r="A2088" s="87" t="s">
        <v>38</v>
      </c>
      <c r="B2088" s="87" t="s">
        <v>335</v>
      </c>
      <c r="C2088" s="87">
        <v>1997</v>
      </c>
      <c r="D2088" s="87" t="s">
        <v>15</v>
      </c>
      <c r="E2088" s="116">
        <v>40</v>
      </c>
      <c r="F2088" s="87" t="s">
        <v>967</v>
      </c>
      <c r="G2088" s="87" t="s">
        <v>272</v>
      </c>
      <c r="H2088" s="87" t="s">
        <v>967</v>
      </c>
      <c r="I2088" s="87">
        <v>15</v>
      </c>
    </row>
    <row r="2089" spans="1:9" ht="15" customHeight="1" x14ac:dyDescent="0.25">
      <c r="A2089" s="87" t="s">
        <v>38</v>
      </c>
      <c r="B2089" s="87" t="s">
        <v>335</v>
      </c>
      <c r="C2089" s="87">
        <v>1998</v>
      </c>
      <c r="D2089" s="87" t="s">
        <v>15</v>
      </c>
      <c r="E2089" s="116">
        <v>165</v>
      </c>
      <c r="F2089" s="87" t="s">
        <v>967</v>
      </c>
      <c r="G2089" s="87" t="s">
        <v>272</v>
      </c>
      <c r="H2089" s="87" t="s">
        <v>548</v>
      </c>
      <c r="I2089" s="87">
        <v>15</v>
      </c>
    </row>
    <row r="2090" spans="1:9" ht="15" customHeight="1" x14ac:dyDescent="0.25">
      <c r="A2090" s="87" t="s">
        <v>38</v>
      </c>
      <c r="B2090" s="87" t="s">
        <v>335</v>
      </c>
      <c r="C2090" s="87">
        <v>1999</v>
      </c>
      <c r="D2090" s="87" t="s">
        <v>15</v>
      </c>
      <c r="E2090" s="116">
        <v>300</v>
      </c>
      <c r="F2090" s="87" t="s">
        <v>967</v>
      </c>
      <c r="G2090" s="87" t="s">
        <v>272</v>
      </c>
      <c r="H2090" s="87" t="s">
        <v>967</v>
      </c>
      <c r="I2090" s="87">
        <v>15</v>
      </c>
    </row>
    <row r="2091" spans="1:9" ht="15" customHeight="1" x14ac:dyDescent="0.25">
      <c r="A2091" s="87" t="s">
        <v>38</v>
      </c>
      <c r="B2091" s="87" t="s">
        <v>335</v>
      </c>
      <c r="C2091" s="87">
        <v>2000</v>
      </c>
      <c r="D2091" s="87" t="s">
        <v>15</v>
      </c>
      <c r="E2091" s="116">
        <v>324</v>
      </c>
      <c r="F2091" s="87" t="s">
        <v>967</v>
      </c>
      <c r="G2091" s="87" t="s">
        <v>272</v>
      </c>
      <c r="H2091" s="87" t="s">
        <v>967</v>
      </c>
      <c r="I2091" s="87">
        <v>15</v>
      </c>
    </row>
    <row r="2092" spans="1:9" ht="15" customHeight="1" x14ac:dyDescent="0.25">
      <c r="A2092" s="87" t="s">
        <v>38</v>
      </c>
      <c r="B2092" s="87" t="s">
        <v>335</v>
      </c>
      <c r="C2092" s="87">
        <v>2001</v>
      </c>
      <c r="D2092" s="87" t="s">
        <v>15</v>
      </c>
      <c r="E2092" s="116">
        <v>212</v>
      </c>
      <c r="F2092" s="87" t="s">
        <v>967</v>
      </c>
      <c r="G2092" s="87" t="s">
        <v>272</v>
      </c>
      <c r="H2092" s="87" t="s">
        <v>967</v>
      </c>
      <c r="I2092" s="87">
        <v>15</v>
      </c>
    </row>
    <row r="2093" spans="1:9" ht="15" customHeight="1" x14ac:dyDescent="0.25">
      <c r="A2093" s="87" t="s">
        <v>38</v>
      </c>
      <c r="B2093" s="87" t="s">
        <v>335</v>
      </c>
      <c r="C2093" s="87">
        <v>2002</v>
      </c>
      <c r="D2093" s="87" t="s">
        <v>15</v>
      </c>
      <c r="E2093" s="116">
        <v>181</v>
      </c>
      <c r="F2093" s="87" t="s">
        <v>967</v>
      </c>
      <c r="G2093" s="87" t="s">
        <v>272</v>
      </c>
      <c r="H2093" s="87" t="s">
        <v>967</v>
      </c>
      <c r="I2093" s="87">
        <v>15</v>
      </c>
    </row>
    <row r="2094" spans="1:9" ht="15" customHeight="1" x14ac:dyDescent="0.25">
      <c r="A2094" s="87" t="s">
        <v>38</v>
      </c>
      <c r="B2094" s="87" t="s">
        <v>335</v>
      </c>
      <c r="C2094" s="87">
        <v>2003</v>
      </c>
      <c r="D2094" s="87" t="s">
        <v>15</v>
      </c>
      <c r="E2094" s="116">
        <v>203</v>
      </c>
      <c r="F2094" s="87" t="s">
        <v>967</v>
      </c>
      <c r="G2094" s="87" t="s">
        <v>272</v>
      </c>
      <c r="H2094" s="87" t="s">
        <v>967</v>
      </c>
      <c r="I2094" s="87">
        <v>15</v>
      </c>
    </row>
    <row r="2095" spans="1:9" ht="15" customHeight="1" x14ac:dyDescent="0.25">
      <c r="A2095" s="87" t="s">
        <v>38</v>
      </c>
      <c r="B2095" s="87" t="s">
        <v>335</v>
      </c>
      <c r="C2095" s="87">
        <v>2004</v>
      </c>
      <c r="D2095" s="87" t="s">
        <v>15</v>
      </c>
      <c r="E2095" s="116">
        <v>306</v>
      </c>
      <c r="F2095" s="87" t="s">
        <v>967</v>
      </c>
      <c r="G2095" s="87" t="s">
        <v>272</v>
      </c>
      <c r="H2095" s="87" t="s">
        <v>549</v>
      </c>
      <c r="I2095" s="87">
        <v>15</v>
      </c>
    </row>
    <row r="2096" spans="1:9" ht="15" customHeight="1" x14ac:dyDescent="0.25">
      <c r="A2096" s="87" t="s">
        <v>38</v>
      </c>
      <c r="B2096" s="87" t="s">
        <v>335</v>
      </c>
      <c r="C2096" s="87">
        <v>2005</v>
      </c>
      <c r="D2096" s="87" t="s">
        <v>15</v>
      </c>
      <c r="E2096" s="116">
        <v>94</v>
      </c>
      <c r="F2096" s="87" t="s">
        <v>967</v>
      </c>
      <c r="G2096" s="87" t="s">
        <v>272</v>
      </c>
      <c r="H2096" s="87" t="s">
        <v>967</v>
      </c>
      <c r="I2096" s="87">
        <v>15</v>
      </c>
    </row>
    <row r="2097" spans="1:9" ht="15" customHeight="1" x14ac:dyDescent="0.25">
      <c r="A2097" s="87" t="s">
        <v>38</v>
      </c>
      <c r="B2097" s="87" t="s">
        <v>335</v>
      </c>
      <c r="C2097" s="87">
        <v>2006</v>
      </c>
      <c r="D2097" s="87" t="s">
        <v>15</v>
      </c>
      <c r="E2097" s="116">
        <v>166</v>
      </c>
      <c r="F2097" s="87" t="s">
        <v>967</v>
      </c>
      <c r="G2097" s="87" t="s">
        <v>272</v>
      </c>
      <c r="H2097" s="87" t="s">
        <v>967</v>
      </c>
      <c r="I2097" s="87">
        <v>15</v>
      </c>
    </row>
    <row r="2098" spans="1:9" ht="15" customHeight="1" x14ac:dyDescent="0.25">
      <c r="A2098" s="87" t="s">
        <v>38</v>
      </c>
      <c r="B2098" s="87" t="s">
        <v>335</v>
      </c>
      <c r="C2098" s="87">
        <v>2007</v>
      </c>
      <c r="D2098" s="87" t="s">
        <v>15</v>
      </c>
      <c r="E2098" s="116">
        <v>71</v>
      </c>
      <c r="F2098" s="87" t="s">
        <v>967</v>
      </c>
      <c r="G2098" s="87" t="s">
        <v>272</v>
      </c>
      <c r="H2098" s="87" t="s">
        <v>967</v>
      </c>
      <c r="I2098" s="87">
        <v>15</v>
      </c>
    </row>
    <row r="2099" spans="1:9" ht="15" customHeight="1" x14ac:dyDescent="0.25">
      <c r="A2099" s="87" t="s">
        <v>38</v>
      </c>
      <c r="B2099" s="87" t="s">
        <v>335</v>
      </c>
      <c r="C2099" s="87">
        <v>2008</v>
      </c>
      <c r="D2099" s="87" t="s">
        <v>15</v>
      </c>
      <c r="E2099" s="116">
        <v>97</v>
      </c>
      <c r="F2099" s="87" t="s">
        <v>967</v>
      </c>
      <c r="G2099" s="87" t="s">
        <v>272</v>
      </c>
      <c r="H2099" s="87" t="s">
        <v>967</v>
      </c>
      <c r="I2099" s="87">
        <v>15</v>
      </c>
    </row>
    <row r="2100" spans="1:9" ht="15" customHeight="1" x14ac:dyDescent="0.25">
      <c r="A2100" s="87" t="s">
        <v>38</v>
      </c>
      <c r="B2100" s="87" t="s">
        <v>335</v>
      </c>
      <c r="C2100" s="87">
        <v>2009</v>
      </c>
      <c r="D2100" s="87" t="s">
        <v>15</v>
      </c>
      <c r="E2100" s="116">
        <v>89</v>
      </c>
      <c r="F2100" s="87" t="s">
        <v>967</v>
      </c>
      <c r="G2100" s="87" t="s">
        <v>272</v>
      </c>
      <c r="H2100" s="87" t="s">
        <v>967</v>
      </c>
      <c r="I2100" s="87">
        <v>15</v>
      </c>
    </row>
    <row r="2101" spans="1:9" ht="15" customHeight="1" x14ac:dyDescent="0.25">
      <c r="A2101" s="87" t="s">
        <v>38</v>
      </c>
      <c r="B2101" s="87" t="s">
        <v>335</v>
      </c>
      <c r="C2101" s="87">
        <v>2010</v>
      </c>
      <c r="D2101" s="87" t="s">
        <v>15</v>
      </c>
      <c r="E2101" s="116">
        <v>66</v>
      </c>
      <c r="F2101" s="87" t="s">
        <v>967</v>
      </c>
      <c r="G2101" s="87" t="s">
        <v>272</v>
      </c>
      <c r="H2101" s="87" t="s">
        <v>550</v>
      </c>
      <c r="I2101" s="87">
        <v>15</v>
      </c>
    </row>
    <row r="2102" spans="1:9" ht="15" customHeight="1" x14ac:dyDescent="0.25">
      <c r="A2102" s="87" t="s">
        <v>38</v>
      </c>
      <c r="B2102" s="87" t="s">
        <v>335</v>
      </c>
      <c r="C2102" s="87">
        <v>2011</v>
      </c>
      <c r="D2102" s="87" t="s">
        <v>15</v>
      </c>
      <c r="E2102" s="116">
        <v>51</v>
      </c>
      <c r="F2102" s="87" t="s">
        <v>967</v>
      </c>
      <c r="G2102" s="87" t="s">
        <v>272</v>
      </c>
      <c r="H2102" s="87" t="s">
        <v>967</v>
      </c>
      <c r="I2102" s="87">
        <v>15</v>
      </c>
    </row>
    <row r="2103" spans="1:9" ht="15" customHeight="1" x14ac:dyDescent="0.25">
      <c r="A2103" s="87" t="s">
        <v>38</v>
      </c>
      <c r="B2103" s="87" t="s">
        <v>335</v>
      </c>
      <c r="C2103" s="87">
        <v>2012</v>
      </c>
      <c r="D2103" s="87" t="s">
        <v>15</v>
      </c>
      <c r="E2103" s="116">
        <v>88</v>
      </c>
      <c r="F2103" s="87" t="s">
        <v>967</v>
      </c>
      <c r="G2103" s="87" t="s">
        <v>272</v>
      </c>
      <c r="H2103" s="87" t="s">
        <v>967</v>
      </c>
      <c r="I2103" s="87">
        <v>15</v>
      </c>
    </row>
    <row r="2104" spans="1:9" ht="15" customHeight="1" x14ac:dyDescent="0.25">
      <c r="A2104" s="87" t="s">
        <v>38</v>
      </c>
      <c r="B2104" s="87" t="s">
        <v>335</v>
      </c>
      <c r="C2104" s="87">
        <v>2013</v>
      </c>
      <c r="D2104" s="87" t="s">
        <v>15</v>
      </c>
      <c r="E2104" s="116">
        <v>48</v>
      </c>
      <c r="F2104" s="87" t="s">
        <v>967</v>
      </c>
      <c r="G2104" s="87" t="s">
        <v>272</v>
      </c>
      <c r="H2104" s="87" t="s">
        <v>967</v>
      </c>
      <c r="I2104" s="87">
        <v>15</v>
      </c>
    </row>
    <row r="2105" spans="1:9" ht="15" customHeight="1" x14ac:dyDescent="0.25">
      <c r="A2105" s="87" t="s">
        <v>38</v>
      </c>
      <c r="B2105" s="87" t="s">
        <v>335</v>
      </c>
      <c r="C2105" s="87">
        <v>2014</v>
      </c>
      <c r="D2105" s="87" t="s">
        <v>15</v>
      </c>
      <c r="E2105" s="116">
        <v>28</v>
      </c>
      <c r="F2105" s="87" t="s">
        <v>967</v>
      </c>
      <c r="G2105" s="87" t="s">
        <v>272</v>
      </c>
      <c r="H2105" s="87" t="s">
        <v>967</v>
      </c>
      <c r="I2105" s="87">
        <v>15</v>
      </c>
    </row>
    <row r="2106" spans="1:9" ht="15" customHeight="1" x14ac:dyDescent="0.25">
      <c r="A2106" s="87" t="s">
        <v>38</v>
      </c>
      <c r="B2106" s="87" t="s">
        <v>335</v>
      </c>
      <c r="C2106" s="87">
        <v>2015</v>
      </c>
      <c r="D2106" s="87" t="s">
        <v>15</v>
      </c>
      <c r="E2106" s="116">
        <v>74</v>
      </c>
      <c r="F2106" s="87" t="s">
        <v>967</v>
      </c>
      <c r="G2106" s="87" t="s">
        <v>272</v>
      </c>
      <c r="H2106" s="87" t="s">
        <v>551</v>
      </c>
      <c r="I2106" s="87">
        <v>15</v>
      </c>
    </row>
    <row r="2107" spans="1:9" ht="15" customHeight="1" x14ac:dyDescent="0.25">
      <c r="A2107" s="87" t="s">
        <v>38</v>
      </c>
      <c r="B2107" s="87" t="s">
        <v>335</v>
      </c>
      <c r="C2107" s="87">
        <v>2016</v>
      </c>
      <c r="D2107" s="87" t="s">
        <v>15</v>
      </c>
      <c r="E2107" s="116">
        <v>25</v>
      </c>
      <c r="F2107" s="87" t="s">
        <v>967</v>
      </c>
      <c r="G2107" s="87" t="s">
        <v>272</v>
      </c>
      <c r="H2107" s="87" t="s">
        <v>552</v>
      </c>
      <c r="I2107" s="87">
        <v>15</v>
      </c>
    </row>
    <row r="2108" spans="1:9" ht="15" customHeight="1" x14ac:dyDescent="0.25">
      <c r="A2108" s="87" t="s">
        <v>38</v>
      </c>
      <c r="B2108" s="87" t="s">
        <v>335</v>
      </c>
      <c r="C2108" s="87">
        <v>2017</v>
      </c>
      <c r="D2108" s="87" t="s">
        <v>15</v>
      </c>
      <c r="E2108" s="116">
        <v>2</v>
      </c>
      <c r="F2108" s="87" t="s">
        <v>967</v>
      </c>
      <c r="G2108" s="87" t="s">
        <v>272</v>
      </c>
      <c r="H2108" s="87" t="s">
        <v>967</v>
      </c>
      <c r="I2108" s="87">
        <v>15</v>
      </c>
    </row>
    <row r="2109" spans="1:9" ht="15" customHeight="1" x14ac:dyDescent="0.25">
      <c r="A2109" s="87" t="s">
        <v>38</v>
      </c>
      <c r="B2109" s="87" t="s">
        <v>335</v>
      </c>
      <c r="C2109" s="87">
        <v>2018</v>
      </c>
      <c r="D2109" s="87" t="s">
        <v>15</v>
      </c>
      <c r="E2109" s="116">
        <v>31</v>
      </c>
      <c r="F2109" s="87" t="s">
        <v>967</v>
      </c>
      <c r="G2109" s="87" t="s">
        <v>272</v>
      </c>
      <c r="H2109" s="87" t="s">
        <v>967</v>
      </c>
      <c r="I2109" s="87">
        <v>15</v>
      </c>
    </row>
    <row r="2110" spans="1:9" ht="15" customHeight="1" x14ac:dyDescent="0.25">
      <c r="A2110" s="87" t="s">
        <v>38</v>
      </c>
      <c r="B2110" s="87" t="s">
        <v>335</v>
      </c>
      <c r="C2110" s="87">
        <v>2019</v>
      </c>
      <c r="D2110" s="87" t="s">
        <v>15</v>
      </c>
      <c r="E2110" s="116">
        <v>0</v>
      </c>
      <c r="F2110" s="87" t="s">
        <v>967</v>
      </c>
      <c r="G2110" s="87" t="s">
        <v>272</v>
      </c>
      <c r="H2110" s="87" t="s">
        <v>967</v>
      </c>
      <c r="I2110" s="87">
        <v>15</v>
      </c>
    </row>
    <row r="2111" spans="1:9" ht="15" customHeight="1" x14ac:dyDescent="0.25">
      <c r="A2111" s="87" t="s">
        <v>38</v>
      </c>
      <c r="B2111" s="87" t="s">
        <v>335</v>
      </c>
      <c r="C2111" s="87">
        <v>2020</v>
      </c>
      <c r="D2111" s="87" t="s">
        <v>15</v>
      </c>
      <c r="E2111" s="116">
        <v>174</v>
      </c>
      <c r="F2111" s="87" t="s">
        <v>967</v>
      </c>
      <c r="G2111" s="87" t="s">
        <v>272</v>
      </c>
      <c r="H2111" s="87" t="s">
        <v>967</v>
      </c>
      <c r="I2111" s="87">
        <v>15</v>
      </c>
    </row>
    <row r="2112" spans="1:9" ht="15" customHeight="1" x14ac:dyDescent="0.25">
      <c r="A2112" s="87" t="s">
        <v>38</v>
      </c>
      <c r="B2112" s="87" t="s">
        <v>335</v>
      </c>
      <c r="C2112" s="87">
        <v>2021</v>
      </c>
      <c r="D2112" s="87" t="s">
        <v>15</v>
      </c>
      <c r="E2112" s="116">
        <v>140</v>
      </c>
      <c r="F2112" s="87" t="s">
        <v>967</v>
      </c>
      <c r="G2112" s="87" t="s">
        <v>272</v>
      </c>
      <c r="H2112" s="87" t="s">
        <v>967</v>
      </c>
      <c r="I2112" s="87">
        <v>15</v>
      </c>
    </row>
    <row r="2113" spans="1:9" ht="15" customHeight="1" x14ac:dyDescent="0.25">
      <c r="A2113" s="87" t="s">
        <v>38</v>
      </c>
      <c r="B2113" s="87" t="s">
        <v>335</v>
      </c>
      <c r="C2113" s="87">
        <v>2022</v>
      </c>
      <c r="D2113" s="87" t="s">
        <v>15</v>
      </c>
      <c r="E2113" s="116">
        <v>177</v>
      </c>
      <c r="F2113" s="87" t="s">
        <v>967</v>
      </c>
      <c r="G2113" s="87" t="s">
        <v>272</v>
      </c>
      <c r="H2113" s="87" t="s">
        <v>967</v>
      </c>
      <c r="I2113" s="87">
        <v>15</v>
      </c>
    </row>
    <row r="2114" spans="1:9" ht="15" customHeight="1" x14ac:dyDescent="0.25">
      <c r="A2114" s="87" t="s">
        <v>38</v>
      </c>
      <c r="B2114" s="87" t="s">
        <v>225</v>
      </c>
      <c r="C2114" s="87">
        <v>1975</v>
      </c>
      <c r="D2114" s="87" t="s">
        <v>15</v>
      </c>
      <c r="E2114" s="116">
        <v>-1</v>
      </c>
      <c r="F2114" s="87" t="s">
        <v>586</v>
      </c>
      <c r="G2114" s="87" t="s">
        <v>967</v>
      </c>
      <c r="H2114" s="87" t="s">
        <v>586</v>
      </c>
      <c r="I2114" s="87">
        <v>12</v>
      </c>
    </row>
    <row r="2115" spans="1:9" ht="15" customHeight="1" x14ac:dyDescent="0.25">
      <c r="A2115" s="87" t="s">
        <v>38</v>
      </c>
      <c r="B2115" s="87" t="s">
        <v>225</v>
      </c>
      <c r="C2115" s="87">
        <v>1976</v>
      </c>
      <c r="D2115" s="87" t="s">
        <v>15</v>
      </c>
      <c r="E2115" s="116">
        <v>-1</v>
      </c>
      <c r="F2115" s="87" t="s">
        <v>586</v>
      </c>
      <c r="G2115" s="87" t="s">
        <v>967</v>
      </c>
      <c r="H2115" s="87" t="s">
        <v>586</v>
      </c>
      <c r="I2115" s="87">
        <v>12</v>
      </c>
    </row>
    <row r="2116" spans="1:9" ht="15" customHeight="1" x14ac:dyDescent="0.25">
      <c r="A2116" s="87" t="s">
        <v>38</v>
      </c>
      <c r="B2116" s="87" t="s">
        <v>225</v>
      </c>
      <c r="C2116" s="87">
        <v>1977</v>
      </c>
      <c r="D2116" s="87" t="s">
        <v>15</v>
      </c>
      <c r="E2116" s="116">
        <v>-1</v>
      </c>
      <c r="F2116" s="87" t="s">
        <v>586</v>
      </c>
      <c r="G2116" s="87" t="s">
        <v>967</v>
      </c>
      <c r="H2116" s="87" t="s">
        <v>586</v>
      </c>
      <c r="I2116" s="87">
        <v>12</v>
      </c>
    </row>
    <row r="2117" spans="1:9" ht="15" customHeight="1" x14ac:dyDescent="0.25">
      <c r="A2117" s="87" t="s">
        <v>38</v>
      </c>
      <c r="B2117" s="87" t="s">
        <v>225</v>
      </c>
      <c r="C2117" s="87">
        <v>1978</v>
      </c>
      <c r="D2117" s="87" t="s">
        <v>15</v>
      </c>
      <c r="E2117" s="116">
        <v>-1</v>
      </c>
      <c r="F2117" s="87" t="s">
        <v>586</v>
      </c>
      <c r="G2117" s="87" t="s">
        <v>967</v>
      </c>
      <c r="H2117" s="87" t="s">
        <v>586</v>
      </c>
      <c r="I2117" s="87">
        <v>12</v>
      </c>
    </row>
    <row r="2118" spans="1:9" ht="15" customHeight="1" x14ac:dyDescent="0.25">
      <c r="A2118" s="87" t="s">
        <v>38</v>
      </c>
      <c r="B2118" s="87" t="s">
        <v>225</v>
      </c>
      <c r="C2118" s="87">
        <v>1979</v>
      </c>
      <c r="D2118" s="87" t="s">
        <v>15</v>
      </c>
      <c r="E2118" s="116">
        <v>-1</v>
      </c>
      <c r="F2118" s="87" t="s">
        <v>586</v>
      </c>
      <c r="G2118" s="87" t="s">
        <v>967</v>
      </c>
      <c r="H2118" s="87" t="s">
        <v>586</v>
      </c>
      <c r="I2118" s="87">
        <v>12</v>
      </c>
    </row>
    <row r="2119" spans="1:9" ht="15" customHeight="1" x14ac:dyDescent="0.25">
      <c r="A2119" s="87" t="s">
        <v>38</v>
      </c>
      <c r="B2119" s="87" t="s">
        <v>225</v>
      </c>
      <c r="C2119" s="87">
        <v>1980</v>
      </c>
      <c r="D2119" s="87" t="s">
        <v>15</v>
      </c>
      <c r="E2119" s="116">
        <v>-1</v>
      </c>
      <c r="F2119" s="87" t="s">
        <v>586</v>
      </c>
      <c r="G2119" s="87" t="s">
        <v>967</v>
      </c>
      <c r="H2119" s="87" t="s">
        <v>586</v>
      </c>
      <c r="I2119" s="87">
        <v>12</v>
      </c>
    </row>
    <row r="2120" spans="1:9" ht="15" customHeight="1" x14ac:dyDescent="0.25">
      <c r="A2120" s="87" t="s">
        <v>38</v>
      </c>
      <c r="B2120" s="87" t="s">
        <v>225</v>
      </c>
      <c r="C2120" s="87">
        <v>1981</v>
      </c>
      <c r="D2120" s="87" t="s">
        <v>15</v>
      </c>
      <c r="E2120" s="116">
        <v>10</v>
      </c>
      <c r="F2120" s="87" t="s">
        <v>586</v>
      </c>
      <c r="G2120" s="87" t="s">
        <v>967</v>
      </c>
      <c r="H2120" s="87" t="s">
        <v>586</v>
      </c>
      <c r="I2120" s="87">
        <v>12</v>
      </c>
    </row>
    <row r="2121" spans="1:9" ht="15" customHeight="1" x14ac:dyDescent="0.25">
      <c r="A2121" s="87" t="s">
        <v>38</v>
      </c>
      <c r="B2121" s="87" t="s">
        <v>225</v>
      </c>
      <c r="C2121" s="87">
        <v>1982</v>
      </c>
      <c r="D2121" s="87" t="s">
        <v>15</v>
      </c>
      <c r="E2121" s="116">
        <v>80</v>
      </c>
      <c r="F2121" s="87" t="s">
        <v>586</v>
      </c>
      <c r="G2121" s="87" t="s">
        <v>967</v>
      </c>
      <c r="H2121" s="87" t="s">
        <v>586</v>
      </c>
      <c r="I2121" s="87">
        <v>12</v>
      </c>
    </row>
    <row r="2122" spans="1:9" ht="15" customHeight="1" x14ac:dyDescent="0.25">
      <c r="A2122" s="87" t="s">
        <v>38</v>
      </c>
      <c r="B2122" s="87" t="s">
        <v>225</v>
      </c>
      <c r="C2122" s="87">
        <v>1983</v>
      </c>
      <c r="D2122" s="87" t="s">
        <v>15</v>
      </c>
      <c r="E2122" s="116">
        <v>75</v>
      </c>
      <c r="F2122" s="87" t="s">
        <v>586</v>
      </c>
      <c r="G2122" s="87" t="s">
        <v>967</v>
      </c>
      <c r="H2122" s="87" t="s">
        <v>586</v>
      </c>
      <c r="I2122" s="87">
        <v>12</v>
      </c>
    </row>
    <row r="2123" spans="1:9" ht="15" customHeight="1" x14ac:dyDescent="0.25">
      <c r="A2123" s="87" t="s">
        <v>38</v>
      </c>
      <c r="B2123" s="87" t="s">
        <v>225</v>
      </c>
      <c r="C2123" s="87">
        <v>1984</v>
      </c>
      <c r="D2123" s="87" t="s">
        <v>15</v>
      </c>
      <c r="E2123" s="116">
        <v>200</v>
      </c>
      <c r="F2123" s="87" t="s">
        <v>586</v>
      </c>
      <c r="G2123" s="87" t="s">
        <v>967</v>
      </c>
      <c r="H2123" s="87" t="s">
        <v>586</v>
      </c>
      <c r="I2123" s="87">
        <v>12</v>
      </c>
    </row>
    <row r="2124" spans="1:9" ht="15" customHeight="1" x14ac:dyDescent="0.25">
      <c r="A2124" s="87" t="s">
        <v>38</v>
      </c>
      <c r="B2124" s="87" t="s">
        <v>225</v>
      </c>
      <c r="C2124" s="87">
        <v>1985</v>
      </c>
      <c r="D2124" s="87" t="s">
        <v>15</v>
      </c>
      <c r="E2124" s="116">
        <v>450</v>
      </c>
      <c r="F2124" s="87" t="s">
        <v>586</v>
      </c>
      <c r="G2124" s="87" t="s">
        <v>967</v>
      </c>
      <c r="H2124" s="87" t="s">
        <v>586</v>
      </c>
      <c r="I2124" s="87">
        <v>12</v>
      </c>
    </row>
    <row r="2125" spans="1:9" ht="15" customHeight="1" x14ac:dyDescent="0.25">
      <c r="A2125" s="87" t="s">
        <v>38</v>
      </c>
      <c r="B2125" s="87" t="s">
        <v>225</v>
      </c>
      <c r="C2125" s="87">
        <v>1986</v>
      </c>
      <c r="D2125" s="87" t="s">
        <v>15</v>
      </c>
      <c r="E2125" s="116">
        <v>450</v>
      </c>
      <c r="F2125" s="87" t="s">
        <v>586</v>
      </c>
      <c r="G2125" s="87" t="s">
        <v>967</v>
      </c>
      <c r="H2125" s="87" t="s">
        <v>586</v>
      </c>
      <c r="I2125" s="87">
        <v>12</v>
      </c>
    </row>
    <row r="2126" spans="1:9" ht="15" customHeight="1" x14ac:dyDescent="0.25">
      <c r="A2126" s="87" t="s">
        <v>38</v>
      </c>
      <c r="B2126" s="87" t="s">
        <v>225</v>
      </c>
      <c r="C2126" s="87">
        <v>1987</v>
      </c>
      <c r="D2126" s="87" t="s">
        <v>15</v>
      </c>
      <c r="E2126" s="116">
        <v>250</v>
      </c>
      <c r="F2126" s="87" t="s">
        <v>586</v>
      </c>
      <c r="G2126" s="87" t="s">
        <v>967</v>
      </c>
      <c r="H2126" s="87" t="s">
        <v>586</v>
      </c>
      <c r="I2126" s="87">
        <v>12</v>
      </c>
    </row>
    <row r="2127" spans="1:9" ht="15" customHeight="1" x14ac:dyDescent="0.25">
      <c r="A2127" s="87" t="s">
        <v>38</v>
      </c>
      <c r="B2127" s="87" t="s">
        <v>225</v>
      </c>
      <c r="C2127" s="87">
        <v>1988</v>
      </c>
      <c r="D2127" s="87" t="s">
        <v>15</v>
      </c>
      <c r="E2127" s="116">
        <v>170</v>
      </c>
      <c r="F2127" s="87" t="s">
        <v>586</v>
      </c>
      <c r="G2127" s="87" t="s">
        <v>967</v>
      </c>
      <c r="H2127" s="87" t="s">
        <v>586</v>
      </c>
      <c r="I2127" s="87">
        <v>12</v>
      </c>
    </row>
    <row r="2128" spans="1:9" ht="15" customHeight="1" x14ac:dyDescent="0.25">
      <c r="A2128" s="87" t="s">
        <v>38</v>
      </c>
      <c r="B2128" s="87" t="s">
        <v>225</v>
      </c>
      <c r="C2128" s="87">
        <v>1989</v>
      </c>
      <c r="D2128" s="87" t="s">
        <v>15</v>
      </c>
      <c r="E2128" s="116">
        <v>110</v>
      </c>
      <c r="F2128" s="87" t="s">
        <v>586</v>
      </c>
      <c r="G2128" s="87" t="s">
        <v>967</v>
      </c>
      <c r="H2128" s="87" t="s">
        <v>586</v>
      </c>
      <c r="I2128" s="87">
        <v>12</v>
      </c>
    </row>
    <row r="2129" spans="1:9" ht="15" customHeight="1" x14ac:dyDescent="0.25">
      <c r="A2129" s="87" t="s">
        <v>38</v>
      </c>
      <c r="B2129" s="87" t="s">
        <v>225</v>
      </c>
      <c r="C2129" s="87">
        <v>1990</v>
      </c>
      <c r="D2129" s="87" t="s">
        <v>15</v>
      </c>
      <c r="E2129" s="116">
        <v>420</v>
      </c>
      <c r="F2129" s="87" t="s">
        <v>586</v>
      </c>
      <c r="G2129" s="87" t="s">
        <v>967</v>
      </c>
      <c r="H2129" s="87" t="s">
        <v>586</v>
      </c>
      <c r="I2129" s="87">
        <v>12</v>
      </c>
    </row>
    <row r="2130" spans="1:9" ht="15" customHeight="1" x14ac:dyDescent="0.25">
      <c r="A2130" s="87" t="s">
        <v>38</v>
      </c>
      <c r="B2130" s="87" t="s">
        <v>225</v>
      </c>
      <c r="C2130" s="87">
        <v>1991</v>
      </c>
      <c r="D2130" s="87" t="s">
        <v>15</v>
      </c>
      <c r="E2130" s="116">
        <v>523</v>
      </c>
      <c r="F2130" s="87" t="s">
        <v>586</v>
      </c>
      <c r="G2130" s="87" t="s">
        <v>967</v>
      </c>
      <c r="H2130" s="87" t="s">
        <v>586</v>
      </c>
      <c r="I2130" s="87">
        <v>12</v>
      </c>
    </row>
    <row r="2131" spans="1:9" ht="15" customHeight="1" x14ac:dyDescent="0.25">
      <c r="A2131" s="87" t="s">
        <v>38</v>
      </c>
      <c r="B2131" s="87" t="s">
        <v>225</v>
      </c>
      <c r="C2131" s="87">
        <v>1992</v>
      </c>
      <c r="D2131" s="87" t="s">
        <v>15</v>
      </c>
      <c r="E2131" s="116">
        <v>458</v>
      </c>
      <c r="F2131" s="87" t="s">
        <v>586</v>
      </c>
      <c r="G2131" s="87" t="s">
        <v>967</v>
      </c>
      <c r="H2131" s="87" t="s">
        <v>586</v>
      </c>
      <c r="I2131" s="87">
        <v>12</v>
      </c>
    </row>
    <row r="2132" spans="1:9" ht="15" customHeight="1" x14ac:dyDescent="0.25">
      <c r="A2132" s="87" t="s">
        <v>38</v>
      </c>
      <c r="B2132" s="87" t="s">
        <v>225</v>
      </c>
      <c r="C2132" s="87">
        <v>1993</v>
      </c>
      <c r="D2132" s="87" t="s">
        <v>15</v>
      </c>
      <c r="E2132" s="116">
        <v>575</v>
      </c>
      <c r="F2132" s="87" t="s">
        <v>586</v>
      </c>
      <c r="G2132" s="87" t="s">
        <v>967</v>
      </c>
      <c r="H2132" s="87" t="s">
        <v>586</v>
      </c>
      <c r="I2132" s="87">
        <v>12</v>
      </c>
    </row>
    <row r="2133" spans="1:9" ht="15" customHeight="1" x14ac:dyDescent="0.25">
      <c r="A2133" s="87" t="s">
        <v>38</v>
      </c>
      <c r="B2133" s="87" t="s">
        <v>225</v>
      </c>
      <c r="C2133" s="87">
        <v>1994</v>
      </c>
      <c r="D2133" s="87" t="s">
        <v>15</v>
      </c>
      <c r="E2133" s="116">
        <v>530</v>
      </c>
      <c r="F2133" s="87" t="s">
        <v>586</v>
      </c>
      <c r="G2133" s="87" t="s">
        <v>967</v>
      </c>
      <c r="H2133" s="87" t="s">
        <v>586</v>
      </c>
      <c r="I2133" s="87">
        <v>12</v>
      </c>
    </row>
    <row r="2134" spans="1:9" ht="15" customHeight="1" x14ac:dyDescent="0.25">
      <c r="A2134" s="87" t="s">
        <v>38</v>
      </c>
      <c r="B2134" s="87" t="s">
        <v>225</v>
      </c>
      <c r="C2134" s="87">
        <v>1995</v>
      </c>
      <c r="D2134" s="87" t="s">
        <v>15</v>
      </c>
      <c r="E2134" s="116">
        <v>550</v>
      </c>
      <c r="F2134" s="87" t="s">
        <v>586</v>
      </c>
      <c r="G2134" s="87" t="s">
        <v>967</v>
      </c>
      <c r="H2134" s="87" t="s">
        <v>967</v>
      </c>
      <c r="I2134" s="87">
        <v>12</v>
      </c>
    </row>
    <row r="2135" spans="1:9" ht="15" customHeight="1" x14ac:dyDescent="0.25">
      <c r="A2135" s="87" t="s">
        <v>38</v>
      </c>
      <c r="B2135" s="87" t="s">
        <v>225</v>
      </c>
      <c r="C2135" s="87">
        <v>1996</v>
      </c>
      <c r="D2135" s="87" t="s">
        <v>15</v>
      </c>
      <c r="E2135" s="116">
        <v>571</v>
      </c>
      <c r="F2135" s="87" t="s">
        <v>586</v>
      </c>
      <c r="G2135" s="87" t="s">
        <v>967</v>
      </c>
      <c r="H2135" s="87" t="s">
        <v>967</v>
      </c>
      <c r="I2135" s="87">
        <v>12</v>
      </c>
    </row>
    <row r="2136" spans="1:9" ht="15" customHeight="1" x14ac:dyDescent="0.25">
      <c r="A2136" s="87" t="s">
        <v>38</v>
      </c>
      <c r="B2136" s="87" t="s">
        <v>225</v>
      </c>
      <c r="C2136" s="87">
        <v>1997</v>
      </c>
      <c r="D2136" s="87" t="s">
        <v>15</v>
      </c>
      <c r="E2136" s="116">
        <v>625</v>
      </c>
      <c r="F2136" s="87" t="s">
        <v>586</v>
      </c>
      <c r="G2136" s="87" t="s">
        <v>967</v>
      </c>
      <c r="H2136" s="87" t="s">
        <v>967</v>
      </c>
      <c r="I2136" s="87">
        <v>12</v>
      </c>
    </row>
    <row r="2137" spans="1:9" ht="15" customHeight="1" x14ac:dyDescent="0.25">
      <c r="A2137" s="87" t="s">
        <v>38</v>
      </c>
      <c r="B2137" s="87" t="s">
        <v>225</v>
      </c>
      <c r="C2137" s="87">
        <v>1998</v>
      </c>
      <c r="D2137" s="87" t="s">
        <v>15</v>
      </c>
      <c r="E2137" s="116">
        <v>357</v>
      </c>
      <c r="F2137" s="87" t="s">
        <v>967</v>
      </c>
      <c r="G2137" s="87" t="s">
        <v>289</v>
      </c>
      <c r="H2137" s="87" t="s">
        <v>621</v>
      </c>
      <c r="I2137" s="87">
        <v>12</v>
      </c>
    </row>
    <row r="2138" spans="1:9" ht="15" customHeight="1" x14ac:dyDescent="0.25">
      <c r="A2138" s="87" t="s">
        <v>38</v>
      </c>
      <c r="B2138" s="87" t="s">
        <v>225</v>
      </c>
      <c r="C2138" s="87">
        <v>1999</v>
      </c>
      <c r="D2138" s="87" t="s">
        <v>15</v>
      </c>
      <c r="E2138" s="116">
        <v>275</v>
      </c>
      <c r="F2138" s="87" t="s">
        <v>967</v>
      </c>
      <c r="G2138" s="87" t="s">
        <v>289</v>
      </c>
      <c r="H2138" s="87" t="s">
        <v>622</v>
      </c>
      <c r="I2138" s="87">
        <v>12</v>
      </c>
    </row>
    <row r="2139" spans="1:9" ht="15" customHeight="1" x14ac:dyDescent="0.25">
      <c r="A2139" s="87" t="s">
        <v>38</v>
      </c>
      <c r="B2139" s="87" t="s">
        <v>225</v>
      </c>
      <c r="C2139" s="87">
        <v>2000</v>
      </c>
      <c r="D2139" s="87" t="s">
        <v>15</v>
      </c>
      <c r="E2139" s="116">
        <v>198</v>
      </c>
      <c r="F2139" s="87" t="s">
        <v>967</v>
      </c>
      <c r="G2139" s="87" t="s">
        <v>289</v>
      </c>
      <c r="H2139" s="87" t="s">
        <v>623</v>
      </c>
      <c r="I2139" s="87">
        <v>12</v>
      </c>
    </row>
    <row r="2140" spans="1:9" ht="15" customHeight="1" x14ac:dyDescent="0.25">
      <c r="A2140" s="87" t="s">
        <v>38</v>
      </c>
      <c r="B2140" s="87" t="s">
        <v>225</v>
      </c>
      <c r="C2140" s="87">
        <v>2001</v>
      </c>
      <c r="D2140" s="87" t="s">
        <v>15</v>
      </c>
      <c r="E2140" s="116">
        <v>308</v>
      </c>
      <c r="F2140" s="87" t="s">
        <v>967</v>
      </c>
      <c r="G2140" s="87" t="s">
        <v>289</v>
      </c>
      <c r="H2140" s="87" t="s">
        <v>967</v>
      </c>
      <c r="I2140" s="87">
        <v>12</v>
      </c>
    </row>
    <row r="2141" spans="1:9" ht="15" customHeight="1" x14ac:dyDescent="0.25">
      <c r="A2141" s="87" t="s">
        <v>38</v>
      </c>
      <c r="B2141" s="87" t="s">
        <v>225</v>
      </c>
      <c r="C2141" s="87">
        <v>2002</v>
      </c>
      <c r="D2141" s="87" t="s">
        <v>15</v>
      </c>
      <c r="E2141" s="116">
        <v>513</v>
      </c>
      <c r="F2141" s="87" t="s">
        <v>967</v>
      </c>
      <c r="G2141" s="87" t="s">
        <v>273</v>
      </c>
      <c r="H2141" s="87" t="s">
        <v>967</v>
      </c>
      <c r="I2141" s="87">
        <v>12</v>
      </c>
    </row>
    <row r="2142" spans="1:9" ht="15" customHeight="1" x14ac:dyDescent="0.25">
      <c r="A2142" s="87" t="s">
        <v>38</v>
      </c>
      <c r="B2142" s="87" t="s">
        <v>225</v>
      </c>
      <c r="C2142" s="87">
        <v>2003</v>
      </c>
      <c r="D2142" s="87" t="s">
        <v>15</v>
      </c>
      <c r="E2142" s="116">
        <v>444</v>
      </c>
      <c r="F2142" s="87" t="s">
        <v>967</v>
      </c>
      <c r="G2142" s="87" t="s">
        <v>273</v>
      </c>
      <c r="H2142" s="87" t="s">
        <v>624</v>
      </c>
      <c r="I2142" s="87">
        <v>12</v>
      </c>
    </row>
    <row r="2143" spans="1:9" ht="15" customHeight="1" x14ac:dyDescent="0.25">
      <c r="A2143" s="87" t="s">
        <v>38</v>
      </c>
      <c r="B2143" s="87" t="s">
        <v>225</v>
      </c>
      <c r="C2143" s="87">
        <v>2004</v>
      </c>
      <c r="D2143" s="87" t="s">
        <v>15</v>
      </c>
      <c r="E2143" s="116">
        <v>208</v>
      </c>
      <c r="F2143" s="87" t="s">
        <v>967</v>
      </c>
      <c r="G2143" s="87" t="s">
        <v>289</v>
      </c>
      <c r="H2143" s="87" t="s">
        <v>625</v>
      </c>
      <c r="I2143" s="87">
        <v>12</v>
      </c>
    </row>
    <row r="2144" spans="1:9" ht="15" customHeight="1" x14ac:dyDescent="0.25">
      <c r="A2144" s="87" t="s">
        <v>38</v>
      </c>
      <c r="B2144" s="87" t="s">
        <v>225</v>
      </c>
      <c r="C2144" s="87">
        <v>2005</v>
      </c>
      <c r="D2144" s="87" t="s">
        <v>15</v>
      </c>
      <c r="E2144" s="116">
        <v>224</v>
      </c>
      <c r="F2144" s="87" t="s">
        <v>967</v>
      </c>
      <c r="G2144" s="87" t="s">
        <v>289</v>
      </c>
      <c r="H2144" s="87" t="s">
        <v>626</v>
      </c>
      <c r="I2144" s="87">
        <v>12</v>
      </c>
    </row>
    <row r="2145" spans="1:9" ht="15" customHeight="1" x14ac:dyDescent="0.25">
      <c r="A2145" s="87" t="s">
        <v>38</v>
      </c>
      <c r="B2145" s="87" t="s">
        <v>225</v>
      </c>
      <c r="C2145" s="87">
        <v>2006</v>
      </c>
      <c r="D2145" s="87" t="s">
        <v>15</v>
      </c>
      <c r="E2145" s="116">
        <v>248</v>
      </c>
      <c r="F2145" s="87" t="s">
        <v>967</v>
      </c>
      <c r="G2145" s="87" t="s">
        <v>289</v>
      </c>
      <c r="H2145" s="87" t="s">
        <v>627</v>
      </c>
      <c r="I2145" s="87">
        <v>12</v>
      </c>
    </row>
    <row r="2146" spans="1:9" ht="15" customHeight="1" x14ac:dyDescent="0.25">
      <c r="A2146" s="87" t="s">
        <v>38</v>
      </c>
      <c r="B2146" s="87" t="s">
        <v>225</v>
      </c>
      <c r="C2146" s="87">
        <v>2007</v>
      </c>
      <c r="D2146" s="87" t="s">
        <v>15</v>
      </c>
      <c r="E2146" s="116">
        <v>181</v>
      </c>
      <c r="F2146" s="87" t="s">
        <v>967</v>
      </c>
      <c r="G2146" s="87" t="s">
        <v>289</v>
      </c>
      <c r="H2146" s="87" t="s">
        <v>628</v>
      </c>
      <c r="I2146" s="87">
        <v>12</v>
      </c>
    </row>
    <row r="2147" spans="1:9" ht="15" customHeight="1" x14ac:dyDescent="0.25">
      <c r="A2147" s="87" t="s">
        <v>38</v>
      </c>
      <c r="B2147" s="87" t="s">
        <v>225</v>
      </c>
      <c r="C2147" s="87">
        <v>2008</v>
      </c>
      <c r="D2147" s="87" t="s">
        <v>15</v>
      </c>
      <c r="E2147" s="116">
        <v>226</v>
      </c>
      <c r="F2147" s="87" t="s">
        <v>967</v>
      </c>
      <c r="G2147" s="87" t="s">
        <v>289</v>
      </c>
      <c r="H2147" s="87" t="s">
        <v>967</v>
      </c>
      <c r="I2147" s="87">
        <v>12</v>
      </c>
    </row>
    <row r="2148" spans="1:9" ht="15" customHeight="1" x14ac:dyDescent="0.25">
      <c r="A2148" s="87" t="s">
        <v>38</v>
      </c>
      <c r="B2148" s="87" t="s">
        <v>225</v>
      </c>
      <c r="C2148" s="87">
        <v>2009</v>
      </c>
      <c r="D2148" s="87" t="s">
        <v>15</v>
      </c>
      <c r="E2148" s="116">
        <v>-1</v>
      </c>
      <c r="F2148" s="87" t="s">
        <v>967</v>
      </c>
      <c r="G2148" s="87" t="s">
        <v>967</v>
      </c>
      <c r="H2148" s="87" t="s">
        <v>967</v>
      </c>
      <c r="I2148" s="87">
        <v>12</v>
      </c>
    </row>
    <row r="2149" spans="1:9" ht="15" customHeight="1" x14ac:dyDescent="0.25">
      <c r="A2149" s="87" t="s">
        <v>38</v>
      </c>
      <c r="B2149" s="87" t="s">
        <v>225</v>
      </c>
      <c r="C2149" s="87">
        <v>2010</v>
      </c>
      <c r="D2149" s="87" t="s">
        <v>15</v>
      </c>
      <c r="E2149" s="116">
        <v>-1</v>
      </c>
      <c r="F2149" s="87" t="s">
        <v>967</v>
      </c>
      <c r="G2149" s="87" t="s">
        <v>967</v>
      </c>
      <c r="H2149" s="87" t="s">
        <v>967</v>
      </c>
      <c r="I2149" s="87">
        <v>12</v>
      </c>
    </row>
    <row r="2150" spans="1:9" ht="15" customHeight="1" x14ac:dyDescent="0.25">
      <c r="A2150" s="87" t="s">
        <v>38</v>
      </c>
      <c r="B2150" s="87" t="s">
        <v>225</v>
      </c>
      <c r="C2150" s="87">
        <v>2011</v>
      </c>
      <c r="D2150" s="87" t="s">
        <v>15</v>
      </c>
      <c r="E2150" s="116">
        <v>-1</v>
      </c>
      <c r="F2150" s="87" t="s">
        <v>967</v>
      </c>
      <c r="G2150" s="87" t="s">
        <v>967</v>
      </c>
      <c r="H2150" s="87" t="s">
        <v>967</v>
      </c>
      <c r="I2150" s="87">
        <v>12</v>
      </c>
    </row>
    <row r="2151" spans="1:9" ht="15" customHeight="1" x14ac:dyDescent="0.25">
      <c r="A2151" s="87" t="s">
        <v>38</v>
      </c>
      <c r="B2151" s="87" t="s">
        <v>225</v>
      </c>
      <c r="C2151" s="87">
        <v>2012</v>
      </c>
      <c r="D2151" s="87" t="s">
        <v>15</v>
      </c>
      <c r="E2151" s="116">
        <v>-1</v>
      </c>
      <c r="F2151" s="87" t="s">
        <v>967</v>
      </c>
      <c r="G2151" s="87" t="s">
        <v>967</v>
      </c>
      <c r="H2151" s="87" t="s">
        <v>967</v>
      </c>
      <c r="I2151" s="87">
        <v>12</v>
      </c>
    </row>
    <row r="2152" spans="1:9" ht="15" customHeight="1" x14ac:dyDescent="0.25">
      <c r="A2152" s="87" t="s">
        <v>38</v>
      </c>
      <c r="B2152" s="87" t="s">
        <v>225</v>
      </c>
      <c r="C2152" s="87">
        <v>2013</v>
      </c>
      <c r="D2152" s="87" t="s">
        <v>15</v>
      </c>
      <c r="E2152" s="116">
        <v>-1</v>
      </c>
      <c r="F2152" s="87" t="s">
        <v>967</v>
      </c>
      <c r="G2152" s="87" t="s">
        <v>967</v>
      </c>
      <c r="H2152" s="87" t="s">
        <v>967</v>
      </c>
      <c r="I2152" s="87">
        <v>12</v>
      </c>
    </row>
    <row r="2153" spans="1:9" ht="15" customHeight="1" x14ac:dyDescent="0.25">
      <c r="A2153" s="87" t="s">
        <v>38</v>
      </c>
      <c r="B2153" s="87" t="s">
        <v>225</v>
      </c>
      <c r="C2153" s="87">
        <v>2014</v>
      </c>
      <c r="D2153" s="87" t="s">
        <v>15</v>
      </c>
      <c r="E2153" s="116">
        <v>-1</v>
      </c>
      <c r="F2153" s="87" t="s">
        <v>967</v>
      </c>
      <c r="G2153" s="87" t="s">
        <v>967</v>
      </c>
      <c r="H2153" s="87" t="s">
        <v>967</v>
      </c>
      <c r="I2153" s="87">
        <v>12</v>
      </c>
    </row>
    <row r="2154" spans="1:9" ht="15" customHeight="1" x14ac:dyDescent="0.25">
      <c r="A2154" s="87" t="s">
        <v>38</v>
      </c>
      <c r="B2154" s="87" t="s">
        <v>225</v>
      </c>
      <c r="C2154" s="87">
        <v>2015</v>
      </c>
      <c r="D2154" s="87" t="s">
        <v>15</v>
      </c>
      <c r="E2154" s="116">
        <v>-1</v>
      </c>
      <c r="F2154" s="87" t="s">
        <v>967</v>
      </c>
      <c r="G2154" s="87" t="s">
        <v>967</v>
      </c>
      <c r="H2154" s="87" t="s">
        <v>967</v>
      </c>
      <c r="I2154" s="87">
        <v>12</v>
      </c>
    </row>
    <row r="2155" spans="1:9" ht="15" customHeight="1" x14ac:dyDescent="0.25">
      <c r="A2155" s="87" t="s">
        <v>38</v>
      </c>
      <c r="B2155" s="87" t="s">
        <v>225</v>
      </c>
      <c r="C2155" s="87">
        <v>2016</v>
      </c>
      <c r="D2155" s="87" t="s">
        <v>15</v>
      </c>
      <c r="E2155" s="116">
        <v>-1</v>
      </c>
      <c r="F2155" s="87" t="s">
        <v>967</v>
      </c>
      <c r="G2155" s="87" t="s">
        <v>967</v>
      </c>
      <c r="H2155" s="87" t="s">
        <v>967</v>
      </c>
      <c r="I2155" s="87">
        <v>12</v>
      </c>
    </row>
    <row r="2156" spans="1:9" ht="15" customHeight="1" x14ac:dyDescent="0.25">
      <c r="A2156" s="87" t="s">
        <v>38</v>
      </c>
      <c r="B2156" s="87" t="s">
        <v>225</v>
      </c>
      <c r="C2156" s="87">
        <v>2017</v>
      </c>
      <c r="D2156" s="87" t="s">
        <v>15</v>
      </c>
      <c r="E2156" s="116">
        <v>-1</v>
      </c>
      <c r="F2156" s="87" t="s">
        <v>967</v>
      </c>
      <c r="G2156" s="87" t="s">
        <v>967</v>
      </c>
      <c r="H2156" s="87" t="s">
        <v>967</v>
      </c>
      <c r="I2156" s="87">
        <v>12</v>
      </c>
    </row>
    <row r="2157" spans="1:9" ht="15" customHeight="1" x14ac:dyDescent="0.25">
      <c r="A2157" s="87" t="s">
        <v>38</v>
      </c>
      <c r="B2157" s="87" t="s">
        <v>225</v>
      </c>
      <c r="C2157" s="87">
        <v>2018</v>
      </c>
      <c r="D2157" s="87" t="s">
        <v>15</v>
      </c>
      <c r="E2157" s="116">
        <v>-1</v>
      </c>
      <c r="F2157" s="87" t="s">
        <v>967</v>
      </c>
      <c r="G2157" s="87" t="s">
        <v>967</v>
      </c>
      <c r="H2157" s="87" t="s">
        <v>967</v>
      </c>
      <c r="I2157" s="87">
        <v>12</v>
      </c>
    </row>
    <row r="2158" spans="1:9" ht="15" customHeight="1" x14ac:dyDescent="0.25">
      <c r="A2158" s="87" t="s">
        <v>38</v>
      </c>
      <c r="B2158" s="87" t="s">
        <v>225</v>
      </c>
      <c r="C2158" s="87">
        <v>2019</v>
      </c>
      <c r="D2158" s="87" t="s">
        <v>15</v>
      </c>
      <c r="E2158" s="116">
        <v>-1</v>
      </c>
      <c r="F2158" s="87" t="s">
        <v>967</v>
      </c>
      <c r="G2158" s="87" t="s">
        <v>967</v>
      </c>
      <c r="H2158" s="87" t="s">
        <v>967</v>
      </c>
      <c r="I2158" s="87">
        <v>12</v>
      </c>
    </row>
    <row r="2159" spans="1:9" ht="15" customHeight="1" x14ac:dyDescent="0.25">
      <c r="A2159" s="87" t="s">
        <v>38</v>
      </c>
      <c r="B2159" s="87" t="s">
        <v>225</v>
      </c>
      <c r="C2159" s="87">
        <v>2020</v>
      </c>
      <c r="D2159" s="87" t="s">
        <v>15</v>
      </c>
      <c r="E2159" s="116">
        <v>-1</v>
      </c>
      <c r="F2159" s="87" t="s">
        <v>967</v>
      </c>
      <c r="G2159" s="87" t="s">
        <v>967</v>
      </c>
      <c r="H2159" s="87" t="s">
        <v>967</v>
      </c>
      <c r="I2159" s="87">
        <v>12</v>
      </c>
    </row>
    <row r="2160" spans="1:9" ht="15" customHeight="1" x14ac:dyDescent="0.25">
      <c r="A2160" s="87" t="s">
        <v>38</v>
      </c>
      <c r="B2160" s="87" t="s">
        <v>225</v>
      </c>
      <c r="C2160" s="87">
        <v>2021</v>
      </c>
      <c r="D2160" s="87" t="s">
        <v>15</v>
      </c>
      <c r="E2160" s="116">
        <v>-1</v>
      </c>
      <c r="F2160" s="87" t="s">
        <v>967</v>
      </c>
      <c r="G2160" s="87" t="s">
        <v>967</v>
      </c>
      <c r="H2160" s="87" t="s">
        <v>967</v>
      </c>
      <c r="I2160" s="87">
        <v>12</v>
      </c>
    </row>
    <row r="2161" spans="1:10" ht="15" customHeight="1" x14ac:dyDescent="0.25">
      <c r="A2161" s="87" t="s">
        <v>38</v>
      </c>
      <c r="B2161" s="87" t="s">
        <v>225</v>
      </c>
      <c r="C2161" s="87">
        <v>2022</v>
      </c>
      <c r="D2161" s="87" t="s">
        <v>15</v>
      </c>
      <c r="E2161" s="116">
        <v>-1</v>
      </c>
      <c r="F2161" s="87" t="s">
        <v>967</v>
      </c>
      <c r="G2161" s="87" t="s">
        <v>967</v>
      </c>
      <c r="H2161" s="87" t="s">
        <v>967</v>
      </c>
      <c r="I2161" s="87">
        <v>12</v>
      </c>
      <c r="J2161" s="151"/>
    </row>
    <row r="2162" spans="1:10" ht="15" customHeight="1" x14ac:dyDescent="0.25">
      <c r="A2162" s="87" t="s">
        <v>38</v>
      </c>
      <c r="B2162" s="87" t="s">
        <v>229</v>
      </c>
      <c r="C2162" s="87">
        <v>1975</v>
      </c>
      <c r="D2162" s="87" t="s">
        <v>15</v>
      </c>
      <c r="E2162" s="116">
        <v>-1</v>
      </c>
      <c r="F2162" s="87" t="s">
        <v>508</v>
      </c>
      <c r="G2162" s="87" t="s">
        <v>967</v>
      </c>
      <c r="H2162" s="87" t="s">
        <v>508</v>
      </c>
      <c r="I2162" s="87">
        <v>15</v>
      </c>
    </row>
    <row r="2163" spans="1:10" ht="15" customHeight="1" x14ac:dyDescent="0.25">
      <c r="A2163" s="87" t="s">
        <v>38</v>
      </c>
      <c r="B2163" s="87" t="s">
        <v>229</v>
      </c>
      <c r="C2163" s="87">
        <v>1976</v>
      </c>
      <c r="D2163" s="87" t="s">
        <v>15</v>
      </c>
      <c r="E2163" s="116">
        <v>-1</v>
      </c>
      <c r="F2163" s="87" t="s">
        <v>508</v>
      </c>
      <c r="G2163" s="87" t="s">
        <v>967</v>
      </c>
      <c r="H2163" s="87" t="s">
        <v>508</v>
      </c>
      <c r="I2163" s="87">
        <v>15</v>
      </c>
    </row>
    <row r="2164" spans="1:10" ht="15" customHeight="1" x14ac:dyDescent="0.25">
      <c r="A2164" s="87" t="s">
        <v>38</v>
      </c>
      <c r="B2164" s="87" t="s">
        <v>229</v>
      </c>
      <c r="C2164" s="87">
        <v>1977</v>
      </c>
      <c r="D2164" s="87" t="s">
        <v>15</v>
      </c>
      <c r="E2164" s="116">
        <v>-1</v>
      </c>
      <c r="F2164" s="87" t="s">
        <v>508</v>
      </c>
      <c r="G2164" s="87" t="s">
        <v>967</v>
      </c>
      <c r="H2164" s="87" t="s">
        <v>508</v>
      </c>
      <c r="I2164" s="87">
        <v>15</v>
      </c>
    </row>
    <row r="2165" spans="1:10" ht="15" customHeight="1" x14ac:dyDescent="0.25">
      <c r="A2165" s="87" t="s">
        <v>38</v>
      </c>
      <c r="B2165" s="87" t="s">
        <v>229</v>
      </c>
      <c r="C2165" s="87">
        <v>1978</v>
      </c>
      <c r="D2165" s="87" t="s">
        <v>15</v>
      </c>
      <c r="E2165" s="116">
        <v>-1</v>
      </c>
      <c r="F2165" s="87" t="s">
        <v>508</v>
      </c>
      <c r="G2165" s="87" t="s">
        <v>967</v>
      </c>
      <c r="H2165" s="87" t="s">
        <v>508</v>
      </c>
      <c r="I2165" s="87">
        <v>15</v>
      </c>
    </row>
    <row r="2166" spans="1:10" ht="15" customHeight="1" x14ac:dyDescent="0.25">
      <c r="A2166" s="87" t="s">
        <v>38</v>
      </c>
      <c r="B2166" s="87" t="s">
        <v>229</v>
      </c>
      <c r="C2166" s="87">
        <v>1979</v>
      </c>
      <c r="D2166" s="87" t="s">
        <v>15</v>
      </c>
      <c r="E2166" s="116">
        <v>160</v>
      </c>
      <c r="F2166" s="87" t="s">
        <v>508</v>
      </c>
      <c r="G2166" s="87" t="s">
        <v>967</v>
      </c>
      <c r="H2166" s="87" t="s">
        <v>508</v>
      </c>
      <c r="I2166" s="87">
        <v>15</v>
      </c>
    </row>
    <row r="2167" spans="1:10" ht="15" customHeight="1" x14ac:dyDescent="0.25">
      <c r="A2167" s="87" t="s">
        <v>38</v>
      </c>
      <c r="B2167" s="87" t="s">
        <v>229</v>
      </c>
      <c r="C2167" s="87">
        <v>1980</v>
      </c>
      <c r="D2167" s="87" t="s">
        <v>15</v>
      </c>
      <c r="E2167" s="116">
        <v>85</v>
      </c>
      <c r="F2167" s="87" t="s">
        <v>508</v>
      </c>
      <c r="G2167" s="87" t="s">
        <v>967</v>
      </c>
      <c r="H2167" s="87" t="s">
        <v>508</v>
      </c>
      <c r="I2167" s="87">
        <v>15</v>
      </c>
    </row>
    <row r="2168" spans="1:10" ht="15" customHeight="1" x14ac:dyDescent="0.25">
      <c r="A2168" s="87" t="s">
        <v>38</v>
      </c>
      <c r="B2168" s="87" t="s">
        <v>229</v>
      </c>
      <c r="C2168" s="87">
        <v>1981</v>
      </c>
      <c r="D2168" s="87" t="s">
        <v>15</v>
      </c>
      <c r="E2168" s="116">
        <v>85</v>
      </c>
      <c r="F2168" s="87" t="s">
        <v>508</v>
      </c>
      <c r="G2168" s="87" t="s">
        <v>967</v>
      </c>
      <c r="H2168" s="87" t="s">
        <v>508</v>
      </c>
      <c r="I2168" s="87">
        <v>15</v>
      </c>
    </row>
    <row r="2169" spans="1:10" ht="15" customHeight="1" x14ac:dyDescent="0.25">
      <c r="A2169" s="87" t="s">
        <v>38</v>
      </c>
      <c r="B2169" s="87" t="s">
        <v>229</v>
      </c>
      <c r="C2169" s="87">
        <v>1982</v>
      </c>
      <c r="D2169" s="87" t="s">
        <v>15</v>
      </c>
      <c r="E2169" s="116">
        <v>400</v>
      </c>
      <c r="F2169" s="87" t="s">
        <v>508</v>
      </c>
      <c r="G2169" s="87" t="s">
        <v>967</v>
      </c>
      <c r="H2169" s="87" t="s">
        <v>508</v>
      </c>
      <c r="I2169" s="87">
        <v>15</v>
      </c>
    </row>
    <row r="2170" spans="1:10" ht="15" customHeight="1" x14ac:dyDescent="0.25">
      <c r="A2170" s="87" t="s">
        <v>38</v>
      </c>
      <c r="B2170" s="87" t="s">
        <v>229</v>
      </c>
      <c r="C2170" s="87">
        <v>1983</v>
      </c>
      <c r="D2170" s="87" t="s">
        <v>15</v>
      </c>
      <c r="E2170" s="116">
        <v>200</v>
      </c>
      <c r="F2170" s="87" t="s">
        <v>508</v>
      </c>
      <c r="G2170" s="87" t="s">
        <v>967</v>
      </c>
      <c r="H2170" s="87" t="s">
        <v>508</v>
      </c>
      <c r="I2170" s="87">
        <v>15</v>
      </c>
    </row>
    <row r="2171" spans="1:10" ht="15" customHeight="1" x14ac:dyDescent="0.25">
      <c r="A2171" s="87" t="s">
        <v>38</v>
      </c>
      <c r="B2171" s="87" t="s">
        <v>229</v>
      </c>
      <c r="C2171" s="87">
        <v>1984</v>
      </c>
      <c r="D2171" s="87" t="s">
        <v>15</v>
      </c>
      <c r="E2171" s="116">
        <v>150</v>
      </c>
      <c r="F2171" s="87" t="s">
        <v>508</v>
      </c>
      <c r="G2171" s="87" t="s">
        <v>967</v>
      </c>
      <c r="H2171" s="87" t="s">
        <v>508</v>
      </c>
      <c r="I2171" s="87">
        <v>15</v>
      </c>
    </row>
    <row r="2172" spans="1:10" ht="15" customHeight="1" x14ac:dyDescent="0.25">
      <c r="A2172" s="87" t="s">
        <v>38</v>
      </c>
      <c r="B2172" s="87" t="s">
        <v>229</v>
      </c>
      <c r="C2172" s="87">
        <v>1985</v>
      </c>
      <c r="D2172" s="87" t="s">
        <v>15</v>
      </c>
      <c r="E2172" s="116">
        <v>600</v>
      </c>
      <c r="F2172" s="87" t="s">
        <v>508</v>
      </c>
      <c r="G2172" s="87" t="s">
        <v>967</v>
      </c>
      <c r="H2172" s="87" t="s">
        <v>508</v>
      </c>
      <c r="I2172" s="87">
        <v>15</v>
      </c>
    </row>
    <row r="2173" spans="1:10" ht="15" customHeight="1" x14ac:dyDescent="0.25">
      <c r="A2173" s="87" t="s">
        <v>38</v>
      </c>
      <c r="B2173" s="87" t="s">
        <v>229</v>
      </c>
      <c r="C2173" s="87">
        <v>1986</v>
      </c>
      <c r="D2173" s="87" t="s">
        <v>15</v>
      </c>
      <c r="E2173" s="116">
        <v>700</v>
      </c>
      <c r="F2173" s="87" t="s">
        <v>508</v>
      </c>
      <c r="G2173" s="87" t="s">
        <v>967</v>
      </c>
      <c r="H2173" s="87" t="s">
        <v>508</v>
      </c>
      <c r="I2173" s="87">
        <v>15</v>
      </c>
    </row>
    <row r="2174" spans="1:10" ht="15" customHeight="1" x14ac:dyDescent="0.25">
      <c r="A2174" s="87" t="s">
        <v>38</v>
      </c>
      <c r="B2174" s="87" t="s">
        <v>229</v>
      </c>
      <c r="C2174" s="87">
        <v>1987</v>
      </c>
      <c r="D2174" s="87" t="s">
        <v>15</v>
      </c>
      <c r="E2174" s="116">
        <v>600</v>
      </c>
      <c r="F2174" s="87" t="s">
        <v>508</v>
      </c>
      <c r="G2174" s="87" t="s">
        <v>967</v>
      </c>
      <c r="H2174" s="87" t="s">
        <v>508</v>
      </c>
      <c r="I2174" s="87">
        <v>15</v>
      </c>
    </row>
    <row r="2175" spans="1:10" ht="15" customHeight="1" x14ac:dyDescent="0.25">
      <c r="A2175" s="87" t="s">
        <v>38</v>
      </c>
      <c r="B2175" s="87" t="s">
        <v>229</v>
      </c>
      <c r="C2175" s="87">
        <v>1988</v>
      </c>
      <c r="D2175" s="87" t="s">
        <v>15</v>
      </c>
      <c r="E2175" s="116">
        <v>660</v>
      </c>
      <c r="F2175" s="87" t="s">
        <v>508</v>
      </c>
      <c r="G2175" s="87" t="s">
        <v>967</v>
      </c>
      <c r="H2175" s="87" t="s">
        <v>508</v>
      </c>
      <c r="I2175" s="87">
        <v>15</v>
      </c>
    </row>
    <row r="2176" spans="1:10" ht="15" customHeight="1" x14ac:dyDescent="0.25">
      <c r="A2176" s="87" t="s">
        <v>38</v>
      </c>
      <c r="B2176" s="87" t="s">
        <v>229</v>
      </c>
      <c r="C2176" s="87">
        <v>1989</v>
      </c>
      <c r="D2176" s="87" t="s">
        <v>15</v>
      </c>
      <c r="E2176" s="116">
        <v>750</v>
      </c>
      <c r="F2176" s="87" t="s">
        <v>508</v>
      </c>
      <c r="G2176" s="87" t="s">
        <v>967</v>
      </c>
      <c r="H2176" s="87" t="s">
        <v>508</v>
      </c>
      <c r="I2176" s="87">
        <v>15</v>
      </c>
    </row>
    <row r="2177" spans="1:9" ht="15" customHeight="1" x14ac:dyDescent="0.25">
      <c r="A2177" s="87" t="s">
        <v>38</v>
      </c>
      <c r="B2177" s="87" t="s">
        <v>229</v>
      </c>
      <c r="C2177" s="87">
        <v>1990</v>
      </c>
      <c r="D2177" s="87" t="s">
        <v>15</v>
      </c>
      <c r="E2177" s="116">
        <v>-1</v>
      </c>
      <c r="F2177" s="87" t="s">
        <v>508</v>
      </c>
      <c r="G2177" s="87" t="s">
        <v>967</v>
      </c>
      <c r="H2177" s="87" t="s">
        <v>508</v>
      </c>
      <c r="I2177" s="87">
        <v>15</v>
      </c>
    </row>
    <row r="2178" spans="1:9" ht="15" customHeight="1" x14ac:dyDescent="0.25">
      <c r="A2178" s="87" t="s">
        <v>38</v>
      </c>
      <c r="B2178" s="87" t="s">
        <v>229</v>
      </c>
      <c r="C2178" s="87">
        <v>1991</v>
      </c>
      <c r="D2178" s="87" t="s">
        <v>15</v>
      </c>
      <c r="E2178" s="116">
        <v>500</v>
      </c>
      <c r="F2178" s="87" t="s">
        <v>508</v>
      </c>
      <c r="G2178" s="87" t="s">
        <v>967</v>
      </c>
      <c r="H2178" s="87" t="s">
        <v>508</v>
      </c>
      <c r="I2178" s="87">
        <v>15</v>
      </c>
    </row>
    <row r="2179" spans="1:9" ht="15" customHeight="1" x14ac:dyDescent="0.25">
      <c r="A2179" s="87" t="s">
        <v>38</v>
      </c>
      <c r="B2179" s="87" t="s">
        <v>229</v>
      </c>
      <c r="C2179" s="87">
        <v>1992</v>
      </c>
      <c r="D2179" s="87" t="s">
        <v>15</v>
      </c>
      <c r="E2179" s="116">
        <v>750</v>
      </c>
      <c r="F2179" s="87" t="s">
        <v>508</v>
      </c>
      <c r="G2179" s="87" t="s">
        <v>967</v>
      </c>
      <c r="H2179" s="87" t="s">
        <v>508</v>
      </c>
      <c r="I2179" s="87">
        <v>15</v>
      </c>
    </row>
    <row r="2180" spans="1:9" ht="15" customHeight="1" x14ac:dyDescent="0.25">
      <c r="A2180" s="87" t="s">
        <v>38</v>
      </c>
      <c r="B2180" s="87" t="s">
        <v>229</v>
      </c>
      <c r="C2180" s="87">
        <v>1993</v>
      </c>
      <c r="D2180" s="87" t="s">
        <v>15</v>
      </c>
      <c r="E2180" s="116">
        <v>-1</v>
      </c>
      <c r="F2180" s="87" t="s">
        <v>508</v>
      </c>
      <c r="G2180" s="87" t="s">
        <v>967</v>
      </c>
      <c r="H2180" s="87" t="s">
        <v>508</v>
      </c>
      <c r="I2180" s="87">
        <v>15</v>
      </c>
    </row>
    <row r="2181" spans="1:9" ht="15" customHeight="1" x14ac:dyDescent="0.25">
      <c r="A2181" s="87" t="s">
        <v>38</v>
      </c>
      <c r="B2181" s="87" t="s">
        <v>229</v>
      </c>
      <c r="C2181" s="87">
        <v>1994</v>
      </c>
      <c r="D2181" s="87" t="s">
        <v>15</v>
      </c>
      <c r="E2181" s="116">
        <v>387</v>
      </c>
      <c r="F2181" s="87" t="s">
        <v>508</v>
      </c>
      <c r="G2181" s="87" t="s">
        <v>967</v>
      </c>
      <c r="H2181" s="87" t="s">
        <v>508</v>
      </c>
      <c r="I2181" s="87">
        <v>15</v>
      </c>
    </row>
    <row r="2182" spans="1:9" ht="15" customHeight="1" x14ac:dyDescent="0.25">
      <c r="A2182" s="87" t="s">
        <v>38</v>
      </c>
      <c r="B2182" s="87" t="s">
        <v>229</v>
      </c>
      <c r="C2182" s="87">
        <v>1995</v>
      </c>
      <c r="D2182" s="87" t="s">
        <v>15</v>
      </c>
      <c r="E2182" s="116">
        <v>712</v>
      </c>
      <c r="F2182" s="87" t="s">
        <v>508</v>
      </c>
      <c r="G2182" s="87" t="s">
        <v>967</v>
      </c>
      <c r="H2182" s="87" t="s">
        <v>508</v>
      </c>
      <c r="I2182" s="87">
        <v>15</v>
      </c>
    </row>
    <row r="2183" spans="1:9" ht="15" customHeight="1" x14ac:dyDescent="0.25">
      <c r="A2183" s="87" t="s">
        <v>38</v>
      </c>
      <c r="B2183" s="87" t="s">
        <v>229</v>
      </c>
      <c r="C2183" s="87">
        <v>1996</v>
      </c>
      <c r="D2183" s="87" t="s">
        <v>15</v>
      </c>
      <c r="E2183" s="116">
        <v>1074</v>
      </c>
      <c r="F2183" s="87" t="s">
        <v>967</v>
      </c>
      <c r="G2183" s="87" t="s">
        <v>272</v>
      </c>
      <c r="H2183" s="87" t="s">
        <v>967</v>
      </c>
      <c r="I2183" s="87">
        <v>15</v>
      </c>
    </row>
    <row r="2184" spans="1:9" ht="15" customHeight="1" x14ac:dyDescent="0.25">
      <c r="A2184" s="87" t="s">
        <v>38</v>
      </c>
      <c r="B2184" s="87" t="s">
        <v>229</v>
      </c>
      <c r="C2184" s="87">
        <v>1997</v>
      </c>
      <c r="D2184" s="87" t="s">
        <v>15</v>
      </c>
      <c r="E2184" s="116">
        <v>584</v>
      </c>
      <c r="F2184" s="87" t="s">
        <v>967</v>
      </c>
      <c r="G2184" s="87" t="s">
        <v>272</v>
      </c>
      <c r="H2184" s="87" t="s">
        <v>967</v>
      </c>
      <c r="I2184" s="87">
        <v>15</v>
      </c>
    </row>
    <row r="2185" spans="1:9" ht="15" customHeight="1" x14ac:dyDescent="0.25">
      <c r="A2185" s="87" t="s">
        <v>38</v>
      </c>
      <c r="B2185" s="87" t="s">
        <v>229</v>
      </c>
      <c r="C2185" s="87">
        <v>1998</v>
      </c>
      <c r="D2185" s="87" t="s">
        <v>15</v>
      </c>
      <c r="E2185" s="116">
        <v>1084</v>
      </c>
      <c r="F2185" s="87" t="s">
        <v>967</v>
      </c>
      <c r="G2185" s="87" t="s">
        <v>272</v>
      </c>
      <c r="H2185" s="87" t="s">
        <v>548</v>
      </c>
      <c r="I2185" s="87">
        <v>15</v>
      </c>
    </row>
    <row r="2186" spans="1:9" ht="15" customHeight="1" x14ac:dyDescent="0.25">
      <c r="A2186" s="87" t="s">
        <v>38</v>
      </c>
      <c r="B2186" s="87" t="s">
        <v>229</v>
      </c>
      <c r="C2186" s="87">
        <v>1999</v>
      </c>
      <c r="D2186" s="87" t="s">
        <v>15</v>
      </c>
      <c r="E2186" s="116">
        <v>421</v>
      </c>
      <c r="F2186" s="87" t="s">
        <v>967</v>
      </c>
      <c r="G2186" s="87" t="s">
        <v>272</v>
      </c>
      <c r="H2186" s="87" t="s">
        <v>967</v>
      </c>
      <c r="I2186" s="87">
        <v>15</v>
      </c>
    </row>
    <row r="2187" spans="1:9" ht="15" customHeight="1" x14ac:dyDescent="0.25">
      <c r="A2187" s="87" t="s">
        <v>38</v>
      </c>
      <c r="B2187" s="87" t="s">
        <v>229</v>
      </c>
      <c r="C2187" s="87">
        <v>2000</v>
      </c>
      <c r="D2187" s="87" t="s">
        <v>15</v>
      </c>
      <c r="E2187" s="116">
        <v>501</v>
      </c>
      <c r="F2187" s="87" t="s">
        <v>967</v>
      </c>
      <c r="G2187" s="87" t="s">
        <v>272</v>
      </c>
      <c r="H2187" s="87" t="s">
        <v>967</v>
      </c>
      <c r="I2187" s="87">
        <v>15</v>
      </c>
    </row>
    <row r="2188" spans="1:9" ht="15" customHeight="1" x14ac:dyDescent="0.25">
      <c r="A2188" s="87" t="s">
        <v>38</v>
      </c>
      <c r="B2188" s="87" t="s">
        <v>229</v>
      </c>
      <c r="C2188" s="87">
        <v>2001</v>
      </c>
      <c r="D2188" s="87" t="s">
        <v>15</v>
      </c>
      <c r="E2188" s="116">
        <v>428</v>
      </c>
      <c r="F2188" s="87" t="s">
        <v>967</v>
      </c>
      <c r="G2188" s="87" t="s">
        <v>272</v>
      </c>
      <c r="H2188" s="87" t="s">
        <v>967</v>
      </c>
      <c r="I2188" s="87">
        <v>15</v>
      </c>
    </row>
    <row r="2189" spans="1:9" ht="15" customHeight="1" x14ac:dyDescent="0.25">
      <c r="A2189" s="87" t="s">
        <v>38</v>
      </c>
      <c r="B2189" s="87" t="s">
        <v>229</v>
      </c>
      <c r="C2189" s="87">
        <v>2002</v>
      </c>
      <c r="D2189" s="87" t="s">
        <v>15</v>
      </c>
      <c r="E2189" s="116">
        <v>1101</v>
      </c>
      <c r="F2189" s="87" t="s">
        <v>967</v>
      </c>
      <c r="G2189" s="87" t="s">
        <v>272</v>
      </c>
      <c r="H2189" s="87" t="s">
        <v>967</v>
      </c>
      <c r="I2189" s="87">
        <v>15</v>
      </c>
    </row>
    <row r="2190" spans="1:9" ht="15" customHeight="1" x14ac:dyDescent="0.25">
      <c r="A2190" s="87" t="s">
        <v>38</v>
      </c>
      <c r="B2190" s="87" t="s">
        <v>229</v>
      </c>
      <c r="C2190" s="87">
        <v>2003</v>
      </c>
      <c r="D2190" s="87" t="s">
        <v>15</v>
      </c>
      <c r="E2190" s="116">
        <v>1338</v>
      </c>
      <c r="F2190" s="87" t="s">
        <v>967</v>
      </c>
      <c r="G2190" s="87" t="s">
        <v>272</v>
      </c>
      <c r="H2190" s="87" t="s">
        <v>967</v>
      </c>
      <c r="I2190" s="87">
        <v>15</v>
      </c>
    </row>
    <row r="2191" spans="1:9" ht="15" customHeight="1" x14ac:dyDescent="0.25">
      <c r="A2191" s="87" t="s">
        <v>38</v>
      </c>
      <c r="B2191" s="87" t="s">
        <v>229</v>
      </c>
      <c r="C2191" s="87">
        <v>2004</v>
      </c>
      <c r="D2191" s="87" t="s">
        <v>15</v>
      </c>
      <c r="E2191" s="116">
        <v>647</v>
      </c>
      <c r="F2191" s="87" t="s">
        <v>967</v>
      </c>
      <c r="G2191" s="87" t="s">
        <v>272</v>
      </c>
      <c r="H2191" s="87" t="s">
        <v>967</v>
      </c>
      <c r="I2191" s="87">
        <v>15</v>
      </c>
    </row>
    <row r="2192" spans="1:9" ht="15" customHeight="1" x14ac:dyDescent="0.25">
      <c r="A2192" s="87" t="s">
        <v>38</v>
      </c>
      <c r="B2192" s="87" t="s">
        <v>229</v>
      </c>
      <c r="C2192" s="87">
        <v>2005</v>
      </c>
      <c r="D2192" s="87" t="s">
        <v>15</v>
      </c>
      <c r="E2192" s="116">
        <v>298</v>
      </c>
      <c r="F2192" s="87" t="s">
        <v>967</v>
      </c>
      <c r="G2192" s="87" t="s">
        <v>272</v>
      </c>
      <c r="H2192" s="87" t="s">
        <v>967</v>
      </c>
      <c r="I2192" s="87">
        <v>15</v>
      </c>
    </row>
    <row r="2193" spans="1:9" ht="15" customHeight="1" x14ac:dyDescent="0.25">
      <c r="A2193" s="87" t="s">
        <v>38</v>
      </c>
      <c r="B2193" s="87" t="s">
        <v>229</v>
      </c>
      <c r="C2193" s="87">
        <v>2006</v>
      </c>
      <c r="D2193" s="87" t="s">
        <v>15</v>
      </c>
      <c r="E2193" s="116">
        <v>395</v>
      </c>
      <c r="F2193" s="87" t="s">
        <v>967</v>
      </c>
      <c r="G2193" s="87" t="s">
        <v>272</v>
      </c>
      <c r="H2193" s="87" t="s">
        <v>967</v>
      </c>
      <c r="I2193" s="87">
        <v>15</v>
      </c>
    </row>
    <row r="2194" spans="1:9" ht="15" customHeight="1" x14ac:dyDescent="0.25">
      <c r="A2194" s="87" t="s">
        <v>38</v>
      </c>
      <c r="B2194" s="87" t="s">
        <v>229</v>
      </c>
      <c r="C2194" s="87">
        <v>2007</v>
      </c>
      <c r="D2194" s="87" t="s">
        <v>15</v>
      </c>
      <c r="E2194" s="116">
        <v>260</v>
      </c>
      <c r="F2194" s="87" t="s">
        <v>967</v>
      </c>
      <c r="G2194" s="87" t="s">
        <v>272</v>
      </c>
      <c r="H2194" s="87" t="s">
        <v>967</v>
      </c>
      <c r="I2194" s="87">
        <v>15</v>
      </c>
    </row>
    <row r="2195" spans="1:9" ht="15" customHeight="1" x14ac:dyDescent="0.25">
      <c r="A2195" s="87" t="s">
        <v>38</v>
      </c>
      <c r="B2195" s="87" t="s">
        <v>229</v>
      </c>
      <c r="C2195" s="87">
        <v>2008</v>
      </c>
      <c r="D2195" s="87" t="s">
        <v>15</v>
      </c>
      <c r="E2195" s="116">
        <v>255</v>
      </c>
      <c r="F2195" s="87" t="s">
        <v>967</v>
      </c>
      <c r="G2195" s="87" t="s">
        <v>272</v>
      </c>
      <c r="H2195" s="87" t="s">
        <v>967</v>
      </c>
      <c r="I2195" s="87">
        <v>15</v>
      </c>
    </row>
    <row r="2196" spans="1:9" ht="15" customHeight="1" x14ac:dyDescent="0.25">
      <c r="A2196" s="87" t="s">
        <v>38</v>
      </c>
      <c r="B2196" s="87" t="s">
        <v>229</v>
      </c>
      <c r="C2196" s="87">
        <v>2009</v>
      </c>
      <c r="D2196" s="87" t="s">
        <v>15</v>
      </c>
      <c r="E2196" s="116">
        <v>758</v>
      </c>
      <c r="F2196" s="87" t="s">
        <v>967</v>
      </c>
      <c r="G2196" s="87" t="s">
        <v>272</v>
      </c>
      <c r="H2196" s="87" t="s">
        <v>967</v>
      </c>
      <c r="I2196" s="87">
        <v>15</v>
      </c>
    </row>
    <row r="2197" spans="1:9" ht="15" customHeight="1" x14ac:dyDescent="0.25">
      <c r="A2197" s="87" t="s">
        <v>38</v>
      </c>
      <c r="B2197" s="87" t="s">
        <v>229</v>
      </c>
      <c r="C2197" s="87">
        <v>2010</v>
      </c>
      <c r="D2197" s="87" t="s">
        <v>15</v>
      </c>
      <c r="E2197" s="116">
        <v>229</v>
      </c>
      <c r="F2197" s="87" t="s">
        <v>967</v>
      </c>
      <c r="G2197" s="87" t="s">
        <v>272</v>
      </c>
      <c r="H2197" s="87" t="s">
        <v>967</v>
      </c>
      <c r="I2197" s="87">
        <v>15</v>
      </c>
    </row>
    <row r="2198" spans="1:9" ht="15" customHeight="1" x14ac:dyDescent="0.25">
      <c r="A2198" s="87" t="s">
        <v>38</v>
      </c>
      <c r="B2198" s="87" t="s">
        <v>229</v>
      </c>
      <c r="C2198" s="87">
        <v>2011</v>
      </c>
      <c r="D2198" s="87" t="s">
        <v>15</v>
      </c>
      <c r="E2198" s="116">
        <v>191</v>
      </c>
      <c r="F2198" s="87" t="s">
        <v>967</v>
      </c>
      <c r="G2198" s="87" t="s">
        <v>272</v>
      </c>
      <c r="H2198" s="87" t="s">
        <v>967</v>
      </c>
      <c r="I2198" s="87">
        <v>15</v>
      </c>
    </row>
    <row r="2199" spans="1:9" ht="15" customHeight="1" x14ac:dyDescent="0.25">
      <c r="A2199" s="87" t="s">
        <v>38</v>
      </c>
      <c r="B2199" s="87" t="s">
        <v>229</v>
      </c>
      <c r="C2199" s="87">
        <v>2012</v>
      </c>
      <c r="D2199" s="87" t="s">
        <v>15</v>
      </c>
      <c r="E2199" s="116">
        <v>77</v>
      </c>
      <c r="F2199" s="87" t="s">
        <v>967</v>
      </c>
      <c r="G2199" s="87" t="s">
        <v>272</v>
      </c>
      <c r="H2199" s="87" t="s">
        <v>967</v>
      </c>
      <c r="I2199" s="87">
        <v>15</v>
      </c>
    </row>
    <row r="2200" spans="1:9" ht="15" customHeight="1" x14ac:dyDescent="0.25">
      <c r="A2200" s="87" t="s">
        <v>38</v>
      </c>
      <c r="B2200" s="87" t="s">
        <v>229</v>
      </c>
      <c r="C2200" s="87">
        <v>2013</v>
      </c>
      <c r="D2200" s="87" t="s">
        <v>15</v>
      </c>
      <c r="E2200" s="116">
        <v>366</v>
      </c>
      <c r="F2200" s="87" t="s">
        <v>967</v>
      </c>
      <c r="G2200" s="87" t="s">
        <v>272</v>
      </c>
      <c r="H2200" s="87" t="s">
        <v>967</v>
      </c>
      <c r="I2200" s="87">
        <v>15</v>
      </c>
    </row>
    <row r="2201" spans="1:9" ht="15" customHeight="1" x14ac:dyDescent="0.25">
      <c r="A2201" s="87" t="s">
        <v>38</v>
      </c>
      <c r="B2201" s="87" t="s">
        <v>229</v>
      </c>
      <c r="C2201" s="87">
        <v>2014</v>
      </c>
      <c r="D2201" s="87" t="s">
        <v>15</v>
      </c>
      <c r="E2201" s="116">
        <v>526</v>
      </c>
      <c r="F2201" s="87" t="s">
        <v>967</v>
      </c>
      <c r="G2201" s="87" t="s">
        <v>272</v>
      </c>
      <c r="H2201" s="87" t="s">
        <v>967</v>
      </c>
      <c r="I2201" s="87">
        <v>15</v>
      </c>
    </row>
    <row r="2202" spans="1:9" ht="15" customHeight="1" x14ac:dyDescent="0.25">
      <c r="A2202" s="87" t="s">
        <v>38</v>
      </c>
      <c r="B2202" s="87" t="s">
        <v>229</v>
      </c>
      <c r="C2202" s="87">
        <v>2015</v>
      </c>
      <c r="D2202" s="87" t="s">
        <v>15</v>
      </c>
      <c r="E2202" s="116">
        <v>289</v>
      </c>
      <c r="F2202" s="87" t="s">
        <v>967</v>
      </c>
      <c r="G2202" s="87" t="s">
        <v>272</v>
      </c>
      <c r="H2202" s="87" t="s">
        <v>967</v>
      </c>
      <c r="I2202" s="87">
        <v>15</v>
      </c>
    </row>
    <row r="2203" spans="1:9" ht="15" customHeight="1" x14ac:dyDescent="0.25">
      <c r="A2203" s="87" t="s">
        <v>38</v>
      </c>
      <c r="B2203" s="87" t="s">
        <v>229</v>
      </c>
      <c r="C2203" s="87">
        <v>2016</v>
      </c>
      <c r="D2203" s="87" t="s">
        <v>15</v>
      </c>
      <c r="E2203" s="116">
        <v>-1</v>
      </c>
      <c r="F2203" s="87" t="s">
        <v>967</v>
      </c>
      <c r="G2203" s="87" t="s">
        <v>967</v>
      </c>
      <c r="H2203" s="87" t="s">
        <v>967</v>
      </c>
      <c r="I2203" s="87">
        <v>15</v>
      </c>
    </row>
    <row r="2204" spans="1:9" ht="15" customHeight="1" x14ac:dyDescent="0.25">
      <c r="A2204" s="87" t="s">
        <v>38</v>
      </c>
      <c r="B2204" s="87" t="s">
        <v>229</v>
      </c>
      <c r="C2204" s="87">
        <v>2017</v>
      </c>
      <c r="D2204" s="87" t="s">
        <v>15</v>
      </c>
      <c r="E2204" s="116">
        <v>141</v>
      </c>
      <c r="F2204" s="87" t="s">
        <v>967</v>
      </c>
      <c r="G2204" s="87" t="s">
        <v>272</v>
      </c>
      <c r="H2204" s="87" t="s">
        <v>967</v>
      </c>
      <c r="I2204" s="87">
        <v>15</v>
      </c>
    </row>
    <row r="2205" spans="1:9" ht="15" customHeight="1" x14ac:dyDescent="0.25">
      <c r="A2205" s="87" t="s">
        <v>38</v>
      </c>
      <c r="B2205" s="87" t="s">
        <v>229</v>
      </c>
      <c r="C2205" s="87">
        <v>2018</v>
      </c>
      <c r="D2205" s="87" t="s">
        <v>15</v>
      </c>
      <c r="E2205" s="116">
        <v>-1</v>
      </c>
      <c r="F2205" s="87" t="s">
        <v>967</v>
      </c>
      <c r="G2205" s="87" t="s">
        <v>967</v>
      </c>
      <c r="H2205" s="87" t="s">
        <v>967</v>
      </c>
      <c r="I2205" s="87">
        <v>15</v>
      </c>
    </row>
    <row r="2206" spans="1:9" ht="15" customHeight="1" x14ac:dyDescent="0.25">
      <c r="A2206" s="87" t="s">
        <v>38</v>
      </c>
      <c r="B2206" s="87" t="s">
        <v>229</v>
      </c>
      <c r="C2206" s="87">
        <v>2019</v>
      </c>
      <c r="D2206" s="87" t="s">
        <v>15</v>
      </c>
      <c r="E2206" s="116">
        <v>-1</v>
      </c>
      <c r="F2206" s="87" t="s">
        <v>967</v>
      </c>
      <c r="G2206" s="87" t="s">
        <v>967</v>
      </c>
      <c r="H2206" s="87" t="s">
        <v>967</v>
      </c>
      <c r="I2206" s="87">
        <v>15</v>
      </c>
    </row>
    <row r="2207" spans="1:9" ht="15" customHeight="1" x14ac:dyDescent="0.25">
      <c r="A2207" s="87" t="s">
        <v>38</v>
      </c>
      <c r="B2207" s="87" t="s">
        <v>229</v>
      </c>
      <c r="C2207" s="87">
        <v>2020</v>
      </c>
      <c r="D2207" s="87" t="s">
        <v>15</v>
      </c>
      <c r="E2207" s="116">
        <v>-1</v>
      </c>
      <c r="F2207" s="87" t="s">
        <v>967</v>
      </c>
      <c r="G2207" s="87" t="s">
        <v>967</v>
      </c>
      <c r="H2207" s="87" t="s">
        <v>967</v>
      </c>
      <c r="I2207" s="87">
        <v>15</v>
      </c>
    </row>
    <row r="2208" spans="1:9" ht="15" customHeight="1" x14ac:dyDescent="0.25">
      <c r="A2208" s="87" t="s">
        <v>38</v>
      </c>
      <c r="B2208" s="87" t="s">
        <v>229</v>
      </c>
      <c r="C2208" s="87">
        <v>2021</v>
      </c>
      <c r="D2208" s="87" t="s">
        <v>15</v>
      </c>
      <c r="E2208" s="116">
        <v>-1</v>
      </c>
      <c r="F2208" s="87" t="s">
        <v>967</v>
      </c>
      <c r="G2208" s="87" t="s">
        <v>967</v>
      </c>
      <c r="H2208" s="87" t="s">
        <v>967</v>
      </c>
      <c r="I2208" s="87">
        <v>15</v>
      </c>
    </row>
    <row r="2209" spans="1:9" ht="15" customHeight="1" x14ac:dyDescent="0.25">
      <c r="A2209" s="87" t="s">
        <v>38</v>
      </c>
      <c r="B2209" s="87" t="s">
        <v>229</v>
      </c>
      <c r="C2209" s="87">
        <v>2022</v>
      </c>
      <c r="D2209" s="87" t="s">
        <v>15</v>
      </c>
      <c r="E2209" s="116">
        <v>-1</v>
      </c>
      <c r="F2209" s="87" t="s">
        <v>967</v>
      </c>
      <c r="G2209" s="87" t="s">
        <v>967</v>
      </c>
      <c r="H2209" s="87" t="s">
        <v>967</v>
      </c>
      <c r="I2209" s="87">
        <v>15</v>
      </c>
    </row>
    <row r="2210" spans="1:9" ht="15" customHeight="1" x14ac:dyDescent="0.25">
      <c r="A2210" s="87" t="s">
        <v>38</v>
      </c>
      <c r="B2210" s="87" t="s">
        <v>337</v>
      </c>
      <c r="C2210" s="87">
        <v>1975</v>
      </c>
      <c r="D2210" s="87" t="s">
        <v>15</v>
      </c>
      <c r="E2210" s="116">
        <v>1200</v>
      </c>
      <c r="F2210" s="87" t="s">
        <v>508</v>
      </c>
      <c r="G2210" s="87" t="s">
        <v>967</v>
      </c>
      <c r="H2210" s="87" t="s">
        <v>508</v>
      </c>
      <c r="I2210" s="87">
        <v>2</v>
      </c>
    </row>
    <row r="2211" spans="1:9" ht="15" customHeight="1" x14ac:dyDescent="0.25">
      <c r="A2211" s="87" t="s">
        <v>38</v>
      </c>
      <c r="B2211" s="87" t="s">
        <v>337</v>
      </c>
      <c r="C2211" s="87">
        <v>1976</v>
      </c>
      <c r="D2211" s="87" t="s">
        <v>15</v>
      </c>
      <c r="E2211" s="116">
        <v>1800</v>
      </c>
      <c r="F2211" s="87" t="s">
        <v>508</v>
      </c>
      <c r="G2211" s="87" t="s">
        <v>967</v>
      </c>
      <c r="H2211" s="87" t="s">
        <v>508</v>
      </c>
      <c r="I2211" s="87">
        <v>2</v>
      </c>
    </row>
    <row r="2212" spans="1:9" ht="15" customHeight="1" x14ac:dyDescent="0.25">
      <c r="A2212" s="87" t="s">
        <v>38</v>
      </c>
      <c r="B2212" s="87" t="s">
        <v>337</v>
      </c>
      <c r="C2212" s="87">
        <v>1977</v>
      </c>
      <c r="D2212" s="87" t="s">
        <v>15</v>
      </c>
      <c r="E2212" s="116">
        <v>2000</v>
      </c>
      <c r="F2212" s="87" t="s">
        <v>508</v>
      </c>
      <c r="G2212" s="87" t="s">
        <v>967</v>
      </c>
      <c r="H2212" s="87" t="s">
        <v>508</v>
      </c>
      <c r="I2212" s="87">
        <v>2</v>
      </c>
    </row>
    <row r="2213" spans="1:9" ht="15" customHeight="1" x14ac:dyDescent="0.25">
      <c r="A2213" s="87" t="s">
        <v>38</v>
      </c>
      <c r="B2213" s="87" t="s">
        <v>337</v>
      </c>
      <c r="C2213" s="87">
        <v>1978</v>
      </c>
      <c r="D2213" s="87" t="s">
        <v>15</v>
      </c>
      <c r="E2213" s="116">
        <v>3500</v>
      </c>
      <c r="F2213" s="87" t="s">
        <v>508</v>
      </c>
      <c r="G2213" s="87" t="s">
        <v>967</v>
      </c>
      <c r="H2213" s="87" t="s">
        <v>508</v>
      </c>
      <c r="I2213" s="87">
        <v>2</v>
      </c>
    </row>
    <row r="2214" spans="1:9" ht="15" customHeight="1" x14ac:dyDescent="0.25">
      <c r="A2214" s="87" t="s">
        <v>38</v>
      </c>
      <c r="B2214" s="87" t="s">
        <v>337</v>
      </c>
      <c r="C2214" s="87">
        <v>1979</v>
      </c>
      <c r="D2214" s="87" t="s">
        <v>15</v>
      </c>
      <c r="E2214" s="116">
        <v>1800</v>
      </c>
      <c r="F2214" s="87" t="s">
        <v>508</v>
      </c>
      <c r="G2214" s="87" t="s">
        <v>967</v>
      </c>
      <c r="H2214" s="87" t="s">
        <v>508</v>
      </c>
      <c r="I2214" s="87">
        <v>2</v>
      </c>
    </row>
    <row r="2215" spans="1:9" ht="15" customHeight="1" x14ac:dyDescent="0.25">
      <c r="A2215" s="87" t="s">
        <v>38</v>
      </c>
      <c r="B2215" s="87" t="s">
        <v>337</v>
      </c>
      <c r="C2215" s="87">
        <v>1980</v>
      </c>
      <c r="D2215" s="87" t="s">
        <v>15</v>
      </c>
      <c r="E2215" s="116">
        <v>4000</v>
      </c>
      <c r="F2215" s="87" t="s">
        <v>508</v>
      </c>
      <c r="G2215" s="87" t="s">
        <v>967</v>
      </c>
      <c r="H2215" s="87" t="s">
        <v>508</v>
      </c>
      <c r="I2215" s="87">
        <v>2</v>
      </c>
    </row>
    <row r="2216" spans="1:9" ht="15" customHeight="1" x14ac:dyDescent="0.25">
      <c r="A2216" s="87" t="s">
        <v>38</v>
      </c>
      <c r="B2216" s="87" t="s">
        <v>337</v>
      </c>
      <c r="C2216" s="87">
        <v>1981</v>
      </c>
      <c r="D2216" s="87" t="s">
        <v>15</v>
      </c>
      <c r="E2216" s="116">
        <v>1800</v>
      </c>
      <c r="F2216" s="87" t="s">
        <v>508</v>
      </c>
      <c r="G2216" s="87" t="s">
        <v>967</v>
      </c>
      <c r="H2216" s="87" t="s">
        <v>508</v>
      </c>
      <c r="I2216" s="87">
        <v>2</v>
      </c>
    </row>
    <row r="2217" spans="1:9" ht="15" customHeight="1" x14ac:dyDescent="0.25">
      <c r="A2217" s="87" t="s">
        <v>38</v>
      </c>
      <c r="B2217" s="87" t="s">
        <v>337</v>
      </c>
      <c r="C2217" s="87">
        <v>1982</v>
      </c>
      <c r="D2217" s="87" t="s">
        <v>15</v>
      </c>
      <c r="E2217" s="116">
        <v>1800</v>
      </c>
      <c r="F2217" s="87" t="s">
        <v>508</v>
      </c>
      <c r="G2217" s="87" t="s">
        <v>967</v>
      </c>
      <c r="H2217" s="87" t="s">
        <v>508</v>
      </c>
      <c r="I2217" s="87">
        <v>2</v>
      </c>
    </row>
    <row r="2218" spans="1:9" ht="15" customHeight="1" x14ac:dyDescent="0.25">
      <c r="A2218" s="87" t="s">
        <v>38</v>
      </c>
      <c r="B2218" s="87" t="s">
        <v>337</v>
      </c>
      <c r="C2218" s="87">
        <v>1983</v>
      </c>
      <c r="D2218" s="87" t="s">
        <v>15</v>
      </c>
      <c r="E2218" s="116">
        <v>4300</v>
      </c>
      <c r="F2218" s="87" t="s">
        <v>508</v>
      </c>
      <c r="G2218" s="87" t="s">
        <v>967</v>
      </c>
      <c r="H2218" s="87" t="s">
        <v>508</v>
      </c>
      <c r="I2218" s="87">
        <v>2</v>
      </c>
    </row>
    <row r="2219" spans="1:9" ht="15" customHeight="1" x14ac:dyDescent="0.25">
      <c r="A2219" s="87" t="s">
        <v>38</v>
      </c>
      <c r="B2219" s="87" t="s">
        <v>337</v>
      </c>
      <c r="C2219" s="87">
        <v>1984</v>
      </c>
      <c r="D2219" s="87" t="s">
        <v>15</v>
      </c>
      <c r="E2219" s="116">
        <v>5814</v>
      </c>
      <c r="F2219" s="87" t="s">
        <v>508</v>
      </c>
      <c r="G2219" s="87" t="s">
        <v>967</v>
      </c>
      <c r="H2219" s="87" t="s">
        <v>508</v>
      </c>
      <c r="I2219" s="87">
        <v>2</v>
      </c>
    </row>
    <row r="2220" spans="1:9" ht="15" customHeight="1" x14ac:dyDescent="0.25">
      <c r="A2220" s="87" t="s">
        <v>38</v>
      </c>
      <c r="B2220" s="87" t="s">
        <v>337</v>
      </c>
      <c r="C2220" s="87">
        <v>1985</v>
      </c>
      <c r="D2220" s="87" t="s">
        <v>15</v>
      </c>
      <c r="E2220" s="116">
        <v>6050</v>
      </c>
      <c r="F2220" s="87" t="s">
        <v>508</v>
      </c>
      <c r="G2220" s="87" t="s">
        <v>967</v>
      </c>
      <c r="H2220" s="87" t="s">
        <v>508</v>
      </c>
      <c r="I2220" s="87">
        <v>2</v>
      </c>
    </row>
    <row r="2221" spans="1:9" ht="15" customHeight="1" x14ac:dyDescent="0.25">
      <c r="A2221" s="87" t="s">
        <v>38</v>
      </c>
      <c r="B2221" s="87" t="s">
        <v>337</v>
      </c>
      <c r="C2221" s="87">
        <v>1986</v>
      </c>
      <c r="D2221" s="87" t="s">
        <v>15</v>
      </c>
      <c r="E2221" s="116">
        <v>6500</v>
      </c>
      <c r="F2221" s="87" t="s">
        <v>508</v>
      </c>
      <c r="G2221" s="87" t="s">
        <v>967</v>
      </c>
      <c r="H2221" s="87" t="s">
        <v>508</v>
      </c>
      <c r="I2221" s="87">
        <v>2</v>
      </c>
    </row>
    <row r="2222" spans="1:9" ht="15" customHeight="1" x14ac:dyDescent="0.25">
      <c r="A2222" s="87" t="s">
        <v>38</v>
      </c>
      <c r="B2222" s="87" t="s">
        <v>337</v>
      </c>
      <c r="C2222" s="87">
        <v>1987</v>
      </c>
      <c r="D2222" s="87" t="s">
        <v>15</v>
      </c>
      <c r="E2222" s="116">
        <v>3500</v>
      </c>
      <c r="F2222" s="87" t="s">
        <v>508</v>
      </c>
      <c r="G2222" s="87" t="s">
        <v>967</v>
      </c>
      <c r="H2222" s="87" t="s">
        <v>508</v>
      </c>
      <c r="I2222" s="87">
        <v>2</v>
      </c>
    </row>
    <row r="2223" spans="1:9" ht="15" customHeight="1" x14ac:dyDescent="0.25">
      <c r="A2223" s="87" t="s">
        <v>38</v>
      </c>
      <c r="B2223" s="87" t="s">
        <v>337</v>
      </c>
      <c r="C2223" s="87">
        <v>1988</v>
      </c>
      <c r="D2223" s="87" t="s">
        <v>15</v>
      </c>
      <c r="E2223" s="116">
        <v>4000</v>
      </c>
      <c r="F2223" s="87" t="s">
        <v>508</v>
      </c>
      <c r="G2223" s="87" t="s">
        <v>967</v>
      </c>
      <c r="H2223" s="87" t="s">
        <v>508</v>
      </c>
      <c r="I2223" s="87">
        <v>2</v>
      </c>
    </row>
    <row r="2224" spans="1:9" ht="15" customHeight="1" x14ac:dyDescent="0.25">
      <c r="A2224" s="87" t="s">
        <v>38</v>
      </c>
      <c r="B2224" s="87" t="s">
        <v>337</v>
      </c>
      <c r="C2224" s="87">
        <v>1989</v>
      </c>
      <c r="D2224" s="87" t="s">
        <v>15</v>
      </c>
      <c r="E2224" s="116">
        <v>5000</v>
      </c>
      <c r="F2224" s="87" t="s">
        <v>508</v>
      </c>
      <c r="G2224" s="87" t="s">
        <v>967</v>
      </c>
      <c r="H2224" s="87" t="s">
        <v>508</v>
      </c>
      <c r="I2224" s="87">
        <v>2</v>
      </c>
    </row>
    <row r="2225" spans="1:9" ht="15" customHeight="1" x14ac:dyDescent="0.25">
      <c r="A2225" s="87" t="s">
        <v>38</v>
      </c>
      <c r="B2225" s="87" t="s">
        <v>337</v>
      </c>
      <c r="C2225" s="87">
        <v>1990</v>
      </c>
      <c r="D2225" s="87" t="s">
        <v>15</v>
      </c>
      <c r="E2225" s="116">
        <v>6000</v>
      </c>
      <c r="F2225" s="87" t="s">
        <v>508</v>
      </c>
      <c r="G2225" s="87" t="s">
        <v>967</v>
      </c>
      <c r="H2225" s="87" t="s">
        <v>508</v>
      </c>
      <c r="I2225" s="87">
        <v>2</v>
      </c>
    </row>
    <row r="2226" spans="1:9" ht="15" customHeight="1" x14ac:dyDescent="0.25">
      <c r="A2226" s="87" t="s">
        <v>38</v>
      </c>
      <c r="B2226" s="87" t="s">
        <v>337</v>
      </c>
      <c r="C2226" s="87">
        <v>1991</v>
      </c>
      <c r="D2226" s="87" t="s">
        <v>15</v>
      </c>
      <c r="E2226" s="116">
        <v>4027</v>
      </c>
      <c r="F2226" s="87" t="s">
        <v>508</v>
      </c>
      <c r="G2226" s="87" t="s">
        <v>967</v>
      </c>
      <c r="H2226" s="87" t="s">
        <v>508</v>
      </c>
      <c r="I2226" s="87">
        <v>2</v>
      </c>
    </row>
    <row r="2227" spans="1:9" ht="15" customHeight="1" x14ac:dyDescent="0.25">
      <c r="A2227" s="87" t="s">
        <v>38</v>
      </c>
      <c r="B2227" s="87" t="s">
        <v>337</v>
      </c>
      <c r="C2227" s="87">
        <v>1992</v>
      </c>
      <c r="D2227" s="87" t="s">
        <v>15</v>
      </c>
      <c r="E2227" s="116">
        <v>3224</v>
      </c>
      <c r="F2227" s="87" t="s">
        <v>508</v>
      </c>
      <c r="G2227" s="87" t="s">
        <v>967</v>
      </c>
      <c r="H2227" s="87" t="s">
        <v>508</v>
      </c>
      <c r="I2227" s="87">
        <v>2</v>
      </c>
    </row>
    <row r="2228" spans="1:9" ht="15" customHeight="1" x14ac:dyDescent="0.25">
      <c r="A2228" s="87" t="s">
        <v>38</v>
      </c>
      <c r="B2228" s="87" t="s">
        <v>337</v>
      </c>
      <c r="C2228" s="87">
        <v>1993</v>
      </c>
      <c r="D2228" s="87" t="s">
        <v>15</v>
      </c>
      <c r="E2228" s="116">
        <v>3300</v>
      </c>
      <c r="F2228" s="87" t="s">
        <v>508</v>
      </c>
      <c r="G2228" s="87" t="s">
        <v>967</v>
      </c>
      <c r="H2228" s="87" t="s">
        <v>508</v>
      </c>
      <c r="I2228" s="87">
        <v>2</v>
      </c>
    </row>
    <row r="2229" spans="1:9" ht="15" customHeight="1" x14ac:dyDescent="0.25">
      <c r="A2229" s="87" t="s">
        <v>38</v>
      </c>
      <c r="B2229" s="87" t="s">
        <v>337</v>
      </c>
      <c r="C2229" s="87">
        <v>1994</v>
      </c>
      <c r="D2229" s="87" t="s">
        <v>15</v>
      </c>
      <c r="E2229" s="116">
        <v>4240</v>
      </c>
      <c r="F2229" s="87" t="s">
        <v>508</v>
      </c>
      <c r="G2229" s="87" t="s">
        <v>967</v>
      </c>
      <c r="H2229" s="87" t="s">
        <v>508</v>
      </c>
      <c r="I2229" s="87">
        <v>2</v>
      </c>
    </row>
    <row r="2230" spans="1:9" ht="15" customHeight="1" x14ac:dyDescent="0.25">
      <c r="A2230" s="87" t="s">
        <v>38</v>
      </c>
      <c r="B2230" s="87" t="s">
        <v>337</v>
      </c>
      <c r="C2230" s="87">
        <v>1995</v>
      </c>
      <c r="D2230" s="87" t="s">
        <v>15</v>
      </c>
      <c r="E2230" s="116">
        <v>5862</v>
      </c>
      <c r="F2230" s="87" t="s">
        <v>967</v>
      </c>
      <c r="G2230" s="87" t="s">
        <v>272</v>
      </c>
      <c r="H2230" s="87" t="s">
        <v>967</v>
      </c>
      <c r="I2230" s="87">
        <v>2</v>
      </c>
    </row>
    <row r="2231" spans="1:9" ht="15" customHeight="1" x14ac:dyDescent="0.25">
      <c r="A2231" s="87" t="s">
        <v>38</v>
      </c>
      <c r="B2231" s="87" t="s">
        <v>337</v>
      </c>
      <c r="C2231" s="87">
        <v>1996</v>
      </c>
      <c r="D2231" s="87" t="s">
        <v>15</v>
      </c>
      <c r="E2231" s="116">
        <v>2837</v>
      </c>
      <c r="F2231" s="87" t="s">
        <v>967</v>
      </c>
      <c r="G2231" s="87" t="s">
        <v>967</v>
      </c>
      <c r="H2231" s="87" t="s">
        <v>967</v>
      </c>
      <c r="I2231" s="87">
        <v>2</v>
      </c>
    </row>
    <row r="2232" spans="1:9" ht="15" customHeight="1" x14ac:dyDescent="0.25">
      <c r="A2232" s="87" t="s">
        <v>38</v>
      </c>
      <c r="B2232" s="87" t="s">
        <v>337</v>
      </c>
      <c r="C2232" s="87">
        <v>1997</v>
      </c>
      <c r="D2232" s="87" t="s">
        <v>15</v>
      </c>
      <c r="E2232" s="116">
        <v>2335</v>
      </c>
      <c r="F2232" s="87" t="s">
        <v>967</v>
      </c>
      <c r="G2232" s="87" t="s">
        <v>967</v>
      </c>
      <c r="H2232" s="87" t="s">
        <v>967</v>
      </c>
      <c r="I2232" s="87">
        <v>2</v>
      </c>
    </row>
    <row r="2233" spans="1:9" ht="15" customHeight="1" x14ac:dyDescent="0.25">
      <c r="A2233" s="87" t="s">
        <v>38</v>
      </c>
      <c r="B2233" s="87" t="s">
        <v>337</v>
      </c>
      <c r="C2233" s="87">
        <v>1998</v>
      </c>
      <c r="D2233" s="87" t="s">
        <v>15</v>
      </c>
      <c r="E2233" s="116">
        <v>1289</v>
      </c>
      <c r="F2233" s="87" t="s">
        <v>967</v>
      </c>
      <c r="G2233" s="87" t="s">
        <v>272</v>
      </c>
      <c r="H2233" s="87" t="s">
        <v>967</v>
      </c>
      <c r="I2233" s="87">
        <v>2</v>
      </c>
    </row>
    <row r="2234" spans="1:9" ht="15" customHeight="1" x14ac:dyDescent="0.25">
      <c r="A2234" s="87" t="s">
        <v>38</v>
      </c>
      <c r="B2234" s="87" t="s">
        <v>337</v>
      </c>
      <c r="C2234" s="87">
        <v>1999</v>
      </c>
      <c r="D2234" s="87" t="s">
        <v>15</v>
      </c>
      <c r="E2234" s="116">
        <v>2081</v>
      </c>
      <c r="F2234" s="87" t="s">
        <v>967</v>
      </c>
      <c r="G2234" s="87" t="s">
        <v>272</v>
      </c>
      <c r="H2234" s="87" t="s">
        <v>967</v>
      </c>
      <c r="I2234" s="87">
        <v>2</v>
      </c>
    </row>
    <row r="2235" spans="1:9" ht="15" customHeight="1" x14ac:dyDescent="0.25">
      <c r="A2235" s="87" t="s">
        <v>38</v>
      </c>
      <c r="B2235" s="87" t="s">
        <v>337</v>
      </c>
      <c r="C2235" s="87">
        <v>2000</v>
      </c>
      <c r="D2235" s="87" t="s">
        <v>15</v>
      </c>
      <c r="E2235" s="116">
        <v>2262</v>
      </c>
      <c r="F2235" s="87" t="s">
        <v>967</v>
      </c>
      <c r="G2235" s="87" t="s">
        <v>272</v>
      </c>
      <c r="H2235" s="87" t="s">
        <v>967</v>
      </c>
      <c r="I2235" s="87">
        <v>2</v>
      </c>
    </row>
    <row r="2236" spans="1:9" ht="15" customHeight="1" x14ac:dyDescent="0.25">
      <c r="A2236" s="87" t="s">
        <v>38</v>
      </c>
      <c r="B2236" s="87" t="s">
        <v>337</v>
      </c>
      <c r="C2236" s="87">
        <v>2001</v>
      </c>
      <c r="D2236" s="87" t="s">
        <v>15</v>
      </c>
      <c r="E2236" s="116">
        <v>3832</v>
      </c>
      <c r="F2236" s="87" t="s">
        <v>967</v>
      </c>
      <c r="G2236" s="87" t="s">
        <v>272</v>
      </c>
      <c r="H2236" s="87" t="s">
        <v>967</v>
      </c>
      <c r="I2236" s="87">
        <v>2</v>
      </c>
    </row>
    <row r="2237" spans="1:9" ht="15" customHeight="1" x14ac:dyDescent="0.25">
      <c r="A2237" s="87" t="s">
        <v>38</v>
      </c>
      <c r="B2237" s="87" t="s">
        <v>337</v>
      </c>
      <c r="C2237" s="87">
        <v>2002</v>
      </c>
      <c r="D2237" s="87" t="s">
        <v>15</v>
      </c>
      <c r="E2237" s="116">
        <v>4302</v>
      </c>
      <c r="F2237" s="87" t="s">
        <v>967</v>
      </c>
      <c r="G2237" s="87" t="s">
        <v>272</v>
      </c>
      <c r="H2237" s="87" t="s">
        <v>967</v>
      </c>
      <c r="I2237" s="87">
        <v>2</v>
      </c>
    </row>
    <row r="2238" spans="1:9" ht="15" customHeight="1" x14ac:dyDescent="0.25">
      <c r="A2238" s="87" t="s">
        <v>38</v>
      </c>
      <c r="B2238" s="87" t="s">
        <v>337</v>
      </c>
      <c r="C2238" s="87">
        <v>2003</v>
      </c>
      <c r="D2238" s="87" t="s">
        <v>15</v>
      </c>
      <c r="E2238" s="116">
        <v>3048</v>
      </c>
      <c r="F2238" s="87" t="s">
        <v>967</v>
      </c>
      <c r="G2238" s="87" t="s">
        <v>272</v>
      </c>
      <c r="H2238" s="87" t="s">
        <v>967</v>
      </c>
      <c r="I2238" s="87">
        <v>2</v>
      </c>
    </row>
    <row r="2239" spans="1:9" ht="15" customHeight="1" x14ac:dyDescent="0.25">
      <c r="A2239" s="87" t="s">
        <v>38</v>
      </c>
      <c r="B2239" s="87" t="s">
        <v>337</v>
      </c>
      <c r="C2239" s="87">
        <v>2004</v>
      </c>
      <c r="D2239" s="87" t="s">
        <v>15</v>
      </c>
      <c r="E2239" s="116">
        <v>2062</v>
      </c>
      <c r="F2239" s="87" t="s">
        <v>967</v>
      </c>
      <c r="G2239" s="87" t="s">
        <v>272</v>
      </c>
      <c r="H2239" s="87" t="s">
        <v>967</v>
      </c>
      <c r="I2239" s="87">
        <v>2</v>
      </c>
    </row>
    <row r="2240" spans="1:9" ht="15" customHeight="1" x14ac:dyDescent="0.25">
      <c r="A2240" s="87" t="s">
        <v>38</v>
      </c>
      <c r="B2240" s="87" t="s">
        <v>337</v>
      </c>
      <c r="C2240" s="87">
        <v>2005</v>
      </c>
      <c r="D2240" s="87" t="s">
        <v>15</v>
      </c>
      <c r="E2240" s="116">
        <v>2538</v>
      </c>
      <c r="F2240" s="87" t="s">
        <v>967</v>
      </c>
      <c r="G2240" s="87" t="s">
        <v>272</v>
      </c>
      <c r="H2240" s="87" t="s">
        <v>967</v>
      </c>
      <c r="I2240" s="87">
        <v>2</v>
      </c>
    </row>
    <row r="2241" spans="1:9" ht="15" customHeight="1" x14ac:dyDescent="0.25">
      <c r="A2241" s="87" t="s">
        <v>38</v>
      </c>
      <c r="B2241" s="87" t="s">
        <v>337</v>
      </c>
      <c r="C2241" s="87">
        <v>2006</v>
      </c>
      <c r="D2241" s="87" t="s">
        <v>15</v>
      </c>
      <c r="E2241" s="116">
        <v>2142</v>
      </c>
      <c r="F2241" s="87" t="s">
        <v>967</v>
      </c>
      <c r="G2241" s="87" t="s">
        <v>272</v>
      </c>
      <c r="H2241" s="87" t="s">
        <v>967</v>
      </c>
      <c r="I2241" s="87">
        <v>2</v>
      </c>
    </row>
    <row r="2242" spans="1:9" ht="15" customHeight="1" x14ac:dyDescent="0.25">
      <c r="A2242" s="87" t="s">
        <v>38</v>
      </c>
      <c r="B2242" s="87" t="s">
        <v>337</v>
      </c>
      <c r="C2242" s="87">
        <v>2007</v>
      </c>
      <c r="D2242" s="87" t="s">
        <v>15</v>
      </c>
      <c r="E2242" s="116">
        <v>1021</v>
      </c>
      <c r="F2242" s="87" t="s">
        <v>967</v>
      </c>
      <c r="G2242" s="87" t="s">
        <v>272</v>
      </c>
      <c r="H2242" s="87" t="s">
        <v>967</v>
      </c>
      <c r="I2242" s="87">
        <v>2</v>
      </c>
    </row>
    <row r="2243" spans="1:9" ht="15" customHeight="1" x14ac:dyDescent="0.25">
      <c r="A2243" s="87" t="s">
        <v>38</v>
      </c>
      <c r="B2243" s="87" t="s">
        <v>337</v>
      </c>
      <c r="C2243" s="87">
        <v>2008</v>
      </c>
      <c r="D2243" s="87" t="s">
        <v>15</v>
      </c>
      <c r="E2243" s="116">
        <v>1858</v>
      </c>
      <c r="F2243" s="87" t="s">
        <v>967</v>
      </c>
      <c r="G2243" s="87" t="s">
        <v>272</v>
      </c>
      <c r="H2243" s="87" t="s">
        <v>967</v>
      </c>
      <c r="I2243" s="87">
        <v>2</v>
      </c>
    </row>
    <row r="2244" spans="1:9" ht="15" customHeight="1" x14ac:dyDescent="0.25">
      <c r="A2244" s="87" t="s">
        <v>38</v>
      </c>
      <c r="B2244" s="87" t="s">
        <v>337</v>
      </c>
      <c r="C2244" s="87">
        <v>2009</v>
      </c>
      <c r="D2244" s="87" t="s">
        <v>15</v>
      </c>
      <c r="E2244" s="116">
        <v>3281</v>
      </c>
      <c r="F2244" s="87" t="s">
        <v>967</v>
      </c>
      <c r="G2244" s="87" t="s">
        <v>272</v>
      </c>
      <c r="H2244" s="87" t="s">
        <v>967</v>
      </c>
      <c r="I2244" s="87">
        <v>2</v>
      </c>
    </row>
    <row r="2245" spans="1:9" ht="15" customHeight="1" x14ac:dyDescent="0.25">
      <c r="A2245" s="87" t="s">
        <v>38</v>
      </c>
      <c r="B2245" s="87" t="s">
        <v>337</v>
      </c>
      <c r="C2245" s="87">
        <v>2010</v>
      </c>
      <c r="D2245" s="87" t="s">
        <v>15</v>
      </c>
      <c r="E2245" s="116">
        <v>1500</v>
      </c>
      <c r="F2245" s="87" t="s">
        <v>967</v>
      </c>
      <c r="G2245" s="87" t="s">
        <v>272</v>
      </c>
      <c r="H2245" s="87" t="s">
        <v>646</v>
      </c>
      <c r="I2245" s="87">
        <v>2</v>
      </c>
    </row>
    <row r="2246" spans="1:9" ht="15" customHeight="1" x14ac:dyDescent="0.25">
      <c r="A2246" s="87" t="s">
        <v>38</v>
      </c>
      <c r="B2246" s="87" t="s">
        <v>337</v>
      </c>
      <c r="C2246" s="87">
        <v>2011</v>
      </c>
      <c r="D2246" s="87" t="s">
        <v>15</v>
      </c>
      <c r="E2246" s="116">
        <v>1046</v>
      </c>
      <c r="F2246" s="87" t="s">
        <v>967</v>
      </c>
      <c r="G2246" s="87" t="s">
        <v>272</v>
      </c>
      <c r="H2246" s="87" t="s">
        <v>967</v>
      </c>
      <c r="I2246" s="87">
        <v>2</v>
      </c>
    </row>
    <row r="2247" spans="1:9" ht="15" customHeight="1" x14ac:dyDescent="0.25">
      <c r="A2247" s="87" t="s">
        <v>38</v>
      </c>
      <c r="B2247" s="87" t="s">
        <v>337</v>
      </c>
      <c r="C2247" s="87">
        <v>2012</v>
      </c>
      <c r="D2247" s="87" t="s">
        <v>15</v>
      </c>
      <c r="E2247" s="116">
        <v>768</v>
      </c>
      <c r="F2247" s="87" t="s">
        <v>967</v>
      </c>
      <c r="G2247" s="87" t="s">
        <v>272</v>
      </c>
      <c r="H2247" s="87" t="s">
        <v>647</v>
      </c>
      <c r="I2247" s="87">
        <v>2</v>
      </c>
    </row>
    <row r="2248" spans="1:9" ht="15" customHeight="1" x14ac:dyDescent="0.25">
      <c r="A2248" s="87" t="s">
        <v>38</v>
      </c>
      <c r="B2248" s="87" t="s">
        <v>337</v>
      </c>
      <c r="C2248" s="87">
        <v>2013</v>
      </c>
      <c r="D2248" s="87" t="s">
        <v>15</v>
      </c>
      <c r="E2248" s="116">
        <v>1432</v>
      </c>
      <c r="F2248" s="87" t="s">
        <v>967</v>
      </c>
      <c r="G2248" s="87" t="s">
        <v>272</v>
      </c>
      <c r="H2248" s="87" t="s">
        <v>967</v>
      </c>
      <c r="I2248" s="87">
        <v>2</v>
      </c>
    </row>
    <row r="2249" spans="1:9" ht="15" customHeight="1" x14ac:dyDescent="0.25">
      <c r="A2249" s="87" t="s">
        <v>38</v>
      </c>
      <c r="B2249" s="87" t="s">
        <v>337</v>
      </c>
      <c r="C2249" s="87">
        <v>2014</v>
      </c>
      <c r="D2249" s="87" t="s">
        <v>15</v>
      </c>
      <c r="E2249" s="116">
        <v>4345</v>
      </c>
      <c r="F2249" s="87" t="s">
        <v>967</v>
      </c>
      <c r="G2249" s="87" t="s">
        <v>272</v>
      </c>
      <c r="H2249" s="87" t="s">
        <v>967</v>
      </c>
      <c r="I2249" s="87">
        <v>2</v>
      </c>
    </row>
    <row r="2250" spans="1:9" ht="15" customHeight="1" x14ac:dyDescent="0.25">
      <c r="A2250" s="87" t="s">
        <v>38</v>
      </c>
      <c r="B2250" s="87" t="s">
        <v>337</v>
      </c>
      <c r="C2250" s="87">
        <v>2015</v>
      </c>
      <c r="D2250" s="87" t="s">
        <v>15</v>
      </c>
      <c r="E2250" s="116">
        <v>1443</v>
      </c>
      <c r="F2250" s="87" t="s">
        <v>967</v>
      </c>
      <c r="G2250" s="87" t="s">
        <v>272</v>
      </c>
      <c r="H2250" s="87" t="s">
        <v>648</v>
      </c>
      <c r="I2250" s="87">
        <v>2</v>
      </c>
    </row>
    <row r="2251" spans="1:9" ht="15" customHeight="1" x14ac:dyDescent="0.25">
      <c r="A2251" s="87" t="s">
        <v>38</v>
      </c>
      <c r="B2251" s="87" t="s">
        <v>337</v>
      </c>
      <c r="C2251" s="87">
        <v>2016</v>
      </c>
      <c r="D2251" s="87" t="s">
        <v>15</v>
      </c>
      <c r="E2251" s="116">
        <v>3022</v>
      </c>
      <c r="F2251" s="87" t="s">
        <v>967</v>
      </c>
      <c r="G2251" s="87" t="s">
        <v>272</v>
      </c>
      <c r="H2251" s="87" t="s">
        <v>649</v>
      </c>
      <c r="I2251" s="87">
        <v>2</v>
      </c>
    </row>
    <row r="2252" spans="1:9" ht="15" customHeight="1" x14ac:dyDescent="0.25">
      <c r="A2252" s="87" t="s">
        <v>38</v>
      </c>
      <c r="B2252" s="87" t="s">
        <v>337</v>
      </c>
      <c r="C2252" s="87">
        <v>2017</v>
      </c>
      <c r="D2252" s="87" t="s">
        <v>15</v>
      </c>
      <c r="E2252" s="116">
        <v>1114</v>
      </c>
      <c r="F2252" s="87" t="s">
        <v>967</v>
      </c>
      <c r="G2252" s="87" t="s">
        <v>272</v>
      </c>
      <c r="H2252" s="87" t="s">
        <v>967</v>
      </c>
      <c r="I2252" s="87">
        <v>2</v>
      </c>
    </row>
    <row r="2253" spans="1:9" ht="15" customHeight="1" x14ac:dyDescent="0.25">
      <c r="A2253" s="87" t="s">
        <v>38</v>
      </c>
      <c r="B2253" s="87" t="s">
        <v>337</v>
      </c>
      <c r="C2253" s="87">
        <v>2018</v>
      </c>
      <c r="D2253" s="87" t="s">
        <v>15</v>
      </c>
      <c r="E2253" s="116">
        <v>1283</v>
      </c>
      <c r="F2253" s="87" t="s">
        <v>967</v>
      </c>
      <c r="G2253" s="87" t="s">
        <v>272</v>
      </c>
      <c r="H2253" s="87" t="s">
        <v>967</v>
      </c>
      <c r="I2253" s="87">
        <v>2</v>
      </c>
    </row>
    <row r="2254" spans="1:9" ht="15" customHeight="1" x14ac:dyDescent="0.25">
      <c r="A2254" s="87" t="s">
        <v>38</v>
      </c>
      <c r="B2254" s="87" t="s">
        <v>337</v>
      </c>
      <c r="C2254" s="87">
        <v>2019</v>
      </c>
      <c r="D2254" s="87" t="s">
        <v>15</v>
      </c>
      <c r="E2254" s="116">
        <v>218</v>
      </c>
      <c r="F2254" s="87" t="s">
        <v>967</v>
      </c>
      <c r="G2254" s="87" t="s">
        <v>272</v>
      </c>
      <c r="H2254" s="87" t="s">
        <v>967</v>
      </c>
      <c r="I2254" s="87">
        <v>2</v>
      </c>
    </row>
    <row r="2255" spans="1:9" ht="15" customHeight="1" x14ac:dyDescent="0.25">
      <c r="A2255" s="87" t="s">
        <v>38</v>
      </c>
      <c r="B2255" s="87" t="s">
        <v>337</v>
      </c>
      <c r="C2255" s="87">
        <v>2020</v>
      </c>
      <c r="D2255" s="87" t="s">
        <v>15</v>
      </c>
      <c r="E2255" s="116">
        <v>3412</v>
      </c>
      <c r="F2255" s="87" t="s">
        <v>967</v>
      </c>
      <c r="G2255" s="87" t="s">
        <v>272</v>
      </c>
      <c r="H2255" s="87" t="s">
        <v>967</v>
      </c>
      <c r="I2255" s="87">
        <v>2</v>
      </c>
    </row>
    <row r="2256" spans="1:9" ht="15" customHeight="1" x14ac:dyDescent="0.25">
      <c r="A2256" s="87" t="s">
        <v>38</v>
      </c>
      <c r="B2256" s="87" t="s">
        <v>337</v>
      </c>
      <c r="C2256" s="87">
        <v>2021</v>
      </c>
      <c r="D2256" s="87" t="s">
        <v>15</v>
      </c>
      <c r="E2256" s="116">
        <v>1951</v>
      </c>
      <c r="F2256" s="87" t="s">
        <v>967</v>
      </c>
      <c r="G2256" s="87" t="s">
        <v>272</v>
      </c>
      <c r="H2256" s="87" t="s">
        <v>967</v>
      </c>
      <c r="I2256" s="87">
        <v>2</v>
      </c>
    </row>
    <row r="2257" spans="1:9" ht="15" customHeight="1" x14ac:dyDescent="0.25">
      <c r="A2257" s="87" t="s">
        <v>38</v>
      </c>
      <c r="B2257" s="87" t="s">
        <v>337</v>
      </c>
      <c r="C2257" s="87">
        <v>2022</v>
      </c>
      <c r="D2257" s="87" t="s">
        <v>15</v>
      </c>
      <c r="E2257" s="116">
        <v>2786</v>
      </c>
      <c r="F2257" s="87" t="s">
        <v>967</v>
      </c>
      <c r="G2257" s="87" t="s">
        <v>272</v>
      </c>
      <c r="H2257" s="87" t="s">
        <v>967</v>
      </c>
      <c r="I2257" s="87">
        <v>2</v>
      </c>
    </row>
    <row r="2258" spans="1:9" ht="15" customHeight="1" x14ac:dyDescent="0.25">
      <c r="A2258" s="87" t="s">
        <v>38</v>
      </c>
      <c r="B2258" s="87" t="s">
        <v>338</v>
      </c>
      <c r="C2258" s="87">
        <v>1975</v>
      </c>
      <c r="D2258" s="87" t="s">
        <v>15</v>
      </c>
      <c r="E2258" s="116">
        <v>11</v>
      </c>
      <c r="F2258" s="87" t="s">
        <v>508</v>
      </c>
      <c r="G2258" s="87" t="s">
        <v>967</v>
      </c>
      <c r="H2258" s="87" t="s">
        <v>508</v>
      </c>
      <c r="I2258" s="87">
        <v>8</v>
      </c>
    </row>
    <row r="2259" spans="1:9" ht="15" customHeight="1" x14ac:dyDescent="0.25">
      <c r="A2259" s="87" t="s">
        <v>38</v>
      </c>
      <c r="B2259" s="87" t="s">
        <v>338</v>
      </c>
      <c r="C2259" s="87">
        <v>1976</v>
      </c>
      <c r="D2259" s="87" t="s">
        <v>15</v>
      </c>
      <c r="E2259" s="116">
        <v>25</v>
      </c>
      <c r="F2259" s="87" t="s">
        <v>508</v>
      </c>
      <c r="G2259" s="87" t="s">
        <v>967</v>
      </c>
      <c r="H2259" s="87" t="s">
        <v>508</v>
      </c>
      <c r="I2259" s="87">
        <v>8</v>
      </c>
    </row>
    <row r="2260" spans="1:9" ht="15" customHeight="1" x14ac:dyDescent="0.25">
      <c r="A2260" s="87" t="s">
        <v>38</v>
      </c>
      <c r="B2260" s="87" t="s">
        <v>338</v>
      </c>
      <c r="C2260" s="87">
        <v>1977</v>
      </c>
      <c r="D2260" s="87" t="s">
        <v>15</v>
      </c>
      <c r="E2260" s="116">
        <v>20</v>
      </c>
      <c r="F2260" s="87" t="s">
        <v>508</v>
      </c>
      <c r="G2260" s="87" t="s">
        <v>967</v>
      </c>
      <c r="H2260" s="87" t="s">
        <v>508</v>
      </c>
      <c r="I2260" s="87">
        <v>8</v>
      </c>
    </row>
    <row r="2261" spans="1:9" ht="15" customHeight="1" x14ac:dyDescent="0.25">
      <c r="A2261" s="87" t="s">
        <v>38</v>
      </c>
      <c r="B2261" s="87" t="s">
        <v>338</v>
      </c>
      <c r="C2261" s="87">
        <v>1978</v>
      </c>
      <c r="D2261" s="87" t="s">
        <v>15</v>
      </c>
      <c r="E2261" s="116">
        <v>70</v>
      </c>
      <c r="F2261" s="87" t="s">
        <v>508</v>
      </c>
      <c r="G2261" s="87" t="s">
        <v>967</v>
      </c>
      <c r="H2261" s="87" t="s">
        <v>508</v>
      </c>
      <c r="I2261" s="87">
        <v>8</v>
      </c>
    </row>
    <row r="2262" spans="1:9" ht="15" customHeight="1" x14ac:dyDescent="0.25">
      <c r="A2262" s="87" t="s">
        <v>38</v>
      </c>
      <c r="B2262" s="87" t="s">
        <v>338</v>
      </c>
      <c r="C2262" s="87">
        <v>1979</v>
      </c>
      <c r="D2262" s="87" t="s">
        <v>15</v>
      </c>
      <c r="E2262" s="116">
        <v>15</v>
      </c>
      <c r="F2262" s="87" t="s">
        <v>508</v>
      </c>
      <c r="G2262" s="87" t="s">
        <v>967</v>
      </c>
      <c r="H2262" s="87" t="s">
        <v>508</v>
      </c>
      <c r="I2262" s="87">
        <v>8</v>
      </c>
    </row>
    <row r="2263" spans="1:9" ht="15" customHeight="1" x14ac:dyDescent="0.25">
      <c r="A2263" s="87" t="s">
        <v>38</v>
      </c>
      <c r="B2263" s="87" t="s">
        <v>338</v>
      </c>
      <c r="C2263" s="87">
        <v>1980</v>
      </c>
      <c r="D2263" s="87" t="s">
        <v>15</v>
      </c>
      <c r="E2263" s="116">
        <v>85</v>
      </c>
      <c r="F2263" s="87" t="s">
        <v>508</v>
      </c>
      <c r="G2263" s="87" t="s">
        <v>967</v>
      </c>
      <c r="H2263" s="87" t="s">
        <v>508</v>
      </c>
      <c r="I2263" s="87">
        <v>8</v>
      </c>
    </row>
    <row r="2264" spans="1:9" ht="15" customHeight="1" x14ac:dyDescent="0.25">
      <c r="A2264" s="87" t="s">
        <v>38</v>
      </c>
      <c r="B2264" s="87" t="s">
        <v>338</v>
      </c>
      <c r="C2264" s="87">
        <v>1981</v>
      </c>
      <c r="D2264" s="87" t="s">
        <v>15</v>
      </c>
      <c r="E2264" s="116">
        <v>20</v>
      </c>
      <c r="F2264" s="87" t="s">
        <v>508</v>
      </c>
      <c r="G2264" s="87" t="s">
        <v>967</v>
      </c>
      <c r="H2264" s="87" t="s">
        <v>508</v>
      </c>
      <c r="I2264" s="87">
        <v>8</v>
      </c>
    </row>
    <row r="2265" spans="1:9" ht="15" customHeight="1" x14ac:dyDescent="0.25">
      <c r="A2265" s="87" t="s">
        <v>38</v>
      </c>
      <c r="B2265" s="87" t="s">
        <v>338</v>
      </c>
      <c r="C2265" s="87">
        <v>1982</v>
      </c>
      <c r="D2265" s="87" t="s">
        <v>15</v>
      </c>
      <c r="E2265" s="116">
        <v>50</v>
      </c>
      <c r="F2265" s="87" t="s">
        <v>508</v>
      </c>
      <c r="G2265" s="87" t="s">
        <v>967</v>
      </c>
      <c r="H2265" s="87" t="s">
        <v>508</v>
      </c>
      <c r="I2265" s="87">
        <v>8</v>
      </c>
    </row>
    <row r="2266" spans="1:9" ht="15" customHeight="1" x14ac:dyDescent="0.25">
      <c r="A2266" s="87" t="s">
        <v>38</v>
      </c>
      <c r="B2266" s="87" t="s">
        <v>338</v>
      </c>
      <c r="C2266" s="87">
        <v>1983</v>
      </c>
      <c r="D2266" s="87" t="s">
        <v>15</v>
      </c>
      <c r="E2266" s="116">
        <v>10</v>
      </c>
      <c r="F2266" s="87" t="s">
        <v>508</v>
      </c>
      <c r="G2266" s="87" t="s">
        <v>967</v>
      </c>
      <c r="H2266" s="87" t="s">
        <v>508</v>
      </c>
      <c r="I2266" s="87">
        <v>8</v>
      </c>
    </row>
    <row r="2267" spans="1:9" ht="15" customHeight="1" x14ac:dyDescent="0.25">
      <c r="A2267" s="87" t="s">
        <v>38</v>
      </c>
      <c r="B2267" s="87" t="s">
        <v>338</v>
      </c>
      <c r="C2267" s="87">
        <v>1984</v>
      </c>
      <c r="D2267" s="87" t="s">
        <v>15</v>
      </c>
      <c r="E2267" s="116">
        <v>130</v>
      </c>
      <c r="F2267" s="87" t="s">
        <v>508</v>
      </c>
      <c r="G2267" s="87" t="s">
        <v>967</v>
      </c>
      <c r="H2267" s="87" t="s">
        <v>508</v>
      </c>
      <c r="I2267" s="87">
        <v>8</v>
      </c>
    </row>
    <row r="2268" spans="1:9" ht="15" customHeight="1" x14ac:dyDescent="0.25">
      <c r="A2268" s="87" t="s">
        <v>38</v>
      </c>
      <c r="B2268" s="87" t="s">
        <v>338</v>
      </c>
      <c r="C2268" s="87">
        <v>1985</v>
      </c>
      <c r="D2268" s="87" t="s">
        <v>15</v>
      </c>
      <c r="E2268" s="116">
        <v>85</v>
      </c>
      <c r="F2268" s="87" t="s">
        <v>508</v>
      </c>
      <c r="G2268" s="87" t="s">
        <v>967</v>
      </c>
      <c r="H2268" s="87" t="s">
        <v>508</v>
      </c>
      <c r="I2268" s="87">
        <v>8</v>
      </c>
    </row>
    <row r="2269" spans="1:9" ht="15" customHeight="1" x14ac:dyDescent="0.25">
      <c r="A2269" s="87" t="s">
        <v>38</v>
      </c>
      <c r="B2269" s="87" t="s">
        <v>338</v>
      </c>
      <c r="C2269" s="87">
        <v>1986</v>
      </c>
      <c r="D2269" s="87" t="s">
        <v>15</v>
      </c>
      <c r="E2269" s="116">
        <v>150</v>
      </c>
      <c r="F2269" s="87" t="s">
        <v>508</v>
      </c>
      <c r="G2269" s="87" t="s">
        <v>967</v>
      </c>
      <c r="H2269" s="87" t="s">
        <v>508</v>
      </c>
      <c r="I2269" s="87">
        <v>8</v>
      </c>
    </row>
    <row r="2270" spans="1:9" ht="15" customHeight="1" x14ac:dyDescent="0.25">
      <c r="A2270" s="87" t="s">
        <v>38</v>
      </c>
      <c r="B2270" s="87" t="s">
        <v>338</v>
      </c>
      <c r="C2270" s="87">
        <v>1987</v>
      </c>
      <c r="D2270" s="87" t="s">
        <v>15</v>
      </c>
      <c r="E2270" s="116">
        <v>160</v>
      </c>
      <c r="F2270" s="87" t="s">
        <v>508</v>
      </c>
      <c r="G2270" s="87" t="s">
        <v>967</v>
      </c>
      <c r="H2270" s="87" t="s">
        <v>508</v>
      </c>
      <c r="I2270" s="87">
        <v>8</v>
      </c>
    </row>
    <row r="2271" spans="1:9" ht="15" customHeight="1" x14ac:dyDescent="0.25">
      <c r="A2271" s="87" t="s">
        <v>38</v>
      </c>
      <c r="B2271" s="87" t="s">
        <v>338</v>
      </c>
      <c r="C2271" s="87">
        <v>1988</v>
      </c>
      <c r="D2271" s="87" t="s">
        <v>15</v>
      </c>
      <c r="E2271" s="116">
        <v>110</v>
      </c>
      <c r="F2271" s="87" t="s">
        <v>508</v>
      </c>
      <c r="G2271" s="87" t="s">
        <v>967</v>
      </c>
      <c r="H2271" s="87" t="s">
        <v>508</v>
      </c>
      <c r="I2271" s="87">
        <v>8</v>
      </c>
    </row>
    <row r="2272" spans="1:9" ht="15" customHeight="1" x14ac:dyDescent="0.25">
      <c r="A2272" s="87" t="s">
        <v>38</v>
      </c>
      <c r="B2272" s="87" t="s">
        <v>338</v>
      </c>
      <c r="C2272" s="87">
        <v>1989</v>
      </c>
      <c r="D2272" s="87" t="s">
        <v>15</v>
      </c>
      <c r="E2272" s="116">
        <v>50</v>
      </c>
      <c r="F2272" s="87" t="s">
        <v>508</v>
      </c>
      <c r="G2272" s="87" t="s">
        <v>967</v>
      </c>
      <c r="H2272" s="87" t="s">
        <v>508</v>
      </c>
      <c r="I2272" s="87">
        <v>8</v>
      </c>
    </row>
    <row r="2273" spans="1:9" ht="15" customHeight="1" x14ac:dyDescent="0.25">
      <c r="A2273" s="87" t="s">
        <v>38</v>
      </c>
      <c r="B2273" s="87" t="s">
        <v>338</v>
      </c>
      <c r="C2273" s="87">
        <v>1990</v>
      </c>
      <c r="D2273" s="87" t="s">
        <v>15</v>
      </c>
      <c r="E2273" s="116">
        <v>100</v>
      </c>
      <c r="F2273" s="87" t="s">
        <v>508</v>
      </c>
      <c r="G2273" s="87" t="s">
        <v>967</v>
      </c>
      <c r="H2273" s="87" t="s">
        <v>508</v>
      </c>
      <c r="I2273" s="87">
        <v>8</v>
      </c>
    </row>
    <row r="2274" spans="1:9" ht="15" customHeight="1" x14ac:dyDescent="0.25">
      <c r="A2274" s="87" t="s">
        <v>38</v>
      </c>
      <c r="B2274" s="87" t="s">
        <v>338</v>
      </c>
      <c r="C2274" s="87">
        <v>1991</v>
      </c>
      <c r="D2274" s="87" t="s">
        <v>15</v>
      </c>
      <c r="E2274" s="116">
        <v>107</v>
      </c>
      <c r="F2274" s="87" t="s">
        <v>508</v>
      </c>
      <c r="G2274" s="87" t="s">
        <v>967</v>
      </c>
      <c r="H2274" s="87" t="s">
        <v>508</v>
      </c>
      <c r="I2274" s="87">
        <v>8</v>
      </c>
    </row>
    <row r="2275" spans="1:9" ht="15" customHeight="1" x14ac:dyDescent="0.25">
      <c r="A2275" s="87" t="s">
        <v>38</v>
      </c>
      <c r="B2275" s="87" t="s">
        <v>338</v>
      </c>
      <c r="C2275" s="87">
        <v>1992</v>
      </c>
      <c r="D2275" s="87" t="s">
        <v>15</v>
      </c>
      <c r="E2275" s="116">
        <v>100</v>
      </c>
      <c r="F2275" s="87" t="s">
        <v>508</v>
      </c>
      <c r="G2275" s="87" t="s">
        <v>967</v>
      </c>
      <c r="H2275" s="87" t="s">
        <v>508</v>
      </c>
      <c r="I2275" s="87">
        <v>8</v>
      </c>
    </row>
    <row r="2276" spans="1:9" ht="15" customHeight="1" x14ac:dyDescent="0.25">
      <c r="A2276" s="87" t="s">
        <v>38</v>
      </c>
      <c r="B2276" s="87" t="s">
        <v>338</v>
      </c>
      <c r="C2276" s="87">
        <v>1993</v>
      </c>
      <c r="D2276" s="87" t="s">
        <v>15</v>
      </c>
      <c r="E2276" s="116">
        <v>55</v>
      </c>
      <c r="F2276" s="87" t="s">
        <v>508</v>
      </c>
      <c r="G2276" s="87" t="s">
        <v>967</v>
      </c>
      <c r="H2276" s="87" t="s">
        <v>508</v>
      </c>
      <c r="I2276" s="87">
        <v>8</v>
      </c>
    </row>
    <row r="2277" spans="1:9" ht="15" customHeight="1" x14ac:dyDescent="0.25">
      <c r="A2277" s="87" t="s">
        <v>38</v>
      </c>
      <c r="B2277" s="87" t="s">
        <v>338</v>
      </c>
      <c r="C2277" s="87">
        <v>1994</v>
      </c>
      <c r="D2277" s="87" t="s">
        <v>15</v>
      </c>
      <c r="E2277" s="116">
        <v>293</v>
      </c>
      <c r="F2277" s="87" t="s">
        <v>508</v>
      </c>
      <c r="G2277" s="87" t="s">
        <v>967</v>
      </c>
      <c r="H2277" s="87" t="s">
        <v>508</v>
      </c>
      <c r="I2277" s="87">
        <v>8</v>
      </c>
    </row>
    <row r="2278" spans="1:9" ht="15" customHeight="1" x14ac:dyDescent="0.25">
      <c r="A2278" s="87" t="s">
        <v>38</v>
      </c>
      <c r="B2278" s="87" t="s">
        <v>338</v>
      </c>
      <c r="C2278" s="87">
        <v>1995</v>
      </c>
      <c r="D2278" s="87" t="s">
        <v>15</v>
      </c>
      <c r="E2278" s="116">
        <v>400</v>
      </c>
      <c r="F2278" s="87" t="s">
        <v>508</v>
      </c>
      <c r="G2278" s="87" t="s">
        <v>967</v>
      </c>
      <c r="H2278" s="87" t="s">
        <v>508</v>
      </c>
      <c r="I2278" s="87">
        <v>8</v>
      </c>
    </row>
    <row r="2279" spans="1:9" ht="15" customHeight="1" x14ac:dyDescent="0.25">
      <c r="A2279" s="87" t="s">
        <v>38</v>
      </c>
      <c r="B2279" s="87" t="s">
        <v>338</v>
      </c>
      <c r="C2279" s="87">
        <v>1996</v>
      </c>
      <c r="D2279" s="87" t="s">
        <v>15</v>
      </c>
      <c r="E2279" s="116">
        <v>442</v>
      </c>
      <c r="F2279" s="87" t="s">
        <v>508</v>
      </c>
      <c r="G2279" s="87" t="s">
        <v>967</v>
      </c>
      <c r="H2279" s="87" t="s">
        <v>508</v>
      </c>
      <c r="I2279" s="87">
        <v>8</v>
      </c>
    </row>
    <row r="2280" spans="1:9" ht="15" customHeight="1" x14ac:dyDescent="0.25">
      <c r="A2280" s="87" t="s">
        <v>38</v>
      </c>
      <c r="B2280" s="87" t="s">
        <v>338</v>
      </c>
      <c r="C2280" s="87">
        <v>1997</v>
      </c>
      <c r="D2280" s="87" t="s">
        <v>15</v>
      </c>
      <c r="E2280" s="116">
        <v>229</v>
      </c>
      <c r="F2280" s="87" t="s">
        <v>508</v>
      </c>
      <c r="G2280" s="87" t="s">
        <v>967</v>
      </c>
      <c r="H2280" s="87" t="s">
        <v>508</v>
      </c>
      <c r="I2280" s="87">
        <v>8</v>
      </c>
    </row>
    <row r="2281" spans="1:9" ht="15" customHeight="1" x14ac:dyDescent="0.25">
      <c r="A2281" s="87" t="s">
        <v>38</v>
      </c>
      <c r="B2281" s="87" t="s">
        <v>338</v>
      </c>
      <c r="C2281" s="87">
        <v>1998</v>
      </c>
      <c r="D2281" s="87" t="s">
        <v>15</v>
      </c>
      <c r="E2281" s="116">
        <v>186</v>
      </c>
      <c r="F2281" s="87" t="s">
        <v>967</v>
      </c>
      <c r="G2281" s="87" t="s">
        <v>272</v>
      </c>
      <c r="H2281" s="87" t="s">
        <v>967</v>
      </c>
      <c r="I2281" s="87">
        <v>8</v>
      </c>
    </row>
    <row r="2282" spans="1:9" ht="15" customHeight="1" x14ac:dyDescent="0.25">
      <c r="A2282" s="87" t="s">
        <v>38</v>
      </c>
      <c r="B2282" s="87" t="s">
        <v>338</v>
      </c>
      <c r="C2282" s="87">
        <v>1999</v>
      </c>
      <c r="D2282" s="87" t="s">
        <v>15</v>
      </c>
      <c r="E2282" s="116">
        <v>86</v>
      </c>
      <c r="F2282" s="87" t="s">
        <v>650</v>
      </c>
      <c r="G2282" s="87" t="s">
        <v>272</v>
      </c>
      <c r="H2282" s="87" t="s">
        <v>967</v>
      </c>
      <c r="I2282" s="87">
        <v>8</v>
      </c>
    </row>
    <row r="2283" spans="1:9" ht="15" customHeight="1" x14ac:dyDescent="0.25">
      <c r="A2283" s="87" t="s">
        <v>38</v>
      </c>
      <c r="B2283" s="87" t="s">
        <v>338</v>
      </c>
      <c r="C2283" s="87">
        <v>2000</v>
      </c>
      <c r="D2283" s="87" t="s">
        <v>15</v>
      </c>
      <c r="E2283" s="116">
        <v>212</v>
      </c>
      <c r="F2283" s="87" t="s">
        <v>967</v>
      </c>
      <c r="G2283" s="87" t="s">
        <v>272</v>
      </c>
      <c r="H2283" s="87" t="s">
        <v>967</v>
      </c>
      <c r="I2283" s="87">
        <v>8</v>
      </c>
    </row>
    <row r="2284" spans="1:9" ht="15" customHeight="1" x14ac:dyDescent="0.25">
      <c r="A2284" s="87" t="s">
        <v>38</v>
      </c>
      <c r="B2284" s="87" t="s">
        <v>338</v>
      </c>
      <c r="C2284" s="87">
        <v>2001</v>
      </c>
      <c r="D2284" s="87" t="s">
        <v>15</v>
      </c>
      <c r="E2284" s="116">
        <v>411</v>
      </c>
      <c r="F2284" s="87" t="s">
        <v>967</v>
      </c>
      <c r="G2284" s="87" t="s">
        <v>272</v>
      </c>
      <c r="H2284" s="87" t="s">
        <v>967</v>
      </c>
      <c r="I2284" s="87">
        <v>8</v>
      </c>
    </row>
    <row r="2285" spans="1:9" ht="15" customHeight="1" x14ac:dyDescent="0.25">
      <c r="A2285" s="87" t="s">
        <v>38</v>
      </c>
      <c r="B2285" s="87" t="s">
        <v>338</v>
      </c>
      <c r="C2285" s="87">
        <v>2002</v>
      </c>
      <c r="D2285" s="87" t="s">
        <v>15</v>
      </c>
      <c r="E2285" s="116">
        <v>820</v>
      </c>
      <c r="F2285" s="87" t="s">
        <v>967</v>
      </c>
      <c r="G2285" s="87" t="s">
        <v>272</v>
      </c>
      <c r="H2285" s="87" t="s">
        <v>651</v>
      </c>
      <c r="I2285" s="87">
        <v>8</v>
      </c>
    </row>
    <row r="2286" spans="1:9" ht="15" customHeight="1" x14ac:dyDescent="0.25">
      <c r="A2286" s="87" t="s">
        <v>38</v>
      </c>
      <c r="B2286" s="87" t="s">
        <v>338</v>
      </c>
      <c r="C2286" s="87">
        <v>2003</v>
      </c>
      <c r="D2286" s="87" t="s">
        <v>15</v>
      </c>
      <c r="E2286" s="116">
        <v>569</v>
      </c>
      <c r="F2286" s="87" t="s">
        <v>967</v>
      </c>
      <c r="G2286" s="87" t="s">
        <v>967</v>
      </c>
      <c r="H2286" s="87" t="s">
        <v>967</v>
      </c>
      <c r="I2286" s="87">
        <v>8</v>
      </c>
    </row>
    <row r="2287" spans="1:9" ht="15" customHeight="1" x14ac:dyDescent="0.25">
      <c r="A2287" s="87" t="s">
        <v>38</v>
      </c>
      <c r="B2287" s="87" t="s">
        <v>338</v>
      </c>
      <c r="C2287" s="87">
        <v>2004</v>
      </c>
      <c r="D2287" s="87" t="s">
        <v>15</v>
      </c>
      <c r="E2287" s="116">
        <v>183</v>
      </c>
      <c r="F2287" s="87" t="s">
        <v>967</v>
      </c>
      <c r="G2287" s="87" t="s">
        <v>272</v>
      </c>
      <c r="H2287" s="87" t="s">
        <v>967</v>
      </c>
      <c r="I2287" s="87">
        <v>8</v>
      </c>
    </row>
    <row r="2288" spans="1:9" ht="15" customHeight="1" x14ac:dyDescent="0.25">
      <c r="A2288" s="87" t="s">
        <v>38</v>
      </c>
      <c r="B2288" s="87" t="s">
        <v>338</v>
      </c>
      <c r="C2288" s="87">
        <v>2005</v>
      </c>
      <c r="D2288" s="87" t="s">
        <v>15</v>
      </c>
      <c r="E2288" s="116">
        <v>151</v>
      </c>
      <c r="F2288" s="87" t="s">
        <v>967</v>
      </c>
      <c r="G2288" s="87" t="s">
        <v>272</v>
      </c>
      <c r="H2288" s="87" t="s">
        <v>967</v>
      </c>
      <c r="I2288" s="87">
        <v>8</v>
      </c>
    </row>
    <row r="2289" spans="1:9" ht="15" customHeight="1" x14ac:dyDescent="0.25">
      <c r="A2289" s="87" t="s">
        <v>38</v>
      </c>
      <c r="B2289" s="87" t="s">
        <v>338</v>
      </c>
      <c r="C2289" s="87">
        <v>2006</v>
      </c>
      <c r="D2289" s="87" t="s">
        <v>15</v>
      </c>
      <c r="E2289" s="116">
        <v>172</v>
      </c>
      <c r="F2289" s="87" t="s">
        <v>967</v>
      </c>
      <c r="G2289" s="87" t="s">
        <v>272</v>
      </c>
      <c r="H2289" s="87" t="s">
        <v>967</v>
      </c>
      <c r="I2289" s="87">
        <v>8</v>
      </c>
    </row>
    <row r="2290" spans="1:9" ht="15" customHeight="1" x14ac:dyDescent="0.25">
      <c r="A2290" s="87" t="s">
        <v>38</v>
      </c>
      <c r="B2290" s="87" t="s">
        <v>338</v>
      </c>
      <c r="C2290" s="87">
        <v>2007</v>
      </c>
      <c r="D2290" s="87" t="s">
        <v>15</v>
      </c>
      <c r="E2290" s="116">
        <v>114</v>
      </c>
      <c r="F2290" s="87" t="s">
        <v>967</v>
      </c>
      <c r="G2290" s="87" t="s">
        <v>272</v>
      </c>
      <c r="H2290" s="87" t="s">
        <v>967</v>
      </c>
      <c r="I2290" s="87">
        <v>8</v>
      </c>
    </row>
    <row r="2291" spans="1:9" ht="15" customHeight="1" x14ac:dyDescent="0.25">
      <c r="A2291" s="87" t="s">
        <v>38</v>
      </c>
      <c r="B2291" s="87" t="s">
        <v>338</v>
      </c>
      <c r="C2291" s="87">
        <v>2008</v>
      </c>
      <c r="D2291" s="87" t="s">
        <v>15</v>
      </c>
      <c r="E2291" s="116">
        <v>145</v>
      </c>
      <c r="F2291" s="87" t="s">
        <v>967</v>
      </c>
      <c r="G2291" s="87" t="s">
        <v>272</v>
      </c>
      <c r="H2291" s="87" t="s">
        <v>652</v>
      </c>
      <c r="I2291" s="87">
        <v>8</v>
      </c>
    </row>
    <row r="2292" spans="1:9" ht="15" customHeight="1" x14ac:dyDescent="0.25">
      <c r="A2292" s="87" t="s">
        <v>38</v>
      </c>
      <c r="B2292" s="87" t="s">
        <v>338</v>
      </c>
      <c r="C2292" s="87">
        <v>2009</v>
      </c>
      <c r="D2292" s="87" t="s">
        <v>15</v>
      </c>
      <c r="E2292" s="116">
        <v>311</v>
      </c>
      <c r="F2292" s="87" t="s">
        <v>967</v>
      </c>
      <c r="G2292" s="87" t="s">
        <v>272</v>
      </c>
      <c r="H2292" s="87" t="s">
        <v>967</v>
      </c>
      <c r="I2292" s="87">
        <v>8</v>
      </c>
    </row>
    <row r="2293" spans="1:9" ht="15" customHeight="1" x14ac:dyDescent="0.25">
      <c r="A2293" s="87" t="s">
        <v>38</v>
      </c>
      <c r="B2293" s="87" t="s">
        <v>338</v>
      </c>
      <c r="C2293" s="87">
        <v>2010</v>
      </c>
      <c r="D2293" s="87" t="s">
        <v>15</v>
      </c>
      <c r="E2293" s="116">
        <v>75</v>
      </c>
      <c r="F2293" s="87" t="s">
        <v>967</v>
      </c>
      <c r="G2293" s="87" t="s">
        <v>272</v>
      </c>
      <c r="H2293" s="87" t="s">
        <v>653</v>
      </c>
      <c r="I2293" s="87">
        <v>8</v>
      </c>
    </row>
    <row r="2294" spans="1:9" ht="15" customHeight="1" x14ac:dyDescent="0.25">
      <c r="A2294" s="87" t="s">
        <v>38</v>
      </c>
      <c r="B2294" s="87" t="s">
        <v>338</v>
      </c>
      <c r="C2294" s="87">
        <v>2011</v>
      </c>
      <c r="D2294" s="87" t="s">
        <v>15</v>
      </c>
      <c r="E2294" s="116">
        <v>55</v>
      </c>
      <c r="F2294" s="87" t="s">
        <v>967</v>
      </c>
      <c r="G2294" s="87" t="s">
        <v>272</v>
      </c>
      <c r="H2294" s="87" t="s">
        <v>967</v>
      </c>
      <c r="I2294" s="87">
        <v>8</v>
      </c>
    </row>
    <row r="2295" spans="1:9" ht="15" customHeight="1" x14ac:dyDescent="0.25">
      <c r="A2295" s="87" t="s">
        <v>38</v>
      </c>
      <c r="B2295" s="87" t="s">
        <v>338</v>
      </c>
      <c r="C2295" s="87">
        <v>2012</v>
      </c>
      <c r="D2295" s="87" t="s">
        <v>15</v>
      </c>
      <c r="E2295" s="116">
        <v>35</v>
      </c>
      <c r="F2295" s="87" t="s">
        <v>967</v>
      </c>
      <c r="G2295" s="87" t="s">
        <v>272</v>
      </c>
      <c r="H2295" s="87" t="s">
        <v>967</v>
      </c>
      <c r="I2295" s="87">
        <v>8</v>
      </c>
    </row>
    <row r="2296" spans="1:9" ht="15" customHeight="1" x14ac:dyDescent="0.25">
      <c r="A2296" s="87" t="s">
        <v>38</v>
      </c>
      <c r="B2296" s="87" t="s">
        <v>338</v>
      </c>
      <c r="C2296" s="87">
        <v>2013</v>
      </c>
      <c r="D2296" s="87" t="s">
        <v>15</v>
      </c>
      <c r="E2296" s="116">
        <v>125</v>
      </c>
      <c r="F2296" s="87" t="s">
        <v>967</v>
      </c>
      <c r="G2296" s="87" t="s">
        <v>272</v>
      </c>
      <c r="H2296" s="87" t="s">
        <v>967</v>
      </c>
      <c r="I2296" s="87">
        <v>8</v>
      </c>
    </row>
    <row r="2297" spans="1:9" ht="15" customHeight="1" x14ac:dyDescent="0.25">
      <c r="A2297" s="87" t="s">
        <v>38</v>
      </c>
      <c r="B2297" s="87" t="s">
        <v>338</v>
      </c>
      <c r="C2297" s="87">
        <v>2014</v>
      </c>
      <c r="D2297" s="87" t="s">
        <v>15</v>
      </c>
      <c r="E2297" s="116">
        <v>237</v>
      </c>
      <c r="F2297" s="87" t="s">
        <v>967</v>
      </c>
      <c r="G2297" s="87" t="s">
        <v>272</v>
      </c>
      <c r="H2297" s="87" t="s">
        <v>967</v>
      </c>
      <c r="I2297" s="87">
        <v>8</v>
      </c>
    </row>
    <row r="2298" spans="1:9" ht="15" customHeight="1" x14ac:dyDescent="0.25">
      <c r="A2298" s="87" t="s">
        <v>38</v>
      </c>
      <c r="B2298" s="87" t="s">
        <v>338</v>
      </c>
      <c r="C2298" s="87">
        <v>2015</v>
      </c>
      <c r="D2298" s="87" t="s">
        <v>15</v>
      </c>
      <c r="E2298" s="116">
        <v>115</v>
      </c>
      <c r="F2298" s="87" t="s">
        <v>967</v>
      </c>
      <c r="G2298" s="87" t="s">
        <v>272</v>
      </c>
      <c r="H2298" s="87" t="s">
        <v>654</v>
      </c>
      <c r="I2298" s="87">
        <v>8</v>
      </c>
    </row>
    <row r="2299" spans="1:9" ht="15" customHeight="1" x14ac:dyDescent="0.25">
      <c r="A2299" s="87" t="s">
        <v>38</v>
      </c>
      <c r="B2299" s="87" t="s">
        <v>338</v>
      </c>
      <c r="C2299" s="87">
        <v>2016</v>
      </c>
      <c r="D2299" s="87" t="s">
        <v>15</v>
      </c>
      <c r="E2299" s="116">
        <v>65</v>
      </c>
      <c r="F2299" s="87" t="s">
        <v>967</v>
      </c>
      <c r="G2299" s="87" t="s">
        <v>272</v>
      </c>
      <c r="H2299" s="87" t="s">
        <v>655</v>
      </c>
      <c r="I2299" s="87">
        <v>8</v>
      </c>
    </row>
    <row r="2300" spans="1:9" ht="15" customHeight="1" x14ac:dyDescent="0.25">
      <c r="A2300" s="87" t="s">
        <v>38</v>
      </c>
      <c r="B2300" s="87" t="s">
        <v>338</v>
      </c>
      <c r="C2300" s="87">
        <v>2017</v>
      </c>
      <c r="D2300" s="87" t="s">
        <v>15</v>
      </c>
      <c r="E2300" s="116">
        <v>42</v>
      </c>
      <c r="F2300" s="87" t="s">
        <v>967</v>
      </c>
      <c r="G2300" s="87" t="s">
        <v>272</v>
      </c>
      <c r="H2300" s="87" t="s">
        <v>967</v>
      </c>
      <c r="I2300" s="87">
        <v>8</v>
      </c>
    </row>
    <row r="2301" spans="1:9" ht="15" customHeight="1" x14ac:dyDescent="0.25">
      <c r="A2301" s="87" t="s">
        <v>38</v>
      </c>
      <c r="B2301" s="87" t="s">
        <v>338</v>
      </c>
      <c r="C2301" s="87">
        <v>2018</v>
      </c>
      <c r="D2301" s="87" t="s">
        <v>15</v>
      </c>
      <c r="E2301" s="116">
        <v>55</v>
      </c>
      <c r="F2301" s="87" t="s">
        <v>967</v>
      </c>
      <c r="G2301" s="87" t="s">
        <v>272</v>
      </c>
      <c r="H2301" s="87" t="s">
        <v>967</v>
      </c>
      <c r="I2301" s="87">
        <v>8</v>
      </c>
    </row>
    <row r="2302" spans="1:9" ht="15" customHeight="1" x14ac:dyDescent="0.25">
      <c r="A2302" s="87" t="s">
        <v>38</v>
      </c>
      <c r="B2302" s="87" t="s">
        <v>338</v>
      </c>
      <c r="C2302" s="87">
        <v>2019</v>
      </c>
      <c r="D2302" s="87" t="s">
        <v>15</v>
      </c>
      <c r="E2302" s="116">
        <v>2</v>
      </c>
      <c r="F2302" s="87" t="s">
        <v>967</v>
      </c>
      <c r="G2302" s="87" t="s">
        <v>272</v>
      </c>
      <c r="H2302" s="87" t="s">
        <v>985</v>
      </c>
      <c r="I2302" s="87">
        <v>8</v>
      </c>
    </row>
    <row r="2303" spans="1:9" ht="15" customHeight="1" x14ac:dyDescent="0.25">
      <c r="A2303" s="87" t="s">
        <v>38</v>
      </c>
      <c r="B2303" s="87" t="s">
        <v>338</v>
      </c>
      <c r="C2303" s="87">
        <v>2020</v>
      </c>
      <c r="D2303" s="87" t="s">
        <v>15</v>
      </c>
      <c r="E2303" s="116">
        <v>62</v>
      </c>
      <c r="F2303" s="87" t="s">
        <v>967</v>
      </c>
      <c r="G2303" s="87" t="s">
        <v>272</v>
      </c>
      <c r="H2303" s="87" t="s">
        <v>967</v>
      </c>
      <c r="I2303" s="87">
        <v>8</v>
      </c>
    </row>
    <row r="2304" spans="1:9" ht="15" customHeight="1" x14ac:dyDescent="0.25">
      <c r="A2304" s="87" t="s">
        <v>38</v>
      </c>
      <c r="B2304" s="87" t="s">
        <v>338</v>
      </c>
      <c r="C2304" s="87">
        <v>2021</v>
      </c>
      <c r="D2304" s="87" t="s">
        <v>15</v>
      </c>
      <c r="E2304" s="116">
        <v>148</v>
      </c>
      <c r="F2304" s="87" t="s">
        <v>967</v>
      </c>
      <c r="G2304" s="87" t="s">
        <v>272</v>
      </c>
      <c r="H2304" s="87" t="s">
        <v>967</v>
      </c>
      <c r="I2304" s="87">
        <v>8</v>
      </c>
    </row>
    <row r="2305" spans="1:9" ht="15" customHeight="1" x14ac:dyDescent="0.25">
      <c r="A2305" s="87" t="s">
        <v>38</v>
      </c>
      <c r="B2305" s="87" t="s">
        <v>338</v>
      </c>
      <c r="C2305" s="87">
        <v>2022</v>
      </c>
      <c r="D2305" s="87" t="s">
        <v>15</v>
      </c>
      <c r="E2305" s="116">
        <v>112</v>
      </c>
      <c r="F2305" s="87" t="s">
        <v>967</v>
      </c>
      <c r="G2305" s="87" t="s">
        <v>272</v>
      </c>
      <c r="H2305" s="87" t="s">
        <v>967</v>
      </c>
      <c r="I2305" s="87">
        <v>8</v>
      </c>
    </row>
    <row r="2306" spans="1:9" ht="15" customHeight="1" x14ac:dyDescent="0.25">
      <c r="A2306" s="87" t="s">
        <v>38</v>
      </c>
      <c r="B2306" s="87" t="s">
        <v>339</v>
      </c>
      <c r="C2306" s="87">
        <v>1975</v>
      </c>
      <c r="D2306" s="87" t="s">
        <v>15</v>
      </c>
      <c r="E2306" s="116">
        <v>-1</v>
      </c>
      <c r="F2306" s="87" t="s">
        <v>656</v>
      </c>
      <c r="G2306" s="87" t="s">
        <v>272</v>
      </c>
      <c r="H2306" s="87" t="s">
        <v>899</v>
      </c>
      <c r="I2306" s="87">
        <v>14</v>
      </c>
    </row>
    <row r="2307" spans="1:9" ht="15" customHeight="1" x14ac:dyDescent="0.25">
      <c r="A2307" s="87" t="s">
        <v>38</v>
      </c>
      <c r="B2307" s="87" t="s">
        <v>339</v>
      </c>
      <c r="C2307" s="87">
        <v>1976</v>
      </c>
      <c r="D2307" s="87" t="s">
        <v>15</v>
      </c>
      <c r="E2307" s="116">
        <v>-1</v>
      </c>
      <c r="F2307" s="87" t="s">
        <v>656</v>
      </c>
      <c r="G2307" s="87" t="s">
        <v>272</v>
      </c>
      <c r="H2307" s="87" t="s">
        <v>899</v>
      </c>
      <c r="I2307" s="87">
        <v>14</v>
      </c>
    </row>
    <row r="2308" spans="1:9" ht="15" customHeight="1" x14ac:dyDescent="0.25">
      <c r="A2308" s="87" t="s">
        <v>38</v>
      </c>
      <c r="B2308" s="87" t="s">
        <v>339</v>
      </c>
      <c r="C2308" s="87">
        <v>1977</v>
      </c>
      <c r="D2308" s="87" t="s">
        <v>15</v>
      </c>
      <c r="E2308" s="116">
        <v>-1</v>
      </c>
      <c r="F2308" s="87" t="s">
        <v>656</v>
      </c>
      <c r="G2308" s="87" t="s">
        <v>272</v>
      </c>
      <c r="H2308" s="87" t="s">
        <v>899</v>
      </c>
      <c r="I2308" s="87">
        <v>14</v>
      </c>
    </row>
    <row r="2309" spans="1:9" ht="15" customHeight="1" x14ac:dyDescent="0.25">
      <c r="A2309" s="87" t="s">
        <v>38</v>
      </c>
      <c r="B2309" s="87" t="s">
        <v>339</v>
      </c>
      <c r="C2309" s="87">
        <v>1978</v>
      </c>
      <c r="D2309" s="87" t="s">
        <v>15</v>
      </c>
      <c r="E2309" s="116">
        <v>-1</v>
      </c>
      <c r="F2309" s="87" t="s">
        <v>656</v>
      </c>
      <c r="G2309" s="87" t="s">
        <v>272</v>
      </c>
      <c r="H2309" s="87" t="s">
        <v>899</v>
      </c>
      <c r="I2309" s="87">
        <v>14</v>
      </c>
    </row>
    <row r="2310" spans="1:9" ht="15" customHeight="1" x14ac:dyDescent="0.25">
      <c r="A2310" s="87" t="s">
        <v>38</v>
      </c>
      <c r="B2310" s="87" t="s">
        <v>339</v>
      </c>
      <c r="C2310" s="87">
        <v>1979</v>
      </c>
      <c r="D2310" s="87" t="s">
        <v>15</v>
      </c>
      <c r="E2310" s="116">
        <v>-1</v>
      </c>
      <c r="F2310" s="87" t="s">
        <v>656</v>
      </c>
      <c r="G2310" s="87" t="s">
        <v>272</v>
      </c>
      <c r="H2310" s="87" t="s">
        <v>899</v>
      </c>
      <c r="I2310" s="87">
        <v>14</v>
      </c>
    </row>
    <row r="2311" spans="1:9" ht="15" customHeight="1" x14ac:dyDescent="0.25">
      <c r="A2311" s="87" t="s">
        <v>38</v>
      </c>
      <c r="B2311" s="87" t="s">
        <v>339</v>
      </c>
      <c r="C2311" s="87">
        <v>1980</v>
      </c>
      <c r="D2311" s="87" t="s">
        <v>15</v>
      </c>
      <c r="E2311" s="116">
        <v>-1</v>
      </c>
      <c r="F2311" s="87" t="s">
        <v>656</v>
      </c>
      <c r="G2311" s="87" t="s">
        <v>272</v>
      </c>
      <c r="H2311" s="87" t="s">
        <v>899</v>
      </c>
      <c r="I2311" s="87">
        <v>14</v>
      </c>
    </row>
    <row r="2312" spans="1:9" ht="15" customHeight="1" x14ac:dyDescent="0.25">
      <c r="A2312" s="87" t="s">
        <v>38</v>
      </c>
      <c r="B2312" s="87" t="s">
        <v>339</v>
      </c>
      <c r="C2312" s="87">
        <v>1981</v>
      </c>
      <c r="D2312" s="87" t="s">
        <v>15</v>
      </c>
      <c r="E2312" s="116">
        <v>-1</v>
      </c>
      <c r="F2312" s="87" t="s">
        <v>656</v>
      </c>
      <c r="G2312" s="87" t="s">
        <v>272</v>
      </c>
      <c r="H2312" s="87" t="s">
        <v>899</v>
      </c>
      <c r="I2312" s="87">
        <v>14</v>
      </c>
    </row>
    <row r="2313" spans="1:9" ht="15" customHeight="1" x14ac:dyDescent="0.25">
      <c r="A2313" s="87" t="s">
        <v>38</v>
      </c>
      <c r="B2313" s="87" t="s">
        <v>339</v>
      </c>
      <c r="C2313" s="87">
        <v>1982</v>
      </c>
      <c r="D2313" s="87" t="s">
        <v>15</v>
      </c>
      <c r="E2313" s="116">
        <v>-1</v>
      </c>
      <c r="F2313" s="87" t="s">
        <v>656</v>
      </c>
      <c r="G2313" s="87" t="s">
        <v>272</v>
      </c>
      <c r="H2313" s="87" t="s">
        <v>899</v>
      </c>
      <c r="I2313" s="87">
        <v>14</v>
      </c>
    </row>
    <row r="2314" spans="1:9" ht="15" customHeight="1" x14ac:dyDescent="0.25">
      <c r="A2314" s="87" t="s">
        <v>38</v>
      </c>
      <c r="B2314" s="87" t="s">
        <v>339</v>
      </c>
      <c r="C2314" s="87">
        <v>1983</v>
      </c>
      <c r="D2314" s="87" t="s">
        <v>15</v>
      </c>
      <c r="E2314" s="116">
        <v>-1</v>
      </c>
      <c r="F2314" s="87" t="s">
        <v>656</v>
      </c>
      <c r="G2314" s="87" t="s">
        <v>272</v>
      </c>
      <c r="H2314" s="87" t="s">
        <v>899</v>
      </c>
      <c r="I2314" s="87">
        <v>14</v>
      </c>
    </row>
    <row r="2315" spans="1:9" ht="15" customHeight="1" x14ac:dyDescent="0.25">
      <c r="A2315" s="87" t="s">
        <v>38</v>
      </c>
      <c r="B2315" s="87" t="s">
        <v>339</v>
      </c>
      <c r="C2315" s="87">
        <v>1984</v>
      </c>
      <c r="D2315" s="87" t="s">
        <v>15</v>
      </c>
      <c r="E2315" s="116">
        <v>-1</v>
      </c>
      <c r="F2315" s="87" t="s">
        <v>656</v>
      </c>
      <c r="G2315" s="87" t="s">
        <v>272</v>
      </c>
      <c r="H2315" s="87" t="s">
        <v>899</v>
      </c>
      <c r="I2315" s="87">
        <v>14</v>
      </c>
    </row>
    <row r="2316" spans="1:9" ht="15" customHeight="1" x14ac:dyDescent="0.25">
      <c r="A2316" s="87" t="s">
        <v>38</v>
      </c>
      <c r="B2316" s="87" t="s">
        <v>339</v>
      </c>
      <c r="C2316" s="87">
        <v>1985</v>
      </c>
      <c r="D2316" s="87" t="s">
        <v>15</v>
      </c>
      <c r="E2316" s="116">
        <v>-1</v>
      </c>
      <c r="F2316" s="87" t="s">
        <v>656</v>
      </c>
      <c r="G2316" s="87" t="s">
        <v>272</v>
      </c>
      <c r="H2316" s="87" t="s">
        <v>899</v>
      </c>
      <c r="I2316" s="87">
        <v>14</v>
      </c>
    </row>
    <row r="2317" spans="1:9" ht="15" customHeight="1" x14ac:dyDescent="0.25">
      <c r="A2317" s="87" t="s">
        <v>38</v>
      </c>
      <c r="B2317" s="87" t="s">
        <v>339</v>
      </c>
      <c r="C2317" s="87">
        <v>1986</v>
      </c>
      <c r="D2317" s="87" t="s">
        <v>15</v>
      </c>
      <c r="E2317" s="116">
        <v>-1</v>
      </c>
      <c r="F2317" s="87" t="s">
        <v>656</v>
      </c>
      <c r="G2317" s="87" t="s">
        <v>272</v>
      </c>
      <c r="H2317" s="87" t="s">
        <v>899</v>
      </c>
      <c r="I2317" s="87">
        <v>14</v>
      </c>
    </row>
    <row r="2318" spans="1:9" ht="15" customHeight="1" x14ac:dyDescent="0.25">
      <c r="A2318" s="87" t="s">
        <v>38</v>
      </c>
      <c r="B2318" s="87" t="s">
        <v>339</v>
      </c>
      <c r="C2318" s="87">
        <v>1987</v>
      </c>
      <c r="D2318" s="87" t="s">
        <v>15</v>
      </c>
      <c r="E2318" s="116">
        <v>-1</v>
      </c>
      <c r="F2318" s="87" t="s">
        <v>656</v>
      </c>
      <c r="G2318" s="87" t="s">
        <v>272</v>
      </c>
      <c r="H2318" s="87" t="s">
        <v>899</v>
      </c>
      <c r="I2318" s="87">
        <v>14</v>
      </c>
    </row>
    <row r="2319" spans="1:9" ht="15" customHeight="1" x14ac:dyDescent="0.25">
      <c r="A2319" s="87" t="s">
        <v>38</v>
      </c>
      <c r="B2319" s="87" t="s">
        <v>339</v>
      </c>
      <c r="C2319" s="87">
        <v>1988</v>
      </c>
      <c r="D2319" s="87" t="s">
        <v>15</v>
      </c>
      <c r="E2319" s="116">
        <v>-1</v>
      </c>
      <c r="F2319" s="87" t="s">
        <v>656</v>
      </c>
      <c r="G2319" s="87" t="s">
        <v>272</v>
      </c>
      <c r="H2319" s="87" t="s">
        <v>899</v>
      </c>
      <c r="I2319" s="87">
        <v>14</v>
      </c>
    </row>
    <row r="2320" spans="1:9" ht="15" customHeight="1" x14ac:dyDescent="0.25">
      <c r="A2320" s="87" t="s">
        <v>38</v>
      </c>
      <c r="B2320" s="87" t="s">
        <v>339</v>
      </c>
      <c r="C2320" s="87">
        <v>1989</v>
      </c>
      <c r="D2320" s="87" t="s">
        <v>15</v>
      </c>
      <c r="E2320" s="116">
        <v>-1</v>
      </c>
      <c r="F2320" s="87" t="s">
        <v>656</v>
      </c>
      <c r="G2320" s="87" t="s">
        <v>272</v>
      </c>
      <c r="H2320" s="87" t="s">
        <v>899</v>
      </c>
      <c r="I2320" s="87">
        <v>14</v>
      </c>
    </row>
    <row r="2321" spans="1:9" ht="15" customHeight="1" x14ac:dyDescent="0.25">
      <c r="A2321" s="87" t="s">
        <v>38</v>
      </c>
      <c r="B2321" s="87" t="s">
        <v>339</v>
      </c>
      <c r="C2321" s="87">
        <v>1990</v>
      </c>
      <c r="D2321" s="87" t="s">
        <v>15</v>
      </c>
      <c r="E2321" s="116">
        <v>-1</v>
      </c>
      <c r="F2321" s="87" t="s">
        <v>656</v>
      </c>
      <c r="G2321" s="87" t="s">
        <v>272</v>
      </c>
      <c r="H2321" s="87" t="s">
        <v>899</v>
      </c>
      <c r="I2321" s="87">
        <v>14</v>
      </c>
    </row>
    <row r="2322" spans="1:9" ht="15" customHeight="1" x14ac:dyDescent="0.25">
      <c r="A2322" s="87" t="s">
        <v>38</v>
      </c>
      <c r="B2322" s="87" t="s">
        <v>339</v>
      </c>
      <c r="C2322" s="87">
        <v>1991</v>
      </c>
      <c r="D2322" s="87" t="s">
        <v>15</v>
      </c>
      <c r="E2322" s="116">
        <v>-1</v>
      </c>
      <c r="F2322" s="87" t="s">
        <v>656</v>
      </c>
      <c r="G2322" s="87" t="s">
        <v>272</v>
      </c>
      <c r="H2322" s="87" t="s">
        <v>899</v>
      </c>
      <c r="I2322" s="87">
        <v>14</v>
      </c>
    </row>
    <row r="2323" spans="1:9" ht="15" customHeight="1" x14ac:dyDescent="0.25">
      <c r="A2323" s="87" t="s">
        <v>38</v>
      </c>
      <c r="B2323" s="87" t="s">
        <v>339</v>
      </c>
      <c r="C2323" s="87">
        <v>1992</v>
      </c>
      <c r="D2323" s="87" t="s">
        <v>15</v>
      </c>
      <c r="E2323" s="116">
        <v>-1</v>
      </c>
      <c r="F2323" s="87" t="s">
        <v>656</v>
      </c>
      <c r="G2323" s="87" t="s">
        <v>272</v>
      </c>
      <c r="H2323" s="87" t="s">
        <v>899</v>
      </c>
      <c r="I2323" s="87">
        <v>14</v>
      </c>
    </row>
    <row r="2324" spans="1:9" ht="15" customHeight="1" x14ac:dyDescent="0.25">
      <c r="A2324" s="87" t="s">
        <v>38</v>
      </c>
      <c r="B2324" s="87" t="s">
        <v>339</v>
      </c>
      <c r="C2324" s="87">
        <v>1993</v>
      </c>
      <c r="D2324" s="87" t="s">
        <v>15</v>
      </c>
      <c r="E2324" s="116">
        <v>-1</v>
      </c>
      <c r="F2324" s="87" t="s">
        <v>656</v>
      </c>
      <c r="G2324" s="87" t="s">
        <v>272</v>
      </c>
      <c r="H2324" s="87" t="s">
        <v>899</v>
      </c>
      <c r="I2324" s="87">
        <v>14</v>
      </c>
    </row>
    <row r="2325" spans="1:9" ht="15" customHeight="1" x14ac:dyDescent="0.25">
      <c r="A2325" s="87" t="s">
        <v>38</v>
      </c>
      <c r="B2325" s="87" t="s">
        <v>339</v>
      </c>
      <c r="C2325" s="87">
        <v>1994</v>
      </c>
      <c r="D2325" s="87" t="s">
        <v>15</v>
      </c>
      <c r="E2325" s="116">
        <v>-1</v>
      </c>
      <c r="F2325" s="87" t="s">
        <v>656</v>
      </c>
      <c r="G2325" s="87" t="s">
        <v>272</v>
      </c>
      <c r="H2325" s="87" t="s">
        <v>899</v>
      </c>
      <c r="I2325" s="87">
        <v>14</v>
      </c>
    </row>
    <row r="2326" spans="1:9" ht="15" customHeight="1" x14ac:dyDescent="0.25">
      <c r="A2326" s="87" t="s">
        <v>38</v>
      </c>
      <c r="B2326" s="87" t="s">
        <v>339</v>
      </c>
      <c r="C2326" s="87">
        <v>1995</v>
      </c>
      <c r="D2326" s="87" t="s">
        <v>15</v>
      </c>
      <c r="E2326" s="116">
        <v>180</v>
      </c>
      <c r="F2326" s="87" t="s">
        <v>967</v>
      </c>
      <c r="G2326" s="87" t="s">
        <v>967</v>
      </c>
      <c r="H2326" s="87" t="s">
        <v>967</v>
      </c>
      <c r="I2326" s="87">
        <v>14</v>
      </c>
    </row>
    <row r="2327" spans="1:9" ht="15" customHeight="1" x14ac:dyDescent="0.25">
      <c r="A2327" s="87" t="s">
        <v>38</v>
      </c>
      <c r="B2327" s="87" t="s">
        <v>339</v>
      </c>
      <c r="C2327" s="87">
        <v>1996</v>
      </c>
      <c r="D2327" s="87" t="s">
        <v>15</v>
      </c>
      <c r="E2327" s="116">
        <v>348</v>
      </c>
      <c r="F2327" s="87" t="s">
        <v>967</v>
      </c>
      <c r="G2327" s="87" t="s">
        <v>967</v>
      </c>
      <c r="H2327" s="87" t="s">
        <v>967</v>
      </c>
      <c r="I2327" s="87">
        <v>14</v>
      </c>
    </row>
    <row r="2328" spans="1:9" ht="15" customHeight="1" x14ac:dyDescent="0.25">
      <c r="A2328" s="87" t="s">
        <v>38</v>
      </c>
      <c r="B2328" s="87" t="s">
        <v>339</v>
      </c>
      <c r="C2328" s="87">
        <v>1997</v>
      </c>
      <c r="D2328" s="87" t="s">
        <v>15</v>
      </c>
      <c r="E2328" s="116">
        <v>114</v>
      </c>
      <c r="F2328" s="87" t="s">
        <v>967</v>
      </c>
      <c r="G2328" s="87" t="s">
        <v>967</v>
      </c>
      <c r="H2328" s="87" t="s">
        <v>967</v>
      </c>
      <c r="I2328" s="87">
        <v>14</v>
      </c>
    </row>
    <row r="2329" spans="1:9" ht="15" customHeight="1" x14ac:dyDescent="0.25">
      <c r="A2329" s="87" t="s">
        <v>38</v>
      </c>
      <c r="B2329" s="87" t="s">
        <v>339</v>
      </c>
      <c r="C2329" s="87">
        <v>1998</v>
      </c>
      <c r="D2329" s="87" t="s">
        <v>15</v>
      </c>
      <c r="E2329" s="116">
        <v>562</v>
      </c>
      <c r="F2329" s="87" t="s">
        <v>967</v>
      </c>
      <c r="G2329" s="87" t="s">
        <v>272</v>
      </c>
      <c r="H2329" s="87" t="s">
        <v>967</v>
      </c>
      <c r="I2329" s="87">
        <v>14</v>
      </c>
    </row>
    <row r="2330" spans="1:9" ht="15" customHeight="1" x14ac:dyDescent="0.25">
      <c r="A2330" s="87" t="s">
        <v>38</v>
      </c>
      <c r="B2330" s="87" t="s">
        <v>339</v>
      </c>
      <c r="C2330" s="87">
        <v>1999</v>
      </c>
      <c r="D2330" s="87" t="s">
        <v>15</v>
      </c>
      <c r="E2330" s="116">
        <v>98</v>
      </c>
      <c r="F2330" s="87" t="s">
        <v>340</v>
      </c>
      <c r="G2330" s="87" t="s">
        <v>272</v>
      </c>
      <c r="H2330" s="87" t="s">
        <v>967</v>
      </c>
      <c r="I2330" s="87">
        <v>14</v>
      </c>
    </row>
    <row r="2331" spans="1:9" ht="15" customHeight="1" x14ac:dyDescent="0.25">
      <c r="A2331" s="87" t="s">
        <v>38</v>
      </c>
      <c r="B2331" s="87" t="s">
        <v>339</v>
      </c>
      <c r="C2331" s="87">
        <v>2000</v>
      </c>
      <c r="D2331" s="87" t="s">
        <v>15</v>
      </c>
      <c r="E2331" s="116">
        <v>157</v>
      </c>
      <c r="F2331" s="87" t="s">
        <v>967</v>
      </c>
      <c r="G2331" s="87" t="s">
        <v>272</v>
      </c>
      <c r="H2331" s="87" t="s">
        <v>967</v>
      </c>
      <c r="I2331" s="87">
        <v>14</v>
      </c>
    </row>
    <row r="2332" spans="1:9" ht="15" customHeight="1" x14ac:dyDescent="0.25">
      <c r="A2332" s="87" t="s">
        <v>38</v>
      </c>
      <c r="B2332" s="87" t="s">
        <v>339</v>
      </c>
      <c r="C2332" s="87">
        <v>2001</v>
      </c>
      <c r="D2332" s="87" t="s">
        <v>15</v>
      </c>
      <c r="E2332" s="116">
        <v>265</v>
      </c>
      <c r="F2332" s="87" t="s">
        <v>967</v>
      </c>
      <c r="G2332" s="87" t="s">
        <v>272</v>
      </c>
      <c r="H2332" s="87" t="s">
        <v>967</v>
      </c>
      <c r="I2332" s="87">
        <v>14</v>
      </c>
    </row>
    <row r="2333" spans="1:9" ht="15" customHeight="1" x14ac:dyDescent="0.25">
      <c r="A2333" s="87" t="s">
        <v>38</v>
      </c>
      <c r="B2333" s="87" t="s">
        <v>339</v>
      </c>
      <c r="C2333" s="87">
        <v>2002</v>
      </c>
      <c r="D2333" s="87" t="s">
        <v>15</v>
      </c>
      <c r="E2333" s="116">
        <v>212</v>
      </c>
      <c r="F2333" s="87" t="s">
        <v>967</v>
      </c>
      <c r="G2333" s="87" t="s">
        <v>272</v>
      </c>
      <c r="H2333" s="87" t="s">
        <v>967</v>
      </c>
      <c r="I2333" s="87">
        <v>14</v>
      </c>
    </row>
    <row r="2334" spans="1:9" ht="15" customHeight="1" x14ac:dyDescent="0.25">
      <c r="A2334" s="87" t="s">
        <v>38</v>
      </c>
      <c r="B2334" s="87" t="s">
        <v>339</v>
      </c>
      <c r="C2334" s="87">
        <v>2003</v>
      </c>
      <c r="D2334" s="87" t="s">
        <v>15</v>
      </c>
      <c r="E2334" s="116">
        <v>854</v>
      </c>
      <c r="F2334" s="87" t="s">
        <v>967</v>
      </c>
      <c r="G2334" s="87" t="s">
        <v>272</v>
      </c>
      <c r="H2334" s="87" t="s">
        <v>967</v>
      </c>
      <c r="I2334" s="87">
        <v>14</v>
      </c>
    </row>
    <row r="2335" spans="1:9" ht="15" customHeight="1" x14ac:dyDescent="0.25">
      <c r="A2335" s="87" t="s">
        <v>38</v>
      </c>
      <c r="B2335" s="87" t="s">
        <v>339</v>
      </c>
      <c r="C2335" s="87">
        <v>2004</v>
      </c>
      <c r="D2335" s="87" t="s">
        <v>15</v>
      </c>
      <c r="E2335" s="116">
        <v>260</v>
      </c>
      <c r="F2335" s="87" t="s">
        <v>967</v>
      </c>
      <c r="G2335" s="87" t="s">
        <v>272</v>
      </c>
      <c r="H2335" s="87" t="s">
        <v>967</v>
      </c>
      <c r="I2335" s="87">
        <v>14</v>
      </c>
    </row>
    <row r="2336" spans="1:9" ht="15" customHeight="1" x14ac:dyDescent="0.25">
      <c r="A2336" s="87" t="s">
        <v>38</v>
      </c>
      <c r="B2336" s="87" t="s">
        <v>339</v>
      </c>
      <c r="C2336" s="87">
        <v>2005</v>
      </c>
      <c r="D2336" s="87" t="s">
        <v>15</v>
      </c>
      <c r="E2336" s="116">
        <v>35</v>
      </c>
      <c r="F2336" s="87" t="s">
        <v>967</v>
      </c>
      <c r="G2336" s="87" t="s">
        <v>272</v>
      </c>
      <c r="H2336" s="87" t="s">
        <v>967</v>
      </c>
      <c r="I2336" s="87">
        <v>14</v>
      </c>
    </row>
    <row r="2337" spans="1:9" ht="15" customHeight="1" x14ac:dyDescent="0.25">
      <c r="A2337" s="87" t="s">
        <v>38</v>
      </c>
      <c r="B2337" s="87" t="s">
        <v>339</v>
      </c>
      <c r="C2337" s="87">
        <v>2006</v>
      </c>
      <c r="D2337" s="87" t="s">
        <v>15</v>
      </c>
      <c r="E2337" s="116">
        <v>114</v>
      </c>
      <c r="F2337" s="87" t="s">
        <v>967</v>
      </c>
      <c r="G2337" s="87" t="s">
        <v>272</v>
      </c>
      <c r="H2337" s="87" t="s">
        <v>967</v>
      </c>
      <c r="I2337" s="87">
        <v>14</v>
      </c>
    </row>
    <row r="2338" spans="1:9" ht="15" customHeight="1" x14ac:dyDescent="0.25">
      <c r="A2338" s="87" t="s">
        <v>38</v>
      </c>
      <c r="B2338" s="87" t="s">
        <v>339</v>
      </c>
      <c r="C2338" s="87">
        <v>2007</v>
      </c>
      <c r="D2338" s="87" t="s">
        <v>15</v>
      </c>
      <c r="E2338" s="116">
        <v>98</v>
      </c>
      <c r="F2338" s="87" t="s">
        <v>967</v>
      </c>
      <c r="G2338" s="87" t="s">
        <v>272</v>
      </c>
      <c r="H2338" s="87" t="s">
        <v>967</v>
      </c>
      <c r="I2338" s="87">
        <v>14</v>
      </c>
    </row>
    <row r="2339" spans="1:9" ht="15" customHeight="1" x14ac:dyDescent="0.25">
      <c r="A2339" s="87" t="s">
        <v>38</v>
      </c>
      <c r="B2339" s="87" t="s">
        <v>339</v>
      </c>
      <c r="C2339" s="87">
        <v>2008</v>
      </c>
      <c r="D2339" s="87" t="s">
        <v>15</v>
      </c>
      <c r="E2339" s="116">
        <v>151</v>
      </c>
      <c r="F2339" s="87" t="s">
        <v>967</v>
      </c>
      <c r="G2339" s="87" t="s">
        <v>272</v>
      </c>
      <c r="H2339" s="87" t="s">
        <v>967</v>
      </c>
      <c r="I2339" s="87">
        <v>14</v>
      </c>
    </row>
    <row r="2340" spans="1:9" ht="15" customHeight="1" x14ac:dyDescent="0.25">
      <c r="A2340" s="87" t="s">
        <v>38</v>
      </c>
      <c r="B2340" s="87" t="s">
        <v>339</v>
      </c>
      <c r="C2340" s="87">
        <v>2009</v>
      </c>
      <c r="D2340" s="87" t="s">
        <v>15</v>
      </c>
      <c r="E2340" s="116">
        <v>245</v>
      </c>
      <c r="F2340" s="87" t="s">
        <v>967</v>
      </c>
      <c r="G2340" s="87" t="s">
        <v>272</v>
      </c>
      <c r="H2340" s="87" t="s">
        <v>967</v>
      </c>
      <c r="I2340" s="87">
        <v>14</v>
      </c>
    </row>
    <row r="2341" spans="1:9" ht="15" customHeight="1" x14ac:dyDescent="0.25">
      <c r="A2341" s="87" t="s">
        <v>38</v>
      </c>
      <c r="B2341" s="87" t="s">
        <v>339</v>
      </c>
      <c r="C2341" s="87">
        <v>2010</v>
      </c>
      <c r="D2341" s="87" t="s">
        <v>15</v>
      </c>
      <c r="E2341" s="116">
        <v>172</v>
      </c>
      <c r="F2341" s="87" t="s">
        <v>967</v>
      </c>
      <c r="G2341" s="87" t="s">
        <v>272</v>
      </c>
      <c r="H2341" s="87" t="s">
        <v>657</v>
      </c>
      <c r="I2341" s="87">
        <v>14</v>
      </c>
    </row>
    <row r="2342" spans="1:9" ht="15" customHeight="1" x14ac:dyDescent="0.25">
      <c r="A2342" s="87" t="s">
        <v>38</v>
      </c>
      <c r="B2342" s="87" t="s">
        <v>339</v>
      </c>
      <c r="C2342" s="87">
        <v>2011</v>
      </c>
      <c r="D2342" s="87" t="s">
        <v>15</v>
      </c>
      <c r="E2342" s="116">
        <v>140</v>
      </c>
      <c r="F2342" s="87" t="s">
        <v>967</v>
      </c>
      <c r="G2342" s="87" t="s">
        <v>272</v>
      </c>
      <c r="H2342" s="87" t="s">
        <v>967</v>
      </c>
      <c r="I2342" s="87">
        <v>14</v>
      </c>
    </row>
    <row r="2343" spans="1:9" ht="15" customHeight="1" x14ac:dyDescent="0.25">
      <c r="A2343" s="87" t="s">
        <v>38</v>
      </c>
      <c r="B2343" s="87" t="s">
        <v>339</v>
      </c>
      <c r="C2343" s="87">
        <v>2012</v>
      </c>
      <c r="D2343" s="87" t="s">
        <v>15</v>
      </c>
      <c r="E2343" s="116">
        <v>83</v>
      </c>
      <c r="F2343" s="87" t="s">
        <v>967</v>
      </c>
      <c r="G2343" s="87" t="s">
        <v>272</v>
      </c>
      <c r="H2343" s="87" t="s">
        <v>967</v>
      </c>
      <c r="I2343" s="87">
        <v>14</v>
      </c>
    </row>
    <row r="2344" spans="1:9" ht="15" customHeight="1" x14ac:dyDescent="0.25">
      <c r="A2344" s="87" t="s">
        <v>38</v>
      </c>
      <c r="B2344" s="87" t="s">
        <v>339</v>
      </c>
      <c r="C2344" s="87">
        <v>2013</v>
      </c>
      <c r="D2344" s="87" t="s">
        <v>15</v>
      </c>
      <c r="E2344" s="116">
        <v>260</v>
      </c>
      <c r="F2344" s="87" t="s">
        <v>967</v>
      </c>
      <c r="G2344" s="87" t="s">
        <v>272</v>
      </c>
      <c r="H2344" s="87" t="s">
        <v>967</v>
      </c>
      <c r="I2344" s="87">
        <v>14</v>
      </c>
    </row>
    <row r="2345" spans="1:9" ht="15" customHeight="1" x14ac:dyDescent="0.25">
      <c r="A2345" s="87" t="s">
        <v>38</v>
      </c>
      <c r="B2345" s="87" t="s">
        <v>339</v>
      </c>
      <c r="C2345" s="87">
        <v>2014</v>
      </c>
      <c r="D2345" s="87" t="s">
        <v>15</v>
      </c>
      <c r="E2345" s="116">
        <v>289</v>
      </c>
      <c r="F2345" s="87" t="s">
        <v>967</v>
      </c>
      <c r="G2345" s="87" t="s">
        <v>272</v>
      </c>
      <c r="H2345" s="87" t="s">
        <v>967</v>
      </c>
      <c r="I2345" s="87">
        <v>14</v>
      </c>
    </row>
    <row r="2346" spans="1:9" ht="15" customHeight="1" x14ac:dyDescent="0.25">
      <c r="A2346" s="87" t="s">
        <v>38</v>
      </c>
      <c r="B2346" s="87" t="s">
        <v>339</v>
      </c>
      <c r="C2346" s="87">
        <v>2015</v>
      </c>
      <c r="D2346" s="87" t="s">
        <v>15</v>
      </c>
      <c r="E2346" s="116">
        <v>186</v>
      </c>
      <c r="F2346" s="87" t="s">
        <v>967</v>
      </c>
      <c r="G2346" s="87" t="s">
        <v>272</v>
      </c>
      <c r="H2346" s="87" t="s">
        <v>658</v>
      </c>
      <c r="I2346" s="87">
        <v>14</v>
      </c>
    </row>
    <row r="2347" spans="1:9" ht="15" customHeight="1" x14ac:dyDescent="0.25">
      <c r="A2347" s="87" t="s">
        <v>38</v>
      </c>
      <c r="B2347" s="87" t="s">
        <v>339</v>
      </c>
      <c r="C2347" s="87">
        <v>2016</v>
      </c>
      <c r="D2347" s="87" t="s">
        <v>15</v>
      </c>
      <c r="E2347" s="116">
        <v>106</v>
      </c>
      <c r="F2347" s="87" t="s">
        <v>967</v>
      </c>
      <c r="G2347" s="87" t="s">
        <v>272</v>
      </c>
      <c r="H2347" s="87" t="s">
        <v>659</v>
      </c>
      <c r="I2347" s="87">
        <v>14</v>
      </c>
    </row>
    <row r="2348" spans="1:9" ht="15" customHeight="1" x14ac:dyDescent="0.25">
      <c r="A2348" s="87" t="s">
        <v>38</v>
      </c>
      <c r="B2348" s="87" t="s">
        <v>339</v>
      </c>
      <c r="C2348" s="87">
        <v>2017</v>
      </c>
      <c r="D2348" s="87" t="s">
        <v>15</v>
      </c>
      <c r="E2348" s="116">
        <v>45</v>
      </c>
      <c r="F2348" s="87" t="s">
        <v>967</v>
      </c>
      <c r="G2348" s="87" t="s">
        <v>272</v>
      </c>
      <c r="H2348" s="87" t="s">
        <v>967</v>
      </c>
      <c r="I2348" s="87">
        <v>14</v>
      </c>
    </row>
    <row r="2349" spans="1:9" ht="15" customHeight="1" x14ac:dyDescent="0.25">
      <c r="A2349" s="87" t="s">
        <v>38</v>
      </c>
      <c r="B2349" s="87" t="s">
        <v>339</v>
      </c>
      <c r="C2349" s="87">
        <v>2018</v>
      </c>
      <c r="D2349" s="87" t="s">
        <v>15</v>
      </c>
      <c r="E2349" s="116">
        <v>48</v>
      </c>
      <c r="F2349" s="87" t="s">
        <v>967</v>
      </c>
      <c r="G2349" s="87" t="s">
        <v>272</v>
      </c>
      <c r="H2349" s="87" t="s">
        <v>967</v>
      </c>
      <c r="I2349" s="87">
        <v>14</v>
      </c>
    </row>
    <row r="2350" spans="1:9" ht="15" customHeight="1" x14ac:dyDescent="0.25">
      <c r="A2350" s="87" t="s">
        <v>38</v>
      </c>
      <c r="B2350" s="87" t="s">
        <v>339</v>
      </c>
      <c r="C2350" s="87">
        <v>2019</v>
      </c>
      <c r="D2350" s="87" t="s">
        <v>15</v>
      </c>
      <c r="E2350" s="116">
        <v>12</v>
      </c>
      <c r="F2350" s="87" t="s">
        <v>967</v>
      </c>
      <c r="G2350" s="87" t="s">
        <v>272</v>
      </c>
      <c r="H2350" s="87" t="s">
        <v>967</v>
      </c>
      <c r="I2350" s="87">
        <v>14</v>
      </c>
    </row>
    <row r="2351" spans="1:9" ht="15" customHeight="1" x14ac:dyDescent="0.25">
      <c r="A2351" s="87" t="s">
        <v>38</v>
      </c>
      <c r="B2351" s="87" t="s">
        <v>339</v>
      </c>
      <c r="C2351" s="87">
        <v>2020</v>
      </c>
      <c r="D2351" s="87" t="s">
        <v>15</v>
      </c>
      <c r="E2351" s="116">
        <v>112</v>
      </c>
      <c r="F2351" s="87" t="s">
        <v>967</v>
      </c>
      <c r="G2351" s="87" t="s">
        <v>272</v>
      </c>
      <c r="H2351" s="87" t="s">
        <v>967</v>
      </c>
      <c r="I2351" s="87">
        <v>14</v>
      </c>
    </row>
    <row r="2352" spans="1:9" ht="15" customHeight="1" x14ac:dyDescent="0.25">
      <c r="A2352" s="87" t="s">
        <v>38</v>
      </c>
      <c r="B2352" s="87" t="s">
        <v>339</v>
      </c>
      <c r="C2352" s="87">
        <v>2021</v>
      </c>
      <c r="D2352" s="87" t="s">
        <v>15</v>
      </c>
      <c r="E2352" s="116">
        <v>160</v>
      </c>
      <c r="F2352" s="87" t="s">
        <v>967</v>
      </c>
      <c r="G2352" s="87" t="s">
        <v>272</v>
      </c>
      <c r="H2352" s="87" t="s">
        <v>967</v>
      </c>
      <c r="I2352" s="87">
        <v>14</v>
      </c>
    </row>
    <row r="2353" spans="1:9" ht="15" customHeight="1" x14ac:dyDescent="0.25">
      <c r="A2353" s="87" t="s">
        <v>38</v>
      </c>
      <c r="B2353" s="87" t="s">
        <v>339</v>
      </c>
      <c r="C2353" s="87">
        <v>2022</v>
      </c>
      <c r="D2353" s="87" t="s">
        <v>15</v>
      </c>
      <c r="E2353" s="116">
        <v>228</v>
      </c>
      <c r="F2353" s="87" t="s">
        <v>967</v>
      </c>
      <c r="G2353" s="87" t="s">
        <v>272</v>
      </c>
      <c r="H2353" s="87" t="s">
        <v>967</v>
      </c>
      <c r="I2353" s="87">
        <v>14</v>
      </c>
    </row>
    <row r="2354" spans="1:9" ht="15" customHeight="1" x14ac:dyDescent="0.25">
      <c r="A2354" s="87" t="s">
        <v>38</v>
      </c>
      <c r="B2354" s="87" t="s">
        <v>341</v>
      </c>
      <c r="C2354" s="87">
        <v>1975</v>
      </c>
      <c r="D2354" s="87" t="s">
        <v>15</v>
      </c>
      <c r="E2354" s="116">
        <v>-1</v>
      </c>
      <c r="F2354" s="87" t="s">
        <v>508</v>
      </c>
      <c r="G2354" s="87" t="s">
        <v>967</v>
      </c>
      <c r="H2354" s="87" t="s">
        <v>508</v>
      </c>
      <c r="I2354" s="87">
        <v>15</v>
      </c>
    </row>
    <row r="2355" spans="1:9" ht="15" customHeight="1" x14ac:dyDescent="0.25">
      <c r="A2355" s="87" t="s">
        <v>38</v>
      </c>
      <c r="B2355" s="87" t="s">
        <v>341</v>
      </c>
      <c r="C2355" s="87">
        <v>1976</v>
      </c>
      <c r="D2355" s="87" t="s">
        <v>15</v>
      </c>
      <c r="E2355" s="116">
        <v>-1</v>
      </c>
      <c r="F2355" s="87" t="s">
        <v>508</v>
      </c>
      <c r="G2355" s="87" t="s">
        <v>967</v>
      </c>
      <c r="H2355" s="87" t="s">
        <v>508</v>
      </c>
      <c r="I2355" s="87">
        <v>15</v>
      </c>
    </row>
    <row r="2356" spans="1:9" ht="15" customHeight="1" x14ac:dyDescent="0.25">
      <c r="A2356" s="87" t="s">
        <v>38</v>
      </c>
      <c r="B2356" s="87" t="s">
        <v>341</v>
      </c>
      <c r="C2356" s="87">
        <v>1977</v>
      </c>
      <c r="D2356" s="87" t="s">
        <v>15</v>
      </c>
      <c r="E2356" s="116">
        <v>-1</v>
      </c>
      <c r="F2356" s="87" t="s">
        <v>508</v>
      </c>
      <c r="G2356" s="87" t="s">
        <v>967</v>
      </c>
      <c r="H2356" s="87" t="s">
        <v>508</v>
      </c>
      <c r="I2356" s="87">
        <v>15</v>
      </c>
    </row>
    <row r="2357" spans="1:9" ht="15" customHeight="1" x14ac:dyDescent="0.25">
      <c r="A2357" s="87" t="s">
        <v>38</v>
      </c>
      <c r="B2357" s="87" t="s">
        <v>341</v>
      </c>
      <c r="C2357" s="87">
        <v>1978</v>
      </c>
      <c r="D2357" s="87" t="s">
        <v>15</v>
      </c>
      <c r="E2357" s="116">
        <v>-1</v>
      </c>
      <c r="F2357" s="87" t="s">
        <v>508</v>
      </c>
      <c r="G2357" s="87" t="s">
        <v>967</v>
      </c>
      <c r="H2357" s="87" t="s">
        <v>508</v>
      </c>
      <c r="I2357" s="87">
        <v>15</v>
      </c>
    </row>
    <row r="2358" spans="1:9" ht="15" customHeight="1" x14ac:dyDescent="0.25">
      <c r="A2358" s="87" t="s">
        <v>38</v>
      </c>
      <c r="B2358" s="87" t="s">
        <v>341</v>
      </c>
      <c r="C2358" s="87">
        <v>1979</v>
      </c>
      <c r="D2358" s="87" t="s">
        <v>15</v>
      </c>
      <c r="E2358" s="116">
        <v>70</v>
      </c>
      <c r="F2358" s="87" t="s">
        <v>508</v>
      </c>
      <c r="G2358" s="87" t="s">
        <v>967</v>
      </c>
      <c r="H2358" s="87" t="s">
        <v>508</v>
      </c>
      <c r="I2358" s="87">
        <v>15</v>
      </c>
    </row>
    <row r="2359" spans="1:9" ht="15" customHeight="1" x14ac:dyDescent="0.25">
      <c r="A2359" s="87" t="s">
        <v>38</v>
      </c>
      <c r="B2359" s="87" t="s">
        <v>341</v>
      </c>
      <c r="C2359" s="87">
        <v>1980</v>
      </c>
      <c r="D2359" s="87" t="s">
        <v>15</v>
      </c>
      <c r="E2359" s="116">
        <v>4</v>
      </c>
      <c r="F2359" s="87" t="s">
        <v>508</v>
      </c>
      <c r="G2359" s="87" t="s">
        <v>967</v>
      </c>
      <c r="H2359" s="87" t="s">
        <v>508</v>
      </c>
      <c r="I2359" s="87">
        <v>15</v>
      </c>
    </row>
    <row r="2360" spans="1:9" ht="15" customHeight="1" x14ac:dyDescent="0.25">
      <c r="A2360" s="87" t="s">
        <v>38</v>
      </c>
      <c r="B2360" s="87" t="s">
        <v>341</v>
      </c>
      <c r="C2360" s="87">
        <v>1981</v>
      </c>
      <c r="D2360" s="87" t="s">
        <v>15</v>
      </c>
      <c r="E2360" s="116">
        <v>40</v>
      </c>
      <c r="F2360" s="87" t="s">
        <v>508</v>
      </c>
      <c r="G2360" s="87" t="s">
        <v>967</v>
      </c>
      <c r="H2360" s="87" t="s">
        <v>508</v>
      </c>
      <c r="I2360" s="87">
        <v>15</v>
      </c>
    </row>
    <row r="2361" spans="1:9" ht="15" customHeight="1" x14ac:dyDescent="0.25">
      <c r="A2361" s="87" t="s">
        <v>38</v>
      </c>
      <c r="B2361" s="87" t="s">
        <v>341</v>
      </c>
      <c r="C2361" s="87">
        <v>1982</v>
      </c>
      <c r="D2361" s="87" t="s">
        <v>15</v>
      </c>
      <c r="E2361" s="116">
        <v>400</v>
      </c>
      <c r="F2361" s="87" t="s">
        <v>508</v>
      </c>
      <c r="G2361" s="87" t="s">
        <v>967</v>
      </c>
      <c r="H2361" s="87" t="s">
        <v>508</v>
      </c>
      <c r="I2361" s="87">
        <v>15</v>
      </c>
    </row>
    <row r="2362" spans="1:9" ht="15" customHeight="1" x14ac:dyDescent="0.25">
      <c r="A2362" s="87" t="s">
        <v>38</v>
      </c>
      <c r="B2362" s="87" t="s">
        <v>341</v>
      </c>
      <c r="C2362" s="87">
        <v>1983</v>
      </c>
      <c r="D2362" s="87" t="s">
        <v>15</v>
      </c>
      <c r="E2362" s="116">
        <v>-1</v>
      </c>
      <c r="F2362" s="87" t="s">
        <v>508</v>
      </c>
      <c r="G2362" s="87" t="s">
        <v>967</v>
      </c>
      <c r="H2362" s="87" t="s">
        <v>508</v>
      </c>
      <c r="I2362" s="87">
        <v>15</v>
      </c>
    </row>
    <row r="2363" spans="1:9" ht="15" customHeight="1" x14ac:dyDescent="0.25">
      <c r="A2363" s="87" t="s">
        <v>38</v>
      </c>
      <c r="B2363" s="87" t="s">
        <v>341</v>
      </c>
      <c r="C2363" s="87">
        <v>1984</v>
      </c>
      <c r="D2363" s="87" t="s">
        <v>15</v>
      </c>
      <c r="E2363" s="116">
        <v>-1</v>
      </c>
      <c r="F2363" s="87" t="s">
        <v>508</v>
      </c>
      <c r="G2363" s="87" t="s">
        <v>967</v>
      </c>
      <c r="H2363" s="87" t="s">
        <v>508</v>
      </c>
      <c r="I2363" s="87">
        <v>15</v>
      </c>
    </row>
    <row r="2364" spans="1:9" ht="15" customHeight="1" x14ac:dyDescent="0.25">
      <c r="A2364" s="87" t="s">
        <v>38</v>
      </c>
      <c r="B2364" s="87" t="s">
        <v>341</v>
      </c>
      <c r="C2364" s="87">
        <v>1985</v>
      </c>
      <c r="D2364" s="87" t="s">
        <v>15</v>
      </c>
      <c r="E2364" s="116">
        <v>-1</v>
      </c>
      <c r="F2364" s="87" t="s">
        <v>508</v>
      </c>
      <c r="G2364" s="87" t="s">
        <v>967</v>
      </c>
      <c r="H2364" s="87" t="s">
        <v>508</v>
      </c>
      <c r="I2364" s="87">
        <v>15</v>
      </c>
    </row>
    <row r="2365" spans="1:9" ht="15" customHeight="1" x14ac:dyDescent="0.25">
      <c r="A2365" s="87" t="s">
        <v>38</v>
      </c>
      <c r="B2365" s="87" t="s">
        <v>341</v>
      </c>
      <c r="C2365" s="87">
        <v>1986</v>
      </c>
      <c r="D2365" s="87" t="s">
        <v>15</v>
      </c>
      <c r="E2365" s="116">
        <v>-1</v>
      </c>
      <c r="F2365" s="87" t="s">
        <v>508</v>
      </c>
      <c r="G2365" s="87" t="s">
        <v>967</v>
      </c>
      <c r="H2365" s="87" t="s">
        <v>508</v>
      </c>
      <c r="I2365" s="87">
        <v>15</v>
      </c>
    </row>
    <row r="2366" spans="1:9" ht="15" customHeight="1" x14ac:dyDescent="0.25">
      <c r="A2366" s="87" t="s">
        <v>38</v>
      </c>
      <c r="B2366" s="87" t="s">
        <v>341</v>
      </c>
      <c r="C2366" s="87">
        <v>1987</v>
      </c>
      <c r="D2366" s="87" t="s">
        <v>15</v>
      </c>
      <c r="E2366" s="116">
        <v>900</v>
      </c>
      <c r="F2366" s="87" t="s">
        <v>508</v>
      </c>
      <c r="G2366" s="87" t="s">
        <v>967</v>
      </c>
      <c r="H2366" s="87" t="s">
        <v>508</v>
      </c>
      <c r="I2366" s="87">
        <v>15</v>
      </c>
    </row>
    <row r="2367" spans="1:9" ht="15" customHeight="1" x14ac:dyDescent="0.25">
      <c r="A2367" s="87" t="s">
        <v>38</v>
      </c>
      <c r="B2367" s="87" t="s">
        <v>341</v>
      </c>
      <c r="C2367" s="87">
        <v>1988</v>
      </c>
      <c r="D2367" s="87" t="s">
        <v>15</v>
      </c>
      <c r="E2367" s="116">
        <v>500</v>
      </c>
      <c r="F2367" s="87" t="s">
        <v>508</v>
      </c>
      <c r="G2367" s="87" t="s">
        <v>967</v>
      </c>
      <c r="H2367" s="87" t="s">
        <v>508</v>
      </c>
      <c r="I2367" s="87">
        <v>15</v>
      </c>
    </row>
    <row r="2368" spans="1:9" ht="15" customHeight="1" x14ac:dyDescent="0.25">
      <c r="A2368" s="87" t="s">
        <v>38</v>
      </c>
      <c r="B2368" s="87" t="s">
        <v>341</v>
      </c>
      <c r="C2368" s="87">
        <v>1989</v>
      </c>
      <c r="D2368" s="87" t="s">
        <v>15</v>
      </c>
      <c r="E2368" s="116">
        <v>-1</v>
      </c>
      <c r="F2368" s="87" t="s">
        <v>508</v>
      </c>
      <c r="G2368" s="87" t="s">
        <v>967</v>
      </c>
      <c r="H2368" s="87" t="s">
        <v>508</v>
      </c>
      <c r="I2368" s="87">
        <v>15</v>
      </c>
    </row>
    <row r="2369" spans="1:9" ht="15" customHeight="1" x14ac:dyDescent="0.25">
      <c r="A2369" s="87" t="s">
        <v>38</v>
      </c>
      <c r="B2369" s="87" t="s">
        <v>341</v>
      </c>
      <c r="C2369" s="87">
        <v>1990</v>
      </c>
      <c r="D2369" s="87" t="s">
        <v>15</v>
      </c>
      <c r="E2369" s="116">
        <v>-1</v>
      </c>
      <c r="F2369" s="87" t="s">
        <v>508</v>
      </c>
      <c r="G2369" s="87" t="s">
        <v>967</v>
      </c>
      <c r="H2369" s="87" t="s">
        <v>508</v>
      </c>
      <c r="I2369" s="87">
        <v>15</v>
      </c>
    </row>
    <row r="2370" spans="1:9" ht="15" customHeight="1" x14ac:dyDescent="0.25">
      <c r="A2370" s="87" t="s">
        <v>38</v>
      </c>
      <c r="B2370" s="87" t="s">
        <v>341</v>
      </c>
      <c r="C2370" s="87">
        <v>1991</v>
      </c>
      <c r="D2370" s="87" t="s">
        <v>15</v>
      </c>
      <c r="E2370" s="116">
        <v>-1</v>
      </c>
      <c r="F2370" s="87" t="s">
        <v>508</v>
      </c>
      <c r="G2370" s="87" t="s">
        <v>967</v>
      </c>
      <c r="H2370" s="87" t="s">
        <v>508</v>
      </c>
      <c r="I2370" s="87">
        <v>15</v>
      </c>
    </row>
    <row r="2371" spans="1:9" ht="15" customHeight="1" x14ac:dyDescent="0.25">
      <c r="A2371" s="87" t="s">
        <v>38</v>
      </c>
      <c r="B2371" s="87" t="s">
        <v>341</v>
      </c>
      <c r="C2371" s="87">
        <v>1992</v>
      </c>
      <c r="D2371" s="87" t="s">
        <v>15</v>
      </c>
      <c r="E2371" s="116">
        <v>2600</v>
      </c>
      <c r="F2371" s="87" t="s">
        <v>508</v>
      </c>
      <c r="G2371" s="87" t="s">
        <v>967</v>
      </c>
      <c r="H2371" s="87" t="s">
        <v>508</v>
      </c>
      <c r="I2371" s="87">
        <v>15</v>
      </c>
    </row>
    <row r="2372" spans="1:9" ht="15" customHeight="1" x14ac:dyDescent="0.25">
      <c r="A2372" s="87" t="s">
        <v>38</v>
      </c>
      <c r="B2372" s="87" t="s">
        <v>341</v>
      </c>
      <c r="C2372" s="87">
        <v>1993</v>
      </c>
      <c r="D2372" s="87" t="s">
        <v>15</v>
      </c>
      <c r="E2372" s="116">
        <v>-1</v>
      </c>
      <c r="F2372" s="87" t="s">
        <v>508</v>
      </c>
      <c r="G2372" s="87" t="s">
        <v>967</v>
      </c>
      <c r="H2372" s="87" t="s">
        <v>508</v>
      </c>
      <c r="I2372" s="87">
        <v>15</v>
      </c>
    </row>
    <row r="2373" spans="1:9" ht="15" customHeight="1" x14ac:dyDescent="0.25">
      <c r="A2373" s="87" t="s">
        <v>38</v>
      </c>
      <c r="B2373" s="87" t="s">
        <v>341</v>
      </c>
      <c r="C2373" s="87">
        <v>1994</v>
      </c>
      <c r="D2373" s="87" t="s">
        <v>15</v>
      </c>
      <c r="E2373" s="116">
        <v>187</v>
      </c>
      <c r="F2373" s="87" t="s">
        <v>508</v>
      </c>
      <c r="G2373" s="87" t="s">
        <v>967</v>
      </c>
      <c r="H2373" s="87" t="s">
        <v>508</v>
      </c>
      <c r="I2373" s="87">
        <v>15</v>
      </c>
    </row>
    <row r="2374" spans="1:9" ht="15" customHeight="1" x14ac:dyDescent="0.25">
      <c r="A2374" s="87" t="s">
        <v>38</v>
      </c>
      <c r="B2374" s="87" t="s">
        <v>341</v>
      </c>
      <c r="C2374" s="87">
        <v>1995</v>
      </c>
      <c r="D2374" s="87" t="s">
        <v>15</v>
      </c>
      <c r="E2374" s="116">
        <v>-1</v>
      </c>
      <c r="F2374" s="87" t="s">
        <v>508</v>
      </c>
      <c r="G2374" s="87" t="s">
        <v>967</v>
      </c>
      <c r="H2374" s="87" t="s">
        <v>508</v>
      </c>
      <c r="I2374" s="87">
        <v>15</v>
      </c>
    </row>
    <row r="2375" spans="1:9" ht="15" customHeight="1" x14ac:dyDescent="0.25">
      <c r="A2375" s="87" t="s">
        <v>38</v>
      </c>
      <c r="B2375" s="87" t="s">
        <v>341</v>
      </c>
      <c r="C2375" s="87">
        <v>1996</v>
      </c>
      <c r="D2375" s="87" t="s">
        <v>15</v>
      </c>
      <c r="E2375" s="116">
        <v>-1</v>
      </c>
      <c r="F2375" s="87" t="s">
        <v>508</v>
      </c>
      <c r="G2375" s="87" t="s">
        <v>967</v>
      </c>
      <c r="H2375" s="87" t="s">
        <v>508</v>
      </c>
      <c r="I2375" s="87">
        <v>15</v>
      </c>
    </row>
    <row r="2376" spans="1:9" ht="15" customHeight="1" x14ac:dyDescent="0.25">
      <c r="A2376" s="87" t="s">
        <v>38</v>
      </c>
      <c r="B2376" s="87" t="s">
        <v>341</v>
      </c>
      <c r="C2376" s="87">
        <v>1997</v>
      </c>
      <c r="D2376" s="87" t="s">
        <v>15</v>
      </c>
      <c r="E2376" s="116">
        <v>-1</v>
      </c>
      <c r="F2376" s="87" t="s">
        <v>967</v>
      </c>
      <c r="G2376" s="87" t="s">
        <v>967</v>
      </c>
      <c r="H2376" s="87" t="s">
        <v>967</v>
      </c>
      <c r="I2376" s="87">
        <v>15</v>
      </c>
    </row>
    <row r="2377" spans="1:9" ht="15" customHeight="1" x14ac:dyDescent="0.25">
      <c r="A2377" s="87" t="s">
        <v>38</v>
      </c>
      <c r="B2377" s="87" t="s">
        <v>341</v>
      </c>
      <c r="C2377" s="87">
        <v>1998</v>
      </c>
      <c r="D2377" s="87" t="s">
        <v>15</v>
      </c>
      <c r="E2377" s="116">
        <v>-1</v>
      </c>
      <c r="F2377" s="87" t="s">
        <v>967</v>
      </c>
      <c r="G2377" s="87" t="s">
        <v>967</v>
      </c>
      <c r="H2377" s="87" t="s">
        <v>967</v>
      </c>
      <c r="I2377" s="87">
        <v>15</v>
      </c>
    </row>
    <row r="2378" spans="1:9" ht="15" customHeight="1" x14ac:dyDescent="0.25">
      <c r="A2378" s="87" t="s">
        <v>38</v>
      </c>
      <c r="B2378" s="87" t="s">
        <v>341</v>
      </c>
      <c r="C2378" s="87">
        <v>1999</v>
      </c>
      <c r="D2378" s="87" t="s">
        <v>15</v>
      </c>
      <c r="E2378" s="116">
        <v>-1</v>
      </c>
      <c r="F2378" s="87" t="s">
        <v>967</v>
      </c>
      <c r="G2378" s="87" t="s">
        <v>967</v>
      </c>
      <c r="H2378" s="87" t="s">
        <v>967</v>
      </c>
      <c r="I2378" s="87">
        <v>15</v>
      </c>
    </row>
    <row r="2379" spans="1:9" ht="15" customHeight="1" x14ac:dyDescent="0.25">
      <c r="A2379" s="87" t="s">
        <v>38</v>
      </c>
      <c r="B2379" s="87" t="s">
        <v>341</v>
      </c>
      <c r="C2379" s="87">
        <v>2000</v>
      </c>
      <c r="D2379" s="87" t="s">
        <v>15</v>
      </c>
      <c r="E2379" s="116">
        <v>-1</v>
      </c>
      <c r="F2379" s="87" t="s">
        <v>967</v>
      </c>
      <c r="G2379" s="87" t="s">
        <v>967</v>
      </c>
      <c r="H2379" s="87" t="s">
        <v>967</v>
      </c>
      <c r="I2379" s="87">
        <v>15</v>
      </c>
    </row>
    <row r="2380" spans="1:9" ht="15" customHeight="1" x14ac:dyDescent="0.25">
      <c r="A2380" s="87" t="s">
        <v>38</v>
      </c>
      <c r="B2380" s="87" t="s">
        <v>341</v>
      </c>
      <c r="C2380" s="87">
        <v>2001</v>
      </c>
      <c r="D2380" s="87" t="s">
        <v>15</v>
      </c>
      <c r="E2380" s="116">
        <v>-1</v>
      </c>
      <c r="F2380" s="87" t="s">
        <v>967</v>
      </c>
      <c r="G2380" s="87" t="s">
        <v>967</v>
      </c>
      <c r="H2380" s="87" t="s">
        <v>967</v>
      </c>
      <c r="I2380" s="87">
        <v>15</v>
      </c>
    </row>
    <row r="2381" spans="1:9" ht="15" customHeight="1" x14ac:dyDescent="0.25">
      <c r="A2381" s="87" t="s">
        <v>38</v>
      </c>
      <c r="B2381" s="87" t="s">
        <v>341</v>
      </c>
      <c r="C2381" s="87">
        <v>2002</v>
      </c>
      <c r="D2381" s="87" t="s">
        <v>15</v>
      </c>
      <c r="E2381" s="116">
        <v>-1</v>
      </c>
      <c r="F2381" s="87" t="s">
        <v>967</v>
      </c>
      <c r="G2381" s="87" t="s">
        <v>967</v>
      </c>
      <c r="H2381" s="87" t="s">
        <v>967</v>
      </c>
      <c r="I2381" s="87">
        <v>15</v>
      </c>
    </row>
    <row r="2382" spans="1:9" ht="15" customHeight="1" x14ac:dyDescent="0.25">
      <c r="A2382" s="87" t="s">
        <v>38</v>
      </c>
      <c r="B2382" s="87" t="s">
        <v>341</v>
      </c>
      <c r="C2382" s="87">
        <v>2003</v>
      </c>
      <c r="D2382" s="87" t="s">
        <v>15</v>
      </c>
      <c r="E2382" s="116">
        <v>-1</v>
      </c>
      <c r="F2382" s="87" t="s">
        <v>967</v>
      </c>
      <c r="G2382" s="87" t="s">
        <v>967</v>
      </c>
      <c r="H2382" s="87" t="s">
        <v>967</v>
      </c>
      <c r="I2382" s="87">
        <v>15</v>
      </c>
    </row>
    <row r="2383" spans="1:9" ht="15" customHeight="1" x14ac:dyDescent="0.25">
      <c r="A2383" s="87" t="s">
        <v>38</v>
      </c>
      <c r="B2383" s="87" t="s">
        <v>341</v>
      </c>
      <c r="C2383" s="87">
        <v>2004</v>
      </c>
      <c r="D2383" s="87" t="s">
        <v>15</v>
      </c>
      <c r="E2383" s="116">
        <v>-1</v>
      </c>
      <c r="F2383" s="87" t="s">
        <v>967</v>
      </c>
      <c r="G2383" s="87" t="s">
        <v>967</v>
      </c>
      <c r="H2383" s="87" t="s">
        <v>967</v>
      </c>
      <c r="I2383" s="87">
        <v>15</v>
      </c>
    </row>
    <row r="2384" spans="1:9" ht="15" customHeight="1" x14ac:dyDescent="0.25">
      <c r="A2384" s="87" t="s">
        <v>38</v>
      </c>
      <c r="B2384" s="87" t="s">
        <v>341</v>
      </c>
      <c r="C2384" s="87">
        <v>2005</v>
      </c>
      <c r="D2384" s="87" t="s">
        <v>15</v>
      </c>
      <c r="E2384" s="116">
        <v>-1</v>
      </c>
      <c r="F2384" s="87" t="s">
        <v>967</v>
      </c>
      <c r="G2384" s="87" t="s">
        <v>967</v>
      </c>
      <c r="H2384" s="87" t="s">
        <v>967</v>
      </c>
      <c r="I2384" s="87">
        <v>15</v>
      </c>
    </row>
    <row r="2385" spans="1:9" ht="15" customHeight="1" x14ac:dyDescent="0.25">
      <c r="A2385" s="87" t="s">
        <v>38</v>
      </c>
      <c r="B2385" s="87" t="s">
        <v>341</v>
      </c>
      <c r="C2385" s="87">
        <v>2006</v>
      </c>
      <c r="D2385" s="87" t="s">
        <v>15</v>
      </c>
      <c r="E2385" s="116">
        <v>-1</v>
      </c>
      <c r="F2385" s="87" t="s">
        <v>967</v>
      </c>
      <c r="G2385" s="87" t="s">
        <v>967</v>
      </c>
      <c r="H2385" s="87" t="s">
        <v>967</v>
      </c>
      <c r="I2385" s="87">
        <v>15</v>
      </c>
    </row>
    <row r="2386" spans="1:9" ht="15" customHeight="1" x14ac:dyDescent="0.25">
      <c r="A2386" s="87" t="s">
        <v>38</v>
      </c>
      <c r="B2386" s="87" t="s">
        <v>341</v>
      </c>
      <c r="C2386" s="87">
        <v>2007</v>
      </c>
      <c r="D2386" s="87" t="s">
        <v>15</v>
      </c>
      <c r="E2386" s="116">
        <v>-1</v>
      </c>
      <c r="F2386" s="87" t="s">
        <v>967</v>
      </c>
      <c r="G2386" s="87" t="s">
        <v>967</v>
      </c>
      <c r="H2386" s="87" t="s">
        <v>967</v>
      </c>
      <c r="I2386" s="87">
        <v>15</v>
      </c>
    </row>
    <row r="2387" spans="1:9" ht="15" customHeight="1" x14ac:dyDescent="0.25">
      <c r="A2387" s="87" t="s">
        <v>38</v>
      </c>
      <c r="B2387" s="87" t="s">
        <v>341</v>
      </c>
      <c r="C2387" s="87">
        <v>2008</v>
      </c>
      <c r="D2387" s="87" t="s">
        <v>15</v>
      </c>
      <c r="E2387" s="116">
        <v>-1</v>
      </c>
      <c r="F2387" s="87" t="s">
        <v>967</v>
      </c>
      <c r="G2387" s="87" t="s">
        <v>967</v>
      </c>
      <c r="H2387" s="87" t="s">
        <v>967</v>
      </c>
      <c r="I2387" s="87">
        <v>15</v>
      </c>
    </row>
    <row r="2388" spans="1:9" ht="15" customHeight="1" x14ac:dyDescent="0.25">
      <c r="A2388" s="87" t="s">
        <v>38</v>
      </c>
      <c r="B2388" s="87" t="s">
        <v>341</v>
      </c>
      <c r="C2388" s="87">
        <v>2009</v>
      </c>
      <c r="D2388" s="87" t="s">
        <v>15</v>
      </c>
      <c r="E2388" s="116">
        <v>-1</v>
      </c>
      <c r="F2388" s="87" t="s">
        <v>967</v>
      </c>
      <c r="G2388" s="87" t="s">
        <v>967</v>
      </c>
      <c r="H2388" s="87" t="s">
        <v>967</v>
      </c>
      <c r="I2388" s="87">
        <v>15</v>
      </c>
    </row>
    <row r="2389" spans="1:9" ht="15" customHeight="1" x14ac:dyDescent="0.25">
      <c r="A2389" s="87" t="s">
        <v>38</v>
      </c>
      <c r="B2389" s="87" t="s">
        <v>341</v>
      </c>
      <c r="C2389" s="87">
        <v>2010</v>
      </c>
      <c r="D2389" s="87" t="s">
        <v>15</v>
      </c>
      <c r="E2389" s="116">
        <v>-1</v>
      </c>
      <c r="F2389" s="87" t="s">
        <v>967</v>
      </c>
      <c r="G2389" s="87" t="s">
        <v>967</v>
      </c>
      <c r="H2389" s="87" t="s">
        <v>967</v>
      </c>
      <c r="I2389" s="87">
        <v>15</v>
      </c>
    </row>
    <row r="2390" spans="1:9" s="75" customFormat="1" ht="15" customHeight="1" x14ac:dyDescent="0.25">
      <c r="A2390" s="87" t="s">
        <v>38</v>
      </c>
      <c r="B2390" s="87" t="s">
        <v>341</v>
      </c>
      <c r="C2390" s="87">
        <v>2011</v>
      </c>
      <c r="D2390" s="87" t="s">
        <v>15</v>
      </c>
      <c r="E2390" s="116">
        <v>-1</v>
      </c>
      <c r="F2390" s="87" t="s">
        <v>967</v>
      </c>
      <c r="G2390" s="87" t="s">
        <v>967</v>
      </c>
      <c r="H2390" s="87" t="s">
        <v>967</v>
      </c>
      <c r="I2390" s="87">
        <v>15</v>
      </c>
    </row>
    <row r="2391" spans="1:9" ht="15" customHeight="1" x14ac:dyDescent="0.25">
      <c r="A2391" s="87" t="s">
        <v>38</v>
      </c>
      <c r="B2391" s="87" t="s">
        <v>341</v>
      </c>
      <c r="C2391" s="87">
        <v>2012</v>
      </c>
      <c r="D2391" s="87" t="s">
        <v>15</v>
      </c>
      <c r="E2391" s="116">
        <v>-1</v>
      </c>
      <c r="F2391" s="87" t="s">
        <v>967</v>
      </c>
      <c r="G2391" s="87" t="s">
        <v>967</v>
      </c>
      <c r="H2391" s="87" t="s">
        <v>967</v>
      </c>
      <c r="I2391" s="87">
        <v>15</v>
      </c>
    </row>
    <row r="2392" spans="1:9" ht="15" customHeight="1" x14ac:dyDescent="0.25">
      <c r="A2392" s="87" t="s">
        <v>38</v>
      </c>
      <c r="B2392" s="87" t="s">
        <v>341</v>
      </c>
      <c r="C2392" s="87">
        <v>2013</v>
      </c>
      <c r="D2392" s="87" t="s">
        <v>15</v>
      </c>
      <c r="E2392" s="116">
        <v>-1</v>
      </c>
      <c r="F2392" s="87" t="s">
        <v>967</v>
      </c>
      <c r="G2392" s="87" t="s">
        <v>967</v>
      </c>
      <c r="H2392" s="87" t="s">
        <v>967</v>
      </c>
      <c r="I2392" s="87">
        <v>15</v>
      </c>
    </row>
    <row r="2393" spans="1:9" ht="15" customHeight="1" x14ac:dyDescent="0.25">
      <c r="A2393" s="87" t="s">
        <v>38</v>
      </c>
      <c r="B2393" s="87" t="s">
        <v>341</v>
      </c>
      <c r="C2393" s="87">
        <v>2014</v>
      </c>
      <c r="D2393" s="87" t="s">
        <v>15</v>
      </c>
      <c r="E2393" s="116">
        <v>-1</v>
      </c>
      <c r="F2393" s="87" t="s">
        <v>967</v>
      </c>
      <c r="G2393" s="87" t="s">
        <v>967</v>
      </c>
      <c r="H2393" s="87" t="s">
        <v>967</v>
      </c>
      <c r="I2393" s="87">
        <v>15</v>
      </c>
    </row>
    <row r="2394" spans="1:9" ht="15" customHeight="1" x14ac:dyDescent="0.25">
      <c r="A2394" s="87" t="s">
        <v>38</v>
      </c>
      <c r="B2394" s="87" t="s">
        <v>341</v>
      </c>
      <c r="C2394" s="87">
        <v>2015</v>
      </c>
      <c r="D2394" s="87" t="s">
        <v>15</v>
      </c>
      <c r="E2394" s="116">
        <v>-1</v>
      </c>
      <c r="F2394" s="87" t="s">
        <v>967</v>
      </c>
      <c r="G2394" s="87" t="s">
        <v>967</v>
      </c>
      <c r="H2394" s="87" t="s">
        <v>967</v>
      </c>
      <c r="I2394" s="87">
        <v>15</v>
      </c>
    </row>
    <row r="2395" spans="1:9" ht="15" customHeight="1" x14ac:dyDescent="0.25">
      <c r="A2395" s="87" t="s">
        <v>38</v>
      </c>
      <c r="B2395" s="87" t="s">
        <v>341</v>
      </c>
      <c r="C2395" s="87">
        <v>2016</v>
      </c>
      <c r="D2395" s="87" t="s">
        <v>15</v>
      </c>
      <c r="E2395" s="116">
        <v>-1</v>
      </c>
      <c r="F2395" s="87" t="s">
        <v>967</v>
      </c>
      <c r="G2395" s="87" t="s">
        <v>967</v>
      </c>
      <c r="H2395" s="87" t="s">
        <v>967</v>
      </c>
      <c r="I2395" s="87">
        <v>15</v>
      </c>
    </row>
    <row r="2396" spans="1:9" ht="15" customHeight="1" x14ac:dyDescent="0.25">
      <c r="A2396" s="87" t="s">
        <v>38</v>
      </c>
      <c r="B2396" s="87" t="s">
        <v>341</v>
      </c>
      <c r="C2396" s="87">
        <v>2017</v>
      </c>
      <c r="D2396" s="87" t="s">
        <v>15</v>
      </c>
      <c r="E2396" s="116">
        <v>-1</v>
      </c>
      <c r="F2396" s="87" t="s">
        <v>967</v>
      </c>
      <c r="G2396" s="87" t="s">
        <v>967</v>
      </c>
      <c r="H2396" s="87" t="s">
        <v>967</v>
      </c>
      <c r="I2396" s="87">
        <v>15</v>
      </c>
    </row>
    <row r="2397" spans="1:9" ht="15" customHeight="1" x14ac:dyDescent="0.25">
      <c r="A2397" s="87" t="s">
        <v>38</v>
      </c>
      <c r="B2397" s="87" t="s">
        <v>341</v>
      </c>
      <c r="C2397" s="87">
        <v>2018</v>
      </c>
      <c r="D2397" s="87" t="s">
        <v>15</v>
      </c>
      <c r="E2397" s="116">
        <v>-1</v>
      </c>
      <c r="F2397" s="87" t="s">
        <v>967</v>
      </c>
      <c r="G2397" s="87" t="s">
        <v>967</v>
      </c>
      <c r="H2397" s="87" t="s">
        <v>967</v>
      </c>
      <c r="I2397" s="87">
        <v>15</v>
      </c>
    </row>
    <row r="2398" spans="1:9" ht="15" customHeight="1" x14ac:dyDescent="0.25">
      <c r="A2398" s="87" t="s">
        <v>38</v>
      </c>
      <c r="B2398" s="87" t="s">
        <v>341</v>
      </c>
      <c r="C2398" s="87">
        <v>2019</v>
      </c>
      <c r="D2398" s="87" t="s">
        <v>15</v>
      </c>
      <c r="E2398" s="116">
        <v>-1</v>
      </c>
      <c r="F2398" s="87" t="s">
        <v>967</v>
      </c>
      <c r="G2398" s="87" t="s">
        <v>967</v>
      </c>
      <c r="H2398" s="87" t="s">
        <v>967</v>
      </c>
      <c r="I2398" s="87">
        <v>15</v>
      </c>
    </row>
    <row r="2399" spans="1:9" ht="15" customHeight="1" x14ac:dyDescent="0.25">
      <c r="A2399" s="87" t="s">
        <v>38</v>
      </c>
      <c r="B2399" s="87" t="s">
        <v>341</v>
      </c>
      <c r="C2399" s="87">
        <v>2020</v>
      </c>
      <c r="D2399" s="87" t="s">
        <v>15</v>
      </c>
      <c r="E2399" s="116">
        <v>-1</v>
      </c>
      <c r="F2399" s="87" t="s">
        <v>967</v>
      </c>
      <c r="G2399" s="87" t="s">
        <v>967</v>
      </c>
      <c r="H2399" s="87" t="s">
        <v>967</v>
      </c>
      <c r="I2399" s="87">
        <v>15</v>
      </c>
    </row>
    <row r="2400" spans="1:9" ht="15" customHeight="1" x14ac:dyDescent="0.25">
      <c r="A2400" s="87" t="s">
        <v>38</v>
      </c>
      <c r="B2400" s="87" t="s">
        <v>341</v>
      </c>
      <c r="C2400" s="87">
        <v>2021</v>
      </c>
      <c r="D2400" s="87" t="s">
        <v>15</v>
      </c>
      <c r="E2400" s="116">
        <v>-1</v>
      </c>
      <c r="F2400" s="87" t="s">
        <v>967</v>
      </c>
      <c r="G2400" s="87" t="s">
        <v>967</v>
      </c>
      <c r="H2400" s="87" t="s">
        <v>967</v>
      </c>
      <c r="I2400" s="87">
        <v>15</v>
      </c>
    </row>
    <row r="2401" spans="1:9" ht="15" customHeight="1" x14ac:dyDescent="0.25">
      <c r="A2401" s="87" t="s">
        <v>38</v>
      </c>
      <c r="B2401" s="87" t="s">
        <v>341</v>
      </c>
      <c r="C2401" s="87">
        <v>2022</v>
      </c>
      <c r="D2401" s="87" t="s">
        <v>15</v>
      </c>
      <c r="E2401" s="116">
        <v>-1</v>
      </c>
      <c r="F2401" s="87" t="s">
        <v>967</v>
      </c>
      <c r="G2401" s="87" t="s">
        <v>967</v>
      </c>
      <c r="H2401" s="87" t="s">
        <v>967</v>
      </c>
      <c r="I2401" s="87">
        <v>15</v>
      </c>
    </row>
    <row r="2402" spans="1:9" ht="15" customHeight="1" x14ac:dyDescent="0.25">
      <c r="A2402" s="87" t="s">
        <v>38</v>
      </c>
      <c r="B2402" s="87" t="s">
        <v>342</v>
      </c>
      <c r="C2402" s="87">
        <v>1975</v>
      </c>
      <c r="D2402" s="87" t="s">
        <v>15</v>
      </c>
      <c r="E2402" s="116">
        <v>-1</v>
      </c>
      <c r="F2402" s="87" t="s">
        <v>967</v>
      </c>
      <c r="G2402" s="87" t="s">
        <v>967</v>
      </c>
      <c r="H2402" s="87" t="s">
        <v>967</v>
      </c>
      <c r="I2402" s="87">
        <v>73</v>
      </c>
    </row>
    <row r="2403" spans="1:9" ht="15" customHeight="1" x14ac:dyDescent="0.25">
      <c r="A2403" s="87" t="s">
        <v>38</v>
      </c>
      <c r="B2403" s="87" t="s">
        <v>342</v>
      </c>
      <c r="C2403" s="87">
        <v>1976</v>
      </c>
      <c r="D2403" s="87" t="s">
        <v>15</v>
      </c>
      <c r="E2403" s="116">
        <v>-1</v>
      </c>
      <c r="F2403" s="87" t="s">
        <v>967</v>
      </c>
      <c r="G2403" s="87" t="s">
        <v>967</v>
      </c>
      <c r="H2403" s="87" t="s">
        <v>967</v>
      </c>
      <c r="I2403" s="87">
        <v>73</v>
      </c>
    </row>
    <row r="2404" spans="1:9" ht="15" customHeight="1" x14ac:dyDescent="0.25">
      <c r="A2404" s="87" t="s">
        <v>38</v>
      </c>
      <c r="B2404" s="87" t="s">
        <v>342</v>
      </c>
      <c r="C2404" s="87">
        <v>1977</v>
      </c>
      <c r="D2404" s="87" t="s">
        <v>15</v>
      </c>
      <c r="E2404" s="116">
        <v>-1</v>
      </c>
      <c r="F2404" s="87" t="s">
        <v>967</v>
      </c>
      <c r="G2404" s="87" t="s">
        <v>967</v>
      </c>
      <c r="H2404" s="87" t="s">
        <v>967</v>
      </c>
      <c r="I2404" s="87">
        <v>73</v>
      </c>
    </row>
    <row r="2405" spans="1:9" ht="15" customHeight="1" x14ac:dyDescent="0.25">
      <c r="A2405" s="87" t="s">
        <v>38</v>
      </c>
      <c r="B2405" s="87" t="s">
        <v>342</v>
      </c>
      <c r="C2405" s="87">
        <v>1978</v>
      </c>
      <c r="D2405" s="87" t="s">
        <v>15</v>
      </c>
      <c r="E2405" s="116">
        <v>-1</v>
      </c>
      <c r="F2405" s="87" t="s">
        <v>967</v>
      </c>
      <c r="G2405" s="87" t="s">
        <v>967</v>
      </c>
      <c r="H2405" s="87" t="s">
        <v>967</v>
      </c>
      <c r="I2405" s="87">
        <v>73</v>
      </c>
    </row>
    <row r="2406" spans="1:9" ht="15" customHeight="1" x14ac:dyDescent="0.25">
      <c r="A2406" s="87" t="s">
        <v>38</v>
      </c>
      <c r="B2406" s="87" t="s">
        <v>342</v>
      </c>
      <c r="C2406" s="87">
        <v>1979</v>
      </c>
      <c r="D2406" s="87" t="s">
        <v>15</v>
      </c>
      <c r="E2406" s="116">
        <v>-1</v>
      </c>
      <c r="F2406" s="87" t="s">
        <v>967</v>
      </c>
      <c r="G2406" s="87" t="s">
        <v>967</v>
      </c>
      <c r="H2406" s="87" t="s">
        <v>967</v>
      </c>
      <c r="I2406" s="87">
        <v>73</v>
      </c>
    </row>
    <row r="2407" spans="1:9" ht="15" customHeight="1" x14ac:dyDescent="0.25">
      <c r="A2407" s="87" t="s">
        <v>38</v>
      </c>
      <c r="B2407" s="87" t="s">
        <v>342</v>
      </c>
      <c r="C2407" s="87">
        <v>1980</v>
      </c>
      <c r="D2407" s="87" t="s">
        <v>15</v>
      </c>
      <c r="E2407" s="116">
        <v>-1</v>
      </c>
      <c r="F2407" s="87" t="s">
        <v>967</v>
      </c>
      <c r="G2407" s="87" t="s">
        <v>967</v>
      </c>
      <c r="H2407" s="87" t="s">
        <v>967</v>
      </c>
      <c r="I2407" s="87">
        <v>73</v>
      </c>
    </row>
    <row r="2408" spans="1:9" ht="15" customHeight="1" x14ac:dyDescent="0.25">
      <c r="A2408" s="87" t="s">
        <v>38</v>
      </c>
      <c r="B2408" s="87" t="s">
        <v>342</v>
      </c>
      <c r="C2408" s="87">
        <v>1981</v>
      </c>
      <c r="D2408" s="87" t="s">
        <v>15</v>
      </c>
      <c r="E2408" s="116">
        <v>-1</v>
      </c>
      <c r="F2408" s="87" t="s">
        <v>967</v>
      </c>
      <c r="G2408" s="87" t="s">
        <v>967</v>
      </c>
      <c r="H2408" s="87" t="s">
        <v>967</v>
      </c>
      <c r="I2408" s="87">
        <v>73</v>
      </c>
    </row>
    <row r="2409" spans="1:9" ht="15" customHeight="1" x14ac:dyDescent="0.25">
      <c r="A2409" s="87" t="s">
        <v>38</v>
      </c>
      <c r="B2409" s="87" t="s">
        <v>342</v>
      </c>
      <c r="C2409" s="87">
        <v>1982</v>
      </c>
      <c r="D2409" s="87" t="s">
        <v>15</v>
      </c>
      <c r="E2409" s="116">
        <v>-1</v>
      </c>
      <c r="F2409" s="87" t="s">
        <v>967</v>
      </c>
      <c r="G2409" s="87" t="s">
        <v>967</v>
      </c>
      <c r="H2409" s="87" t="s">
        <v>967</v>
      </c>
      <c r="I2409" s="87">
        <v>73</v>
      </c>
    </row>
    <row r="2410" spans="1:9" ht="15" customHeight="1" x14ac:dyDescent="0.25">
      <c r="A2410" s="87" t="s">
        <v>38</v>
      </c>
      <c r="B2410" s="87" t="s">
        <v>342</v>
      </c>
      <c r="C2410" s="87">
        <v>1983</v>
      </c>
      <c r="D2410" s="87" t="s">
        <v>15</v>
      </c>
      <c r="E2410" s="116">
        <v>-1</v>
      </c>
      <c r="F2410" s="87" t="s">
        <v>967</v>
      </c>
      <c r="G2410" s="87" t="s">
        <v>967</v>
      </c>
      <c r="H2410" s="87" t="s">
        <v>967</v>
      </c>
      <c r="I2410" s="87">
        <v>73</v>
      </c>
    </row>
    <row r="2411" spans="1:9" ht="15" customHeight="1" x14ac:dyDescent="0.25">
      <c r="A2411" s="87" t="s">
        <v>38</v>
      </c>
      <c r="B2411" s="87" t="s">
        <v>342</v>
      </c>
      <c r="C2411" s="87">
        <v>1984</v>
      </c>
      <c r="D2411" s="87" t="s">
        <v>15</v>
      </c>
      <c r="E2411" s="116">
        <v>-1</v>
      </c>
      <c r="F2411" s="87" t="s">
        <v>967</v>
      </c>
      <c r="G2411" s="87" t="s">
        <v>967</v>
      </c>
      <c r="H2411" s="87" t="s">
        <v>967</v>
      </c>
      <c r="I2411" s="87">
        <v>73</v>
      </c>
    </row>
    <row r="2412" spans="1:9" ht="15" customHeight="1" x14ac:dyDescent="0.25">
      <c r="A2412" s="87" t="s">
        <v>38</v>
      </c>
      <c r="B2412" s="87" t="s">
        <v>342</v>
      </c>
      <c r="C2412" s="87">
        <v>1985</v>
      </c>
      <c r="D2412" s="87" t="s">
        <v>15</v>
      </c>
      <c r="E2412" s="116">
        <v>-1</v>
      </c>
      <c r="F2412" s="87" t="s">
        <v>967</v>
      </c>
      <c r="G2412" s="87" t="s">
        <v>967</v>
      </c>
      <c r="H2412" s="87" t="s">
        <v>967</v>
      </c>
      <c r="I2412" s="87">
        <v>73</v>
      </c>
    </row>
    <row r="2413" spans="1:9" ht="15" customHeight="1" x14ac:dyDescent="0.25">
      <c r="A2413" s="87" t="s">
        <v>38</v>
      </c>
      <c r="B2413" s="87" t="s">
        <v>342</v>
      </c>
      <c r="C2413" s="87">
        <v>1986</v>
      </c>
      <c r="D2413" s="87" t="s">
        <v>15</v>
      </c>
      <c r="E2413" s="116">
        <v>-1</v>
      </c>
      <c r="F2413" s="87" t="s">
        <v>967</v>
      </c>
      <c r="G2413" s="87" t="s">
        <v>967</v>
      </c>
      <c r="H2413" s="87" t="s">
        <v>967</v>
      </c>
      <c r="I2413" s="87">
        <v>73</v>
      </c>
    </row>
    <row r="2414" spans="1:9" ht="15" customHeight="1" x14ac:dyDescent="0.25">
      <c r="A2414" s="87" t="s">
        <v>38</v>
      </c>
      <c r="B2414" s="87" t="s">
        <v>342</v>
      </c>
      <c r="C2414" s="87">
        <v>1987</v>
      </c>
      <c r="D2414" s="87" t="s">
        <v>15</v>
      </c>
      <c r="E2414" s="116">
        <v>-1</v>
      </c>
      <c r="F2414" s="87" t="s">
        <v>967</v>
      </c>
      <c r="G2414" s="87" t="s">
        <v>967</v>
      </c>
      <c r="H2414" s="87" t="s">
        <v>967</v>
      </c>
      <c r="I2414" s="87">
        <v>73</v>
      </c>
    </row>
    <row r="2415" spans="1:9" ht="15" customHeight="1" x14ac:dyDescent="0.25">
      <c r="A2415" s="87" t="s">
        <v>38</v>
      </c>
      <c r="B2415" s="87" t="s">
        <v>342</v>
      </c>
      <c r="C2415" s="87">
        <v>1988</v>
      </c>
      <c r="D2415" s="87" t="s">
        <v>15</v>
      </c>
      <c r="E2415" s="116">
        <v>-1</v>
      </c>
      <c r="F2415" s="87" t="s">
        <v>967</v>
      </c>
      <c r="G2415" s="87" t="s">
        <v>967</v>
      </c>
      <c r="H2415" s="87" t="s">
        <v>967</v>
      </c>
      <c r="I2415" s="87">
        <v>73</v>
      </c>
    </row>
    <row r="2416" spans="1:9" ht="15" customHeight="1" x14ac:dyDescent="0.25">
      <c r="A2416" s="87" t="s">
        <v>38</v>
      </c>
      <c r="B2416" s="87" t="s">
        <v>342</v>
      </c>
      <c r="C2416" s="87">
        <v>1989</v>
      </c>
      <c r="D2416" s="87" t="s">
        <v>15</v>
      </c>
      <c r="E2416" s="116">
        <v>-1</v>
      </c>
      <c r="F2416" s="87" t="s">
        <v>967</v>
      </c>
      <c r="G2416" s="87" t="s">
        <v>967</v>
      </c>
      <c r="H2416" s="87" t="s">
        <v>967</v>
      </c>
      <c r="I2416" s="87">
        <v>73</v>
      </c>
    </row>
    <row r="2417" spans="1:9" ht="15" customHeight="1" x14ac:dyDescent="0.25">
      <c r="A2417" s="87" t="s">
        <v>38</v>
      </c>
      <c r="B2417" s="87" t="s">
        <v>342</v>
      </c>
      <c r="C2417" s="87">
        <v>1990</v>
      </c>
      <c r="D2417" s="87" t="s">
        <v>15</v>
      </c>
      <c r="E2417" s="116">
        <v>-1</v>
      </c>
      <c r="F2417" s="87" t="s">
        <v>967</v>
      </c>
      <c r="G2417" s="87" t="s">
        <v>967</v>
      </c>
      <c r="H2417" s="87" t="s">
        <v>967</v>
      </c>
      <c r="I2417" s="87">
        <v>73</v>
      </c>
    </row>
    <row r="2418" spans="1:9" ht="15" customHeight="1" x14ac:dyDescent="0.25">
      <c r="A2418" s="87" t="s">
        <v>38</v>
      </c>
      <c r="B2418" s="87" t="s">
        <v>342</v>
      </c>
      <c r="C2418" s="87">
        <v>1991</v>
      </c>
      <c r="D2418" s="87" t="s">
        <v>15</v>
      </c>
      <c r="E2418" s="116">
        <v>-1</v>
      </c>
      <c r="F2418" s="87" t="s">
        <v>967</v>
      </c>
      <c r="G2418" s="87" t="s">
        <v>967</v>
      </c>
      <c r="H2418" s="87" t="s">
        <v>967</v>
      </c>
      <c r="I2418" s="87">
        <v>73</v>
      </c>
    </row>
    <row r="2419" spans="1:9" ht="15" customHeight="1" x14ac:dyDescent="0.25">
      <c r="A2419" s="87" t="s">
        <v>38</v>
      </c>
      <c r="B2419" s="87" t="s">
        <v>342</v>
      </c>
      <c r="C2419" s="87">
        <v>1992</v>
      </c>
      <c r="D2419" s="87" t="s">
        <v>15</v>
      </c>
      <c r="E2419" s="116">
        <v>-1</v>
      </c>
      <c r="F2419" s="87" t="s">
        <v>967</v>
      </c>
      <c r="G2419" s="87" t="s">
        <v>967</v>
      </c>
      <c r="H2419" s="87" t="s">
        <v>967</v>
      </c>
      <c r="I2419" s="87">
        <v>73</v>
      </c>
    </row>
    <row r="2420" spans="1:9" ht="15" customHeight="1" x14ac:dyDescent="0.25">
      <c r="A2420" s="87" t="s">
        <v>38</v>
      </c>
      <c r="B2420" s="87" t="s">
        <v>342</v>
      </c>
      <c r="C2420" s="87">
        <v>1993</v>
      </c>
      <c r="D2420" s="87" t="s">
        <v>15</v>
      </c>
      <c r="E2420" s="116">
        <v>-1</v>
      </c>
      <c r="F2420" s="87" t="s">
        <v>967</v>
      </c>
      <c r="G2420" s="87" t="s">
        <v>967</v>
      </c>
      <c r="H2420" s="87" t="s">
        <v>967</v>
      </c>
      <c r="I2420" s="87">
        <v>73</v>
      </c>
    </row>
    <row r="2421" spans="1:9" ht="15" customHeight="1" x14ac:dyDescent="0.25">
      <c r="A2421" s="87" t="s">
        <v>38</v>
      </c>
      <c r="B2421" s="87" t="s">
        <v>342</v>
      </c>
      <c r="C2421" s="87">
        <v>1994</v>
      </c>
      <c r="D2421" s="87" t="s">
        <v>15</v>
      </c>
      <c r="E2421" s="116">
        <v>-1</v>
      </c>
      <c r="F2421" s="87" t="s">
        <v>967</v>
      </c>
      <c r="G2421" s="87" t="s">
        <v>967</v>
      </c>
      <c r="H2421" s="87" t="s">
        <v>967</v>
      </c>
      <c r="I2421" s="87">
        <v>73</v>
      </c>
    </row>
    <row r="2422" spans="1:9" ht="15" customHeight="1" x14ac:dyDescent="0.25">
      <c r="A2422" s="87" t="s">
        <v>38</v>
      </c>
      <c r="B2422" s="87" t="s">
        <v>342</v>
      </c>
      <c r="C2422" s="87">
        <v>1995</v>
      </c>
      <c r="D2422" s="87" t="s">
        <v>15</v>
      </c>
      <c r="E2422" s="116">
        <v>8</v>
      </c>
      <c r="F2422" s="87" t="s">
        <v>967</v>
      </c>
      <c r="G2422" s="87" t="s">
        <v>967</v>
      </c>
      <c r="H2422" s="87" t="s">
        <v>967</v>
      </c>
      <c r="I2422" s="87">
        <v>73</v>
      </c>
    </row>
    <row r="2423" spans="1:9" ht="15" customHeight="1" x14ac:dyDescent="0.25">
      <c r="A2423" s="87" t="s">
        <v>38</v>
      </c>
      <c r="B2423" s="87" t="s">
        <v>342</v>
      </c>
      <c r="C2423" s="87">
        <v>1996</v>
      </c>
      <c r="D2423" s="87" t="s">
        <v>15</v>
      </c>
      <c r="E2423" s="116">
        <v>14</v>
      </c>
      <c r="F2423" s="87" t="s">
        <v>967</v>
      </c>
      <c r="G2423" s="87" t="s">
        <v>967</v>
      </c>
      <c r="H2423" s="87" t="s">
        <v>967</v>
      </c>
      <c r="I2423" s="87">
        <v>73</v>
      </c>
    </row>
    <row r="2424" spans="1:9" ht="15" customHeight="1" x14ac:dyDescent="0.25">
      <c r="A2424" s="87" t="s">
        <v>38</v>
      </c>
      <c r="B2424" s="87" t="s">
        <v>342</v>
      </c>
      <c r="C2424" s="87">
        <v>1997</v>
      </c>
      <c r="D2424" s="87" t="s">
        <v>15</v>
      </c>
      <c r="E2424" s="116">
        <v>45</v>
      </c>
      <c r="F2424" s="87" t="s">
        <v>967</v>
      </c>
      <c r="G2424" s="87" t="s">
        <v>967</v>
      </c>
      <c r="H2424" s="87" t="s">
        <v>967</v>
      </c>
      <c r="I2424" s="87">
        <v>73</v>
      </c>
    </row>
    <row r="2425" spans="1:9" ht="15" customHeight="1" x14ac:dyDescent="0.25">
      <c r="A2425" s="87" t="s">
        <v>38</v>
      </c>
      <c r="B2425" s="87" t="s">
        <v>342</v>
      </c>
      <c r="C2425" s="87">
        <v>1998</v>
      </c>
      <c r="D2425" s="87" t="s">
        <v>15</v>
      </c>
      <c r="E2425" s="116">
        <v>18</v>
      </c>
      <c r="F2425" s="87" t="s">
        <v>967</v>
      </c>
      <c r="G2425" s="87" t="s">
        <v>272</v>
      </c>
      <c r="H2425" s="87" t="s">
        <v>967</v>
      </c>
      <c r="I2425" s="87">
        <v>73</v>
      </c>
    </row>
    <row r="2426" spans="1:9" ht="15" customHeight="1" x14ac:dyDescent="0.25">
      <c r="A2426" s="87" t="s">
        <v>38</v>
      </c>
      <c r="B2426" s="87" t="s">
        <v>342</v>
      </c>
      <c r="C2426" s="87">
        <v>1999</v>
      </c>
      <c r="D2426" s="87" t="s">
        <v>15</v>
      </c>
      <c r="E2426" s="116">
        <v>-1</v>
      </c>
      <c r="F2426" s="87" t="s">
        <v>967</v>
      </c>
      <c r="G2426" s="87" t="s">
        <v>967</v>
      </c>
      <c r="H2426" s="87" t="s">
        <v>967</v>
      </c>
      <c r="I2426" s="87">
        <v>73</v>
      </c>
    </row>
    <row r="2427" spans="1:9" ht="15" customHeight="1" x14ac:dyDescent="0.25">
      <c r="A2427" s="87" t="s">
        <v>38</v>
      </c>
      <c r="B2427" s="87" t="s">
        <v>342</v>
      </c>
      <c r="C2427" s="87">
        <v>2000</v>
      </c>
      <c r="D2427" s="87" t="s">
        <v>15</v>
      </c>
      <c r="E2427" s="116">
        <v>15</v>
      </c>
      <c r="F2427" s="87" t="s">
        <v>967</v>
      </c>
      <c r="G2427" s="87" t="s">
        <v>272</v>
      </c>
      <c r="H2427" s="87" t="s">
        <v>967</v>
      </c>
      <c r="I2427" s="87">
        <v>73</v>
      </c>
    </row>
    <row r="2428" spans="1:9" ht="15" customHeight="1" x14ac:dyDescent="0.25">
      <c r="A2428" s="87" t="s">
        <v>38</v>
      </c>
      <c r="B2428" s="87" t="s">
        <v>342</v>
      </c>
      <c r="C2428" s="87">
        <v>2001</v>
      </c>
      <c r="D2428" s="87" t="s">
        <v>15</v>
      </c>
      <c r="E2428" s="116">
        <v>74</v>
      </c>
      <c r="F2428" s="87" t="s">
        <v>967</v>
      </c>
      <c r="G2428" s="87" t="s">
        <v>272</v>
      </c>
      <c r="H2428" s="87" t="s">
        <v>967</v>
      </c>
      <c r="I2428" s="87">
        <v>73</v>
      </c>
    </row>
    <row r="2429" spans="1:9" ht="15" customHeight="1" x14ac:dyDescent="0.25">
      <c r="A2429" s="87" t="s">
        <v>38</v>
      </c>
      <c r="B2429" s="87" t="s">
        <v>342</v>
      </c>
      <c r="C2429" s="87">
        <v>2002</v>
      </c>
      <c r="D2429" s="87" t="s">
        <v>15</v>
      </c>
      <c r="E2429" s="116">
        <v>126</v>
      </c>
      <c r="F2429" s="87" t="s">
        <v>967</v>
      </c>
      <c r="G2429" s="87" t="s">
        <v>272</v>
      </c>
      <c r="H2429" s="87" t="s">
        <v>967</v>
      </c>
      <c r="I2429" s="87">
        <v>73</v>
      </c>
    </row>
    <row r="2430" spans="1:9" ht="15" customHeight="1" x14ac:dyDescent="0.25">
      <c r="A2430" s="87" t="s">
        <v>38</v>
      </c>
      <c r="B2430" s="87" t="s">
        <v>342</v>
      </c>
      <c r="C2430" s="87">
        <v>2003</v>
      </c>
      <c r="D2430" s="87" t="s">
        <v>15</v>
      </c>
      <c r="E2430" s="116">
        <v>48</v>
      </c>
      <c r="F2430" s="87" t="s">
        <v>967</v>
      </c>
      <c r="G2430" s="87" t="s">
        <v>272</v>
      </c>
      <c r="H2430" s="87" t="s">
        <v>967</v>
      </c>
      <c r="I2430" s="87">
        <v>73</v>
      </c>
    </row>
    <row r="2431" spans="1:9" ht="15" customHeight="1" x14ac:dyDescent="0.25">
      <c r="A2431" s="87" t="s">
        <v>38</v>
      </c>
      <c r="B2431" s="87" t="s">
        <v>342</v>
      </c>
      <c r="C2431" s="87">
        <v>2004</v>
      </c>
      <c r="D2431" s="87" t="s">
        <v>15</v>
      </c>
      <c r="E2431" s="116">
        <v>54</v>
      </c>
      <c r="F2431" s="87" t="s">
        <v>967</v>
      </c>
      <c r="G2431" s="87" t="s">
        <v>272</v>
      </c>
      <c r="H2431" s="87" t="s">
        <v>967</v>
      </c>
      <c r="I2431" s="87">
        <v>73</v>
      </c>
    </row>
    <row r="2432" spans="1:9" ht="15" customHeight="1" x14ac:dyDescent="0.25">
      <c r="A2432" s="87" t="s">
        <v>38</v>
      </c>
      <c r="B2432" s="87" t="s">
        <v>342</v>
      </c>
      <c r="C2432" s="87">
        <v>2005</v>
      </c>
      <c r="D2432" s="87" t="s">
        <v>15</v>
      </c>
      <c r="E2432" s="116">
        <v>17</v>
      </c>
      <c r="F2432" s="87" t="s">
        <v>967</v>
      </c>
      <c r="G2432" s="87" t="s">
        <v>272</v>
      </c>
      <c r="H2432" s="87" t="s">
        <v>967</v>
      </c>
      <c r="I2432" s="87">
        <v>73</v>
      </c>
    </row>
    <row r="2433" spans="1:9" ht="15" customHeight="1" x14ac:dyDescent="0.25">
      <c r="A2433" s="87" t="s">
        <v>38</v>
      </c>
      <c r="B2433" s="87" t="s">
        <v>342</v>
      </c>
      <c r="C2433" s="87">
        <v>2006</v>
      </c>
      <c r="D2433" s="87" t="s">
        <v>15</v>
      </c>
      <c r="E2433" s="116">
        <v>72</v>
      </c>
      <c r="F2433" s="87" t="s">
        <v>967</v>
      </c>
      <c r="G2433" s="87" t="s">
        <v>272</v>
      </c>
      <c r="H2433" s="87" t="s">
        <v>967</v>
      </c>
      <c r="I2433" s="87">
        <v>73</v>
      </c>
    </row>
    <row r="2434" spans="1:9" ht="15" customHeight="1" x14ac:dyDescent="0.25">
      <c r="A2434" s="87" t="s">
        <v>38</v>
      </c>
      <c r="B2434" s="87" t="s">
        <v>342</v>
      </c>
      <c r="C2434" s="87">
        <v>2007</v>
      </c>
      <c r="D2434" s="87" t="s">
        <v>15</v>
      </c>
      <c r="E2434" s="116">
        <v>6</v>
      </c>
      <c r="F2434" s="87" t="s">
        <v>967</v>
      </c>
      <c r="G2434" s="87" t="s">
        <v>272</v>
      </c>
      <c r="H2434" s="87" t="s">
        <v>967</v>
      </c>
      <c r="I2434" s="87">
        <v>73</v>
      </c>
    </row>
    <row r="2435" spans="1:9" ht="15" customHeight="1" x14ac:dyDescent="0.25">
      <c r="A2435" s="87" t="s">
        <v>38</v>
      </c>
      <c r="B2435" s="87" t="s">
        <v>342</v>
      </c>
      <c r="C2435" s="87">
        <v>2008</v>
      </c>
      <c r="D2435" s="87" t="s">
        <v>15</v>
      </c>
      <c r="E2435" s="116">
        <v>6</v>
      </c>
      <c r="F2435" s="87" t="s">
        <v>967</v>
      </c>
      <c r="G2435" s="87" t="s">
        <v>272</v>
      </c>
      <c r="H2435" s="87" t="s">
        <v>967</v>
      </c>
      <c r="I2435" s="87">
        <v>73</v>
      </c>
    </row>
    <row r="2436" spans="1:9" ht="15" customHeight="1" x14ac:dyDescent="0.25">
      <c r="A2436" s="87" t="s">
        <v>38</v>
      </c>
      <c r="B2436" s="87" t="s">
        <v>342</v>
      </c>
      <c r="C2436" s="87">
        <v>2009</v>
      </c>
      <c r="D2436" s="87" t="s">
        <v>15</v>
      </c>
      <c r="E2436" s="116">
        <v>86</v>
      </c>
      <c r="F2436" s="87" t="s">
        <v>967</v>
      </c>
      <c r="G2436" s="87" t="s">
        <v>272</v>
      </c>
      <c r="H2436" s="87" t="s">
        <v>967</v>
      </c>
      <c r="I2436" s="87">
        <v>73</v>
      </c>
    </row>
    <row r="2437" spans="1:9" ht="15" customHeight="1" x14ac:dyDescent="0.25">
      <c r="A2437" s="87" t="s">
        <v>38</v>
      </c>
      <c r="B2437" s="87" t="s">
        <v>342</v>
      </c>
      <c r="C2437" s="87">
        <v>2010</v>
      </c>
      <c r="D2437" s="87" t="s">
        <v>15</v>
      </c>
      <c r="E2437" s="116">
        <v>14</v>
      </c>
      <c r="F2437" s="87" t="s">
        <v>967</v>
      </c>
      <c r="G2437" s="87" t="s">
        <v>272</v>
      </c>
      <c r="H2437" s="87" t="s">
        <v>967</v>
      </c>
      <c r="I2437" s="87">
        <v>73</v>
      </c>
    </row>
    <row r="2438" spans="1:9" ht="15" customHeight="1" x14ac:dyDescent="0.25">
      <c r="A2438" s="87" t="s">
        <v>38</v>
      </c>
      <c r="B2438" s="87" t="s">
        <v>342</v>
      </c>
      <c r="C2438" s="87">
        <v>2011</v>
      </c>
      <c r="D2438" s="87" t="s">
        <v>15</v>
      </c>
      <c r="E2438" s="116">
        <v>11</v>
      </c>
      <c r="F2438" s="87" t="s">
        <v>967</v>
      </c>
      <c r="G2438" s="87" t="s">
        <v>272</v>
      </c>
      <c r="H2438" s="87" t="s">
        <v>967</v>
      </c>
      <c r="I2438" s="87">
        <v>73</v>
      </c>
    </row>
    <row r="2439" spans="1:9" ht="15" customHeight="1" x14ac:dyDescent="0.25">
      <c r="A2439" s="87" t="s">
        <v>38</v>
      </c>
      <c r="B2439" s="87" t="s">
        <v>342</v>
      </c>
      <c r="C2439" s="87">
        <v>2012</v>
      </c>
      <c r="D2439" s="87" t="s">
        <v>15</v>
      </c>
      <c r="E2439" s="116">
        <v>25</v>
      </c>
      <c r="F2439" s="87" t="s">
        <v>967</v>
      </c>
      <c r="G2439" s="87" t="s">
        <v>272</v>
      </c>
      <c r="H2439" s="87" t="s">
        <v>967</v>
      </c>
      <c r="I2439" s="87">
        <v>73</v>
      </c>
    </row>
    <row r="2440" spans="1:9" ht="15" customHeight="1" x14ac:dyDescent="0.25">
      <c r="A2440" s="87" t="s">
        <v>38</v>
      </c>
      <c r="B2440" s="87" t="s">
        <v>342</v>
      </c>
      <c r="C2440" s="87">
        <v>2013</v>
      </c>
      <c r="D2440" s="87" t="s">
        <v>15</v>
      </c>
      <c r="E2440" s="116">
        <v>31</v>
      </c>
      <c r="F2440" s="87" t="s">
        <v>967</v>
      </c>
      <c r="G2440" s="87" t="s">
        <v>272</v>
      </c>
      <c r="H2440" s="87" t="s">
        <v>967</v>
      </c>
      <c r="I2440" s="87">
        <v>73</v>
      </c>
    </row>
    <row r="2441" spans="1:9" ht="15" customHeight="1" x14ac:dyDescent="0.25">
      <c r="A2441" s="87" t="s">
        <v>38</v>
      </c>
      <c r="B2441" s="87" t="s">
        <v>342</v>
      </c>
      <c r="C2441" s="87">
        <v>2014</v>
      </c>
      <c r="D2441" s="87" t="s">
        <v>15</v>
      </c>
      <c r="E2441" s="116">
        <v>28</v>
      </c>
      <c r="F2441" s="87" t="s">
        <v>967</v>
      </c>
      <c r="G2441" s="87" t="s">
        <v>274</v>
      </c>
      <c r="H2441" s="87" t="s">
        <v>967</v>
      </c>
      <c r="I2441" s="87">
        <v>73</v>
      </c>
    </row>
    <row r="2442" spans="1:9" ht="15" customHeight="1" x14ac:dyDescent="0.25">
      <c r="A2442" s="87" t="s">
        <v>38</v>
      </c>
      <c r="B2442" s="87" t="s">
        <v>342</v>
      </c>
      <c r="C2442" s="87">
        <v>2015</v>
      </c>
      <c r="D2442" s="87" t="s">
        <v>15</v>
      </c>
      <c r="E2442" s="116">
        <v>5</v>
      </c>
      <c r="F2442" s="87" t="s">
        <v>967</v>
      </c>
      <c r="G2442" s="87" t="s">
        <v>272</v>
      </c>
      <c r="H2442" s="87" t="s">
        <v>663</v>
      </c>
      <c r="I2442" s="87">
        <v>73</v>
      </c>
    </row>
    <row r="2443" spans="1:9" ht="15" customHeight="1" x14ac:dyDescent="0.25">
      <c r="A2443" s="87" t="s">
        <v>38</v>
      </c>
      <c r="B2443" s="87" t="s">
        <v>342</v>
      </c>
      <c r="C2443" s="87">
        <v>2016</v>
      </c>
      <c r="D2443" s="87" t="s">
        <v>15</v>
      </c>
      <c r="E2443" s="116">
        <v>22</v>
      </c>
      <c r="F2443" s="87" t="s">
        <v>967</v>
      </c>
      <c r="G2443" s="87" t="s">
        <v>272</v>
      </c>
      <c r="H2443" s="87" t="s">
        <v>967</v>
      </c>
      <c r="I2443" s="87">
        <v>73</v>
      </c>
    </row>
    <row r="2444" spans="1:9" ht="15" customHeight="1" x14ac:dyDescent="0.25">
      <c r="A2444" s="87" t="s">
        <v>38</v>
      </c>
      <c r="B2444" s="87" t="s">
        <v>342</v>
      </c>
      <c r="C2444" s="87">
        <v>2017</v>
      </c>
      <c r="D2444" s="87" t="s">
        <v>15</v>
      </c>
      <c r="E2444" s="116">
        <v>2</v>
      </c>
      <c r="F2444" s="87" t="s">
        <v>967</v>
      </c>
      <c r="G2444" s="87" t="s">
        <v>272</v>
      </c>
      <c r="H2444" s="87" t="s">
        <v>967</v>
      </c>
      <c r="I2444" s="87">
        <v>73</v>
      </c>
    </row>
    <row r="2445" spans="1:9" ht="15" customHeight="1" x14ac:dyDescent="0.25">
      <c r="A2445" s="87" t="s">
        <v>38</v>
      </c>
      <c r="B2445" s="87" t="s">
        <v>342</v>
      </c>
      <c r="C2445" s="87">
        <v>2018</v>
      </c>
      <c r="D2445" s="87" t="s">
        <v>15</v>
      </c>
      <c r="E2445" s="116">
        <v>15</v>
      </c>
      <c r="F2445" s="87" t="s">
        <v>967</v>
      </c>
      <c r="G2445" s="87" t="s">
        <v>272</v>
      </c>
      <c r="H2445" s="87" t="s">
        <v>967</v>
      </c>
      <c r="I2445" s="87">
        <v>73</v>
      </c>
    </row>
    <row r="2446" spans="1:9" ht="15" customHeight="1" x14ac:dyDescent="0.25">
      <c r="A2446" s="87" t="s">
        <v>38</v>
      </c>
      <c r="B2446" s="87" t="s">
        <v>342</v>
      </c>
      <c r="C2446" s="87">
        <v>2019</v>
      </c>
      <c r="D2446" s="87" t="s">
        <v>15</v>
      </c>
      <c r="E2446" s="116">
        <v>-1</v>
      </c>
      <c r="F2446" s="87" t="s">
        <v>967</v>
      </c>
      <c r="G2446" s="87" t="s">
        <v>967</v>
      </c>
      <c r="H2446" s="87" t="s">
        <v>967</v>
      </c>
      <c r="I2446" s="87">
        <v>73</v>
      </c>
    </row>
    <row r="2447" spans="1:9" ht="15" customHeight="1" x14ac:dyDescent="0.25">
      <c r="A2447" s="87" t="s">
        <v>38</v>
      </c>
      <c r="B2447" s="87" t="s">
        <v>342</v>
      </c>
      <c r="C2447" s="87">
        <v>2020</v>
      </c>
      <c r="D2447" s="87" t="s">
        <v>15</v>
      </c>
      <c r="E2447" s="116">
        <v>-1</v>
      </c>
      <c r="F2447" s="87" t="s">
        <v>967</v>
      </c>
      <c r="G2447" s="87" t="s">
        <v>967</v>
      </c>
      <c r="H2447" s="87" t="s">
        <v>967</v>
      </c>
      <c r="I2447" s="87">
        <v>73</v>
      </c>
    </row>
    <row r="2448" spans="1:9" ht="15" customHeight="1" x14ac:dyDescent="0.25">
      <c r="A2448" s="87" t="s">
        <v>38</v>
      </c>
      <c r="B2448" s="87" t="s">
        <v>342</v>
      </c>
      <c r="C2448" s="87">
        <v>2021</v>
      </c>
      <c r="D2448" s="87" t="s">
        <v>15</v>
      </c>
      <c r="E2448" s="116">
        <v>9</v>
      </c>
      <c r="F2448" s="87" t="s">
        <v>967</v>
      </c>
      <c r="G2448" s="87" t="s">
        <v>272</v>
      </c>
      <c r="H2448" s="87" t="s">
        <v>967</v>
      </c>
      <c r="I2448" s="87">
        <v>73</v>
      </c>
    </row>
    <row r="2449" spans="1:9" ht="15" customHeight="1" x14ac:dyDescent="0.25">
      <c r="A2449" s="87" t="s">
        <v>38</v>
      </c>
      <c r="B2449" s="87" t="s">
        <v>342</v>
      </c>
      <c r="C2449" s="87">
        <v>2022</v>
      </c>
      <c r="D2449" s="87" t="s">
        <v>15</v>
      </c>
      <c r="E2449" s="116">
        <v>26</v>
      </c>
      <c r="F2449" s="87" t="s">
        <v>967</v>
      </c>
      <c r="G2449" s="87" t="s">
        <v>272</v>
      </c>
      <c r="H2449" s="87" t="s">
        <v>967</v>
      </c>
      <c r="I2449" s="87">
        <v>73</v>
      </c>
    </row>
    <row r="2450" spans="1:9" ht="15" customHeight="1" x14ac:dyDescent="0.25">
      <c r="A2450" s="87" t="s">
        <v>38</v>
      </c>
      <c r="B2450" s="87" t="s">
        <v>343</v>
      </c>
      <c r="C2450" s="87">
        <v>1975</v>
      </c>
      <c r="D2450" s="87" t="s">
        <v>15</v>
      </c>
      <c r="E2450" s="116">
        <v>200</v>
      </c>
      <c r="F2450" s="87" t="s">
        <v>508</v>
      </c>
      <c r="G2450" s="87" t="s">
        <v>967</v>
      </c>
      <c r="H2450" s="87" t="s">
        <v>508</v>
      </c>
      <c r="I2450" s="87">
        <v>5</v>
      </c>
    </row>
    <row r="2451" spans="1:9" ht="15" customHeight="1" x14ac:dyDescent="0.25">
      <c r="A2451" s="87" t="s">
        <v>38</v>
      </c>
      <c r="B2451" s="87" t="s">
        <v>343</v>
      </c>
      <c r="C2451" s="87">
        <v>1976</v>
      </c>
      <c r="D2451" s="87" t="s">
        <v>15</v>
      </c>
      <c r="E2451" s="116">
        <v>75</v>
      </c>
      <c r="F2451" s="87" t="s">
        <v>508</v>
      </c>
      <c r="G2451" s="87" t="s">
        <v>967</v>
      </c>
      <c r="H2451" s="87" t="s">
        <v>508</v>
      </c>
      <c r="I2451" s="87">
        <v>5</v>
      </c>
    </row>
    <row r="2452" spans="1:9" ht="15" customHeight="1" x14ac:dyDescent="0.25">
      <c r="A2452" s="87" t="s">
        <v>38</v>
      </c>
      <c r="B2452" s="87" t="s">
        <v>343</v>
      </c>
      <c r="C2452" s="87">
        <v>1977</v>
      </c>
      <c r="D2452" s="87" t="s">
        <v>15</v>
      </c>
      <c r="E2452" s="116">
        <v>150</v>
      </c>
      <c r="F2452" s="87" t="s">
        <v>508</v>
      </c>
      <c r="G2452" s="87" t="s">
        <v>967</v>
      </c>
      <c r="H2452" s="87" t="s">
        <v>508</v>
      </c>
      <c r="I2452" s="87">
        <v>5</v>
      </c>
    </row>
    <row r="2453" spans="1:9" ht="15" customHeight="1" x14ac:dyDescent="0.25">
      <c r="A2453" s="87" t="s">
        <v>38</v>
      </c>
      <c r="B2453" s="87" t="s">
        <v>343</v>
      </c>
      <c r="C2453" s="87">
        <v>1978</v>
      </c>
      <c r="D2453" s="87" t="s">
        <v>15</v>
      </c>
      <c r="E2453" s="116">
        <v>675</v>
      </c>
      <c r="F2453" s="87" t="s">
        <v>508</v>
      </c>
      <c r="G2453" s="87" t="s">
        <v>967</v>
      </c>
      <c r="H2453" s="87" t="s">
        <v>508</v>
      </c>
      <c r="I2453" s="87">
        <v>5</v>
      </c>
    </row>
    <row r="2454" spans="1:9" ht="15" customHeight="1" x14ac:dyDescent="0.25">
      <c r="A2454" s="87" t="s">
        <v>38</v>
      </c>
      <c r="B2454" s="87" t="s">
        <v>343</v>
      </c>
      <c r="C2454" s="87">
        <v>1979</v>
      </c>
      <c r="D2454" s="87" t="s">
        <v>15</v>
      </c>
      <c r="E2454" s="116">
        <v>450</v>
      </c>
      <c r="F2454" s="87" t="s">
        <v>508</v>
      </c>
      <c r="G2454" s="87" t="s">
        <v>967</v>
      </c>
      <c r="H2454" s="87" t="s">
        <v>508</v>
      </c>
      <c r="I2454" s="87">
        <v>5</v>
      </c>
    </row>
    <row r="2455" spans="1:9" ht="15" customHeight="1" x14ac:dyDescent="0.25">
      <c r="A2455" s="87" t="s">
        <v>38</v>
      </c>
      <c r="B2455" s="87" t="s">
        <v>343</v>
      </c>
      <c r="C2455" s="87">
        <v>1980</v>
      </c>
      <c r="D2455" s="87" t="s">
        <v>15</v>
      </c>
      <c r="E2455" s="116">
        <v>500</v>
      </c>
      <c r="F2455" s="87" t="s">
        <v>508</v>
      </c>
      <c r="G2455" s="87" t="s">
        <v>967</v>
      </c>
      <c r="H2455" s="87" t="s">
        <v>508</v>
      </c>
      <c r="I2455" s="87">
        <v>5</v>
      </c>
    </row>
    <row r="2456" spans="1:9" ht="15" customHeight="1" x14ac:dyDescent="0.25">
      <c r="A2456" s="87" t="s">
        <v>38</v>
      </c>
      <c r="B2456" s="87" t="s">
        <v>343</v>
      </c>
      <c r="C2456" s="87">
        <v>1981</v>
      </c>
      <c r="D2456" s="87" t="s">
        <v>15</v>
      </c>
      <c r="E2456" s="116">
        <v>400</v>
      </c>
      <c r="F2456" s="87" t="s">
        <v>508</v>
      </c>
      <c r="G2456" s="87" t="s">
        <v>967</v>
      </c>
      <c r="H2456" s="87" t="s">
        <v>508</v>
      </c>
      <c r="I2456" s="87">
        <v>5</v>
      </c>
    </row>
    <row r="2457" spans="1:9" ht="15" customHeight="1" x14ac:dyDescent="0.25">
      <c r="A2457" s="87" t="s">
        <v>38</v>
      </c>
      <c r="B2457" s="87" t="s">
        <v>343</v>
      </c>
      <c r="C2457" s="87">
        <v>1982</v>
      </c>
      <c r="D2457" s="87" t="s">
        <v>15</v>
      </c>
      <c r="E2457" s="116">
        <v>900</v>
      </c>
      <c r="F2457" s="87" t="s">
        <v>508</v>
      </c>
      <c r="G2457" s="87" t="s">
        <v>967</v>
      </c>
      <c r="H2457" s="87" t="s">
        <v>508</v>
      </c>
      <c r="I2457" s="87">
        <v>5</v>
      </c>
    </row>
    <row r="2458" spans="1:9" ht="15" customHeight="1" x14ac:dyDescent="0.25">
      <c r="A2458" s="87" t="s">
        <v>38</v>
      </c>
      <c r="B2458" s="87" t="s">
        <v>343</v>
      </c>
      <c r="C2458" s="87">
        <v>1983</v>
      </c>
      <c r="D2458" s="87" t="s">
        <v>15</v>
      </c>
      <c r="E2458" s="116">
        <v>1100</v>
      </c>
      <c r="F2458" s="87" t="s">
        <v>508</v>
      </c>
      <c r="G2458" s="87" t="s">
        <v>967</v>
      </c>
      <c r="H2458" s="87" t="s">
        <v>508</v>
      </c>
      <c r="I2458" s="87">
        <v>5</v>
      </c>
    </row>
    <row r="2459" spans="1:9" ht="15" customHeight="1" x14ac:dyDescent="0.25">
      <c r="A2459" s="87" t="s">
        <v>38</v>
      </c>
      <c r="B2459" s="87" t="s">
        <v>343</v>
      </c>
      <c r="C2459" s="87">
        <v>1984</v>
      </c>
      <c r="D2459" s="87" t="s">
        <v>15</v>
      </c>
      <c r="E2459" s="116">
        <v>1750</v>
      </c>
      <c r="F2459" s="87" t="s">
        <v>508</v>
      </c>
      <c r="G2459" s="87" t="s">
        <v>967</v>
      </c>
      <c r="H2459" s="87" t="s">
        <v>508</v>
      </c>
      <c r="I2459" s="87">
        <v>5</v>
      </c>
    </row>
    <row r="2460" spans="1:9" ht="15" customHeight="1" x14ac:dyDescent="0.25">
      <c r="A2460" s="87" t="s">
        <v>38</v>
      </c>
      <c r="B2460" s="87" t="s">
        <v>343</v>
      </c>
      <c r="C2460" s="87">
        <v>1985</v>
      </c>
      <c r="D2460" s="87" t="s">
        <v>15</v>
      </c>
      <c r="E2460" s="116">
        <v>2400</v>
      </c>
      <c r="F2460" s="87" t="s">
        <v>508</v>
      </c>
      <c r="G2460" s="87" t="s">
        <v>967</v>
      </c>
      <c r="H2460" s="87" t="s">
        <v>508</v>
      </c>
      <c r="I2460" s="87">
        <v>5</v>
      </c>
    </row>
    <row r="2461" spans="1:9" ht="15" customHeight="1" x14ac:dyDescent="0.25">
      <c r="A2461" s="87" t="s">
        <v>38</v>
      </c>
      <c r="B2461" s="87" t="s">
        <v>343</v>
      </c>
      <c r="C2461" s="87">
        <v>1986</v>
      </c>
      <c r="D2461" s="87" t="s">
        <v>15</v>
      </c>
      <c r="E2461" s="116">
        <v>3000</v>
      </c>
      <c r="F2461" s="87" t="s">
        <v>508</v>
      </c>
      <c r="G2461" s="87" t="s">
        <v>967</v>
      </c>
      <c r="H2461" s="87" t="s">
        <v>508</v>
      </c>
      <c r="I2461" s="87">
        <v>5</v>
      </c>
    </row>
    <row r="2462" spans="1:9" ht="15" customHeight="1" x14ac:dyDescent="0.25">
      <c r="A2462" s="87" t="s">
        <v>38</v>
      </c>
      <c r="B2462" s="87" t="s">
        <v>343</v>
      </c>
      <c r="C2462" s="87">
        <v>1987</v>
      </c>
      <c r="D2462" s="87" t="s">
        <v>15</v>
      </c>
      <c r="E2462" s="116">
        <v>3000</v>
      </c>
      <c r="F2462" s="87" t="s">
        <v>508</v>
      </c>
      <c r="G2462" s="87" t="s">
        <v>967</v>
      </c>
      <c r="H2462" s="87" t="s">
        <v>508</v>
      </c>
      <c r="I2462" s="87">
        <v>5</v>
      </c>
    </row>
    <row r="2463" spans="1:9" ht="15" customHeight="1" x14ac:dyDescent="0.25">
      <c r="A2463" s="87" t="s">
        <v>38</v>
      </c>
      <c r="B2463" s="87" t="s">
        <v>343</v>
      </c>
      <c r="C2463" s="87">
        <v>1988</v>
      </c>
      <c r="D2463" s="87" t="s">
        <v>15</v>
      </c>
      <c r="E2463" s="116">
        <v>2700</v>
      </c>
      <c r="F2463" s="87" t="s">
        <v>508</v>
      </c>
      <c r="G2463" s="87" t="s">
        <v>967</v>
      </c>
      <c r="H2463" s="87" t="s">
        <v>508</v>
      </c>
      <c r="I2463" s="87">
        <v>5</v>
      </c>
    </row>
    <row r="2464" spans="1:9" ht="15" customHeight="1" x14ac:dyDescent="0.25">
      <c r="A2464" s="87" t="s">
        <v>38</v>
      </c>
      <c r="B2464" s="87" t="s">
        <v>343</v>
      </c>
      <c r="C2464" s="87">
        <v>1989</v>
      </c>
      <c r="D2464" s="87" t="s">
        <v>15</v>
      </c>
      <c r="E2464" s="116">
        <v>1500</v>
      </c>
      <c r="F2464" s="87" t="s">
        <v>508</v>
      </c>
      <c r="G2464" s="87" t="s">
        <v>967</v>
      </c>
      <c r="H2464" s="87" t="s">
        <v>508</v>
      </c>
      <c r="I2464" s="87">
        <v>5</v>
      </c>
    </row>
    <row r="2465" spans="1:9" ht="15" customHeight="1" x14ac:dyDescent="0.25">
      <c r="A2465" s="87" t="s">
        <v>38</v>
      </c>
      <c r="B2465" s="87" t="s">
        <v>343</v>
      </c>
      <c r="C2465" s="87">
        <v>1990</v>
      </c>
      <c r="D2465" s="87" t="s">
        <v>15</v>
      </c>
      <c r="E2465" s="116">
        <v>2100</v>
      </c>
      <c r="F2465" s="87" t="s">
        <v>508</v>
      </c>
      <c r="G2465" s="87" t="s">
        <v>967</v>
      </c>
      <c r="H2465" s="87" t="s">
        <v>508</v>
      </c>
      <c r="I2465" s="87">
        <v>5</v>
      </c>
    </row>
    <row r="2466" spans="1:9" ht="15" customHeight="1" x14ac:dyDescent="0.25">
      <c r="A2466" s="87" t="s">
        <v>38</v>
      </c>
      <c r="B2466" s="87" t="s">
        <v>343</v>
      </c>
      <c r="C2466" s="87">
        <v>1991</v>
      </c>
      <c r="D2466" s="87" t="s">
        <v>15</v>
      </c>
      <c r="E2466" s="116">
        <v>1500</v>
      </c>
      <c r="F2466" s="87" t="s">
        <v>508</v>
      </c>
      <c r="G2466" s="87" t="s">
        <v>967</v>
      </c>
      <c r="H2466" s="87" t="s">
        <v>508</v>
      </c>
      <c r="I2466" s="87">
        <v>5</v>
      </c>
    </row>
    <row r="2467" spans="1:9" ht="15" customHeight="1" x14ac:dyDescent="0.25">
      <c r="A2467" s="87" t="s">
        <v>38</v>
      </c>
      <c r="B2467" s="87" t="s">
        <v>343</v>
      </c>
      <c r="C2467" s="87">
        <v>1992</v>
      </c>
      <c r="D2467" s="87" t="s">
        <v>15</v>
      </c>
      <c r="E2467" s="116">
        <v>2150</v>
      </c>
      <c r="F2467" s="87" t="s">
        <v>508</v>
      </c>
      <c r="G2467" s="87" t="s">
        <v>967</v>
      </c>
      <c r="H2467" s="87" t="s">
        <v>508</v>
      </c>
      <c r="I2467" s="87">
        <v>5</v>
      </c>
    </row>
    <row r="2468" spans="1:9" ht="15" customHeight="1" x14ac:dyDescent="0.25">
      <c r="A2468" s="87" t="s">
        <v>38</v>
      </c>
      <c r="B2468" s="87" t="s">
        <v>343</v>
      </c>
      <c r="C2468" s="87">
        <v>1993</v>
      </c>
      <c r="D2468" s="87" t="s">
        <v>15</v>
      </c>
      <c r="E2468" s="116">
        <v>2100</v>
      </c>
      <c r="F2468" s="87" t="s">
        <v>508</v>
      </c>
      <c r="G2468" s="87" t="s">
        <v>967</v>
      </c>
      <c r="H2468" s="87" t="s">
        <v>508</v>
      </c>
      <c r="I2468" s="87">
        <v>5</v>
      </c>
    </row>
    <row r="2469" spans="1:9" ht="15" customHeight="1" x14ac:dyDescent="0.25">
      <c r="A2469" s="87" t="s">
        <v>38</v>
      </c>
      <c r="B2469" s="87" t="s">
        <v>343</v>
      </c>
      <c r="C2469" s="87">
        <v>1994</v>
      </c>
      <c r="D2469" s="87" t="s">
        <v>15</v>
      </c>
      <c r="E2469" s="116">
        <v>1877</v>
      </c>
      <c r="F2469" s="87" t="s">
        <v>508</v>
      </c>
      <c r="G2469" s="87" t="s">
        <v>967</v>
      </c>
      <c r="H2469" s="87" t="s">
        <v>508</v>
      </c>
      <c r="I2469" s="87">
        <v>5</v>
      </c>
    </row>
    <row r="2470" spans="1:9" ht="15" customHeight="1" x14ac:dyDescent="0.25">
      <c r="A2470" s="87" t="s">
        <v>38</v>
      </c>
      <c r="B2470" s="87" t="s">
        <v>343</v>
      </c>
      <c r="C2470" s="87">
        <v>1995</v>
      </c>
      <c r="D2470" s="87" t="s">
        <v>15</v>
      </c>
      <c r="E2470" s="116">
        <v>2803</v>
      </c>
      <c r="F2470" s="87" t="s">
        <v>508</v>
      </c>
      <c r="G2470" s="87" t="s">
        <v>967</v>
      </c>
      <c r="H2470" s="87" t="s">
        <v>508</v>
      </c>
      <c r="I2470" s="87">
        <v>5</v>
      </c>
    </row>
    <row r="2471" spans="1:9" ht="15" customHeight="1" x14ac:dyDescent="0.25">
      <c r="A2471" s="87" t="s">
        <v>38</v>
      </c>
      <c r="B2471" s="87" t="s">
        <v>343</v>
      </c>
      <c r="C2471" s="87">
        <v>1996</v>
      </c>
      <c r="D2471" s="87" t="s">
        <v>15</v>
      </c>
      <c r="E2471" s="116">
        <v>2774</v>
      </c>
      <c r="F2471" s="87" t="s">
        <v>508</v>
      </c>
      <c r="G2471" s="87" t="s">
        <v>967</v>
      </c>
      <c r="H2471" s="87" t="s">
        <v>508</v>
      </c>
      <c r="I2471" s="87">
        <v>5</v>
      </c>
    </row>
    <row r="2472" spans="1:9" ht="15" customHeight="1" x14ac:dyDescent="0.25">
      <c r="A2472" s="87" t="s">
        <v>38</v>
      </c>
      <c r="B2472" s="87" t="s">
        <v>343</v>
      </c>
      <c r="C2472" s="87">
        <v>1997</v>
      </c>
      <c r="D2472" s="87" t="s">
        <v>15</v>
      </c>
      <c r="E2472" s="116">
        <v>2668</v>
      </c>
      <c r="F2472" s="87" t="s">
        <v>508</v>
      </c>
      <c r="G2472" s="87" t="s">
        <v>967</v>
      </c>
      <c r="H2472" s="87" t="s">
        <v>508</v>
      </c>
      <c r="I2472" s="87">
        <v>5</v>
      </c>
    </row>
    <row r="2473" spans="1:9" ht="15" customHeight="1" x14ac:dyDescent="0.25">
      <c r="A2473" s="87" t="s">
        <v>38</v>
      </c>
      <c r="B2473" s="87" t="s">
        <v>343</v>
      </c>
      <c r="C2473" s="87">
        <v>1998</v>
      </c>
      <c r="D2473" s="87" t="s">
        <v>15</v>
      </c>
      <c r="E2473" s="116">
        <v>1262</v>
      </c>
      <c r="F2473" s="87" t="s">
        <v>967</v>
      </c>
      <c r="G2473" s="87" t="s">
        <v>272</v>
      </c>
      <c r="H2473" s="87" t="s">
        <v>664</v>
      </c>
      <c r="I2473" s="87">
        <v>5</v>
      </c>
    </row>
    <row r="2474" spans="1:9" ht="15" customHeight="1" x14ac:dyDescent="0.25">
      <c r="A2474" s="87" t="s">
        <v>38</v>
      </c>
      <c r="B2474" s="87" t="s">
        <v>343</v>
      </c>
      <c r="C2474" s="87">
        <v>1999</v>
      </c>
      <c r="D2474" s="87" t="s">
        <v>15</v>
      </c>
      <c r="E2474" s="116">
        <v>523</v>
      </c>
      <c r="F2474" s="87" t="s">
        <v>967</v>
      </c>
      <c r="G2474" s="87" t="s">
        <v>272</v>
      </c>
      <c r="H2474" s="87" t="s">
        <v>967</v>
      </c>
      <c r="I2474" s="87">
        <v>5</v>
      </c>
    </row>
    <row r="2475" spans="1:9" ht="15" customHeight="1" x14ac:dyDescent="0.25">
      <c r="A2475" s="87" t="s">
        <v>38</v>
      </c>
      <c r="B2475" s="87" t="s">
        <v>343</v>
      </c>
      <c r="C2475" s="87">
        <v>2000</v>
      </c>
      <c r="D2475" s="87" t="s">
        <v>15</v>
      </c>
      <c r="E2475" s="116">
        <v>1784</v>
      </c>
      <c r="F2475" s="87" t="s">
        <v>967</v>
      </c>
      <c r="G2475" s="87" t="s">
        <v>272</v>
      </c>
      <c r="H2475" s="87" t="s">
        <v>967</v>
      </c>
      <c r="I2475" s="87">
        <v>5</v>
      </c>
    </row>
    <row r="2476" spans="1:9" ht="15" customHeight="1" x14ac:dyDescent="0.25">
      <c r="A2476" s="87" t="s">
        <v>38</v>
      </c>
      <c r="B2476" s="87" t="s">
        <v>343</v>
      </c>
      <c r="C2476" s="87">
        <v>2001</v>
      </c>
      <c r="D2476" s="87" t="s">
        <v>15</v>
      </c>
      <c r="E2476" s="116">
        <v>1018</v>
      </c>
      <c r="F2476" s="87" t="s">
        <v>967</v>
      </c>
      <c r="G2476" s="87" t="s">
        <v>272</v>
      </c>
      <c r="H2476" s="87" t="s">
        <v>967</v>
      </c>
      <c r="I2476" s="87">
        <v>5</v>
      </c>
    </row>
    <row r="2477" spans="1:9" ht="15" customHeight="1" x14ac:dyDescent="0.25">
      <c r="A2477" s="87" t="s">
        <v>38</v>
      </c>
      <c r="B2477" s="87" t="s">
        <v>343</v>
      </c>
      <c r="C2477" s="87">
        <v>2002</v>
      </c>
      <c r="D2477" s="87" t="s">
        <v>15</v>
      </c>
      <c r="E2477" s="116">
        <v>3740</v>
      </c>
      <c r="F2477" s="87" t="s">
        <v>967</v>
      </c>
      <c r="G2477" s="87" t="s">
        <v>272</v>
      </c>
      <c r="H2477" s="87" t="s">
        <v>967</v>
      </c>
      <c r="I2477" s="87">
        <v>5</v>
      </c>
    </row>
    <row r="2478" spans="1:9" ht="15" customHeight="1" x14ac:dyDescent="0.25">
      <c r="A2478" s="87" t="s">
        <v>38</v>
      </c>
      <c r="B2478" s="87" t="s">
        <v>343</v>
      </c>
      <c r="C2478" s="87">
        <v>2003</v>
      </c>
      <c r="D2478" s="87" t="s">
        <v>15</v>
      </c>
      <c r="E2478" s="116">
        <v>4110</v>
      </c>
      <c r="F2478" s="87" t="s">
        <v>967</v>
      </c>
      <c r="G2478" s="87" t="s">
        <v>272</v>
      </c>
      <c r="H2478" s="87" t="s">
        <v>967</v>
      </c>
      <c r="I2478" s="87">
        <v>5</v>
      </c>
    </row>
    <row r="2479" spans="1:9" ht="15" customHeight="1" x14ac:dyDescent="0.25">
      <c r="A2479" s="87" t="s">
        <v>38</v>
      </c>
      <c r="B2479" s="87" t="s">
        <v>343</v>
      </c>
      <c r="C2479" s="87">
        <v>2004</v>
      </c>
      <c r="D2479" s="87" t="s">
        <v>15</v>
      </c>
      <c r="E2479" s="116">
        <v>1376</v>
      </c>
      <c r="F2479" s="87" t="s">
        <v>967</v>
      </c>
      <c r="G2479" s="87" t="s">
        <v>272</v>
      </c>
      <c r="H2479" s="87" t="s">
        <v>967</v>
      </c>
      <c r="I2479" s="87">
        <v>5</v>
      </c>
    </row>
    <row r="2480" spans="1:9" ht="15" customHeight="1" x14ac:dyDescent="0.25">
      <c r="A2480" s="87" t="s">
        <v>38</v>
      </c>
      <c r="B2480" s="87" t="s">
        <v>343</v>
      </c>
      <c r="C2480" s="87">
        <v>2005</v>
      </c>
      <c r="D2480" s="87" t="s">
        <v>15</v>
      </c>
      <c r="E2480" s="116">
        <v>821</v>
      </c>
      <c r="F2480" s="87" t="s">
        <v>967</v>
      </c>
      <c r="G2480" s="87" t="s">
        <v>272</v>
      </c>
      <c r="H2480" s="87" t="s">
        <v>967</v>
      </c>
      <c r="I2480" s="87">
        <v>5</v>
      </c>
    </row>
    <row r="2481" spans="1:9" ht="15" customHeight="1" x14ac:dyDescent="0.25">
      <c r="A2481" s="87" t="s">
        <v>38</v>
      </c>
      <c r="B2481" s="87" t="s">
        <v>343</v>
      </c>
      <c r="C2481" s="87">
        <v>2006</v>
      </c>
      <c r="D2481" s="87" t="s">
        <v>15</v>
      </c>
      <c r="E2481" s="116">
        <v>1456</v>
      </c>
      <c r="F2481" s="87" t="s">
        <v>967</v>
      </c>
      <c r="G2481" s="87" t="s">
        <v>272</v>
      </c>
      <c r="H2481" s="87" t="s">
        <v>967</v>
      </c>
      <c r="I2481" s="87">
        <v>5</v>
      </c>
    </row>
    <row r="2482" spans="1:9" ht="15" customHeight="1" x14ac:dyDescent="0.25">
      <c r="A2482" s="87" t="s">
        <v>38</v>
      </c>
      <c r="B2482" s="87" t="s">
        <v>343</v>
      </c>
      <c r="C2482" s="87">
        <v>2007</v>
      </c>
      <c r="D2482" s="87" t="s">
        <v>15</v>
      </c>
      <c r="E2482" s="116">
        <v>763</v>
      </c>
      <c r="F2482" s="87" t="s">
        <v>967</v>
      </c>
      <c r="G2482" s="87" t="s">
        <v>272</v>
      </c>
      <c r="H2482" s="87" t="s">
        <v>967</v>
      </c>
      <c r="I2482" s="87">
        <v>5</v>
      </c>
    </row>
    <row r="2483" spans="1:9" ht="15" customHeight="1" x14ac:dyDescent="0.25">
      <c r="A2483" s="87" t="s">
        <v>38</v>
      </c>
      <c r="B2483" s="87" t="s">
        <v>343</v>
      </c>
      <c r="C2483" s="87">
        <v>2008</v>
      </c>
      <c r="D2483" s="87" t="s">
        <v>15</v>
      </c>
      <c r="E2483" s="116">
        <v>454</v>
      </c>
      <c r="F2483" s="87" t="s">
        <v>967</v>
      </c>
      <c r="G2483" s="87" t="s">
        <v>272</v>
      </c>
      <c r="H2483" s="87" t="s">
        <v>652</v>
      </c>
      <c r="I2483" s="87">
        <v>5</v>
      </c>
    </row>
    <row r="2484" spans="1:9" ht="15" customHeight="1" x14ac:dyDescent="0.25">
      <c r="A2484" s="87" t="s">
        <v>38</v>
      </c>
      <c r="B2484" s="87" t="s">
        <v>343</v>
      </c>
      <c r="C2484" s="87">
        <v>2009</v>
      </c>
      <c r="D2484" s="87" t="s">
        <v>15</v>
      </c>
      <c r="E2484" s="116">
        <v>2187</v>
      </c>
      <c r="F2484" s="87" t="s">
        <v>967</v>
      </c>
      <c r="G2484" s="87" t="s">
        <v>272</v>
      </c>
      <c r="H2484" s="87" t="s">
        <v>967</v>
      </c>
      <c r="I2484" s="87">
        <v>5</v>
      </c>
    </row>
    <row r="2485" spans="1:9" ht="15" customHeight="1" x14ac:dyDescent="0.25">
      <c r="A2485" s="87" t="s">
        <v>38</v>
      </c>
      <c r="B2485" s="87" t="s">
        <v>343</v>
      </c>
      <c r="C2485" s="87">
        <v>2010</v>
      </c>
      <c r="D2485" s="87" t="s">
        <v>15</v>
      </c>
      <c r="E2485" s="116">
        <v>212</v>
      </c>
      <c r="F2485" s="87" t="s">
        <v>967</v>
      </c>
      <c r="G2485" s="87" t="s">
        <v>272</v>
      </c>
      <c r="H2485" s="87" t="s">
        <v>665</v>
      </c>
      <c r="I2485" s="87">
        <v>5</v>
      </c>
    </row>
    <row r="2486" spans="1:9" ht="15" customHeight="1" x14ac:dyDescent="0.25">
      <c r="A2486" s="87" t="s">
        <v>38</v>
      </c>
      <c r="B2486" s="87" t="s">
        <v>343</v>
      </c>
      <c r="C2486" s="87">
        <v>2011</v>
      </c>
      <c r="D2486" s="87" t="s">
        <v>15</v>
      </c>
      <c r="E2486" s="116">
        <v>420</v>
      </c>
      <c r="F2486" s="87" t="s">
        <v>967</v>
      </c>
      <c r="G2486" s="87" t="s">
        <v>272</v>
      </c>
      <c r="H2486" s="87" t="s">
        <v>967</v>
      </c>
      <c r="I2486" s="87">
        <v>5</v>
      </c>
    </row>
    <row r="2487" spans="1:9" ht="15" customHeight="1" x14ac:dyDescent="0.25">
      <c r="A2487" s="87" t="s">
        <v>38</v>
      </c>
      <c r="B2487" s="87" t="s">
        <v>343</v>
      </c>
      <c r="C2487" s="87">
        <v>2012</v>
      </c>
      <c r="D2487" s="87" t="s">
        <v>15</v>
      </c>
      <c r="E2487" s="116">
        <v>203</v>
      </c>
      <c r="F2487" s="87" t="s">
        <v>967</v>
      </c>
      <c r="G2487" s="87" t="s">
        <v>272</v>
      </c>
      <c r="H2487" s="87" t="s">
        <v>967</v>
      </c>
      <c r="I2487" s="87">
        <v>5</v>
      </c>
    </row>
    <row r="2488" spans="1:9" ht="15" customHeight="1" x14ac:dyDescent="0.25">
      <c r="A2488" s="87" t="s">
        <v>38</v>
      </c>
      <c r="B2488" s="87" t="s">
        <v>343</v>
      </c>
      <c r="C2488" s="87">
        <v>2013</v>
      </c>
      <c r="D2488" s="87" t="s">
        <v>15</v>
      </c>
      <c r="E2488" s="116">
        <v>1069</v>
      </c>
      <c r="F2488" s="87" t="s">
        <v>967</v>
      </c>
      <c r="G2488" s="87" t="s">
        <v>272</v>
      </c>
      <c r="H2488" s="87" t="s">
        <v>666</v>
      </c>
      <c r="I2488" s="87">
        <v>5</v>
      </c>
    </row>
    <row r="2489" spans="1:9" ht="15" customHeight="1" x14ac:dyDescent="0.25">
      <c r="A2489" s="87" t="s">
        <v>38</v>
      </c>
      <c r="B2489" s="87" t="s">
        <v>343</v>
      </c>
      <c r="C2489" s="87">
        <v>2014</v>
      </c>
      <c r="D2489" s="87" t="s">
        <v>15</v>
      </c>
      <c r="E2489" s="116">
        <v>2011</v>
      </c>
      <c r="F2489" s="87" t="s">
        <v>967</v>
      </c>
      <c r="G2489" s="87" t="s">
        <v>272</v>
      </c>
      <c r="H2489" s="87" t="s">
        <v>967</v>
      </c>
      <c r="I2489" s="87">
        <v>5</v>
      </c>
    </row>
    <row r="2490" spans="1:9" ht="15" customHeight="1" x14ac:dyDescent="0.25">
      <c r="A2490" s="87" t="s">
        <v>38</v>
      </c>
      <c r="B2490" s="87" t="s">
        <v>343</v>
      </c>
      <c r="C2490" s="87">
        <v>2015</v>
      </c>
      <c r="D2490" s="87" t="s">
        <v>15</v>
      </c>
      <c r="E2490" s="116">
        <v>860</v>
      </c>
      <c r="F2490" s="87" t="s">
        <v>967</v>
      </c>
      <c r="G2490" s="87" t="s">
        <v>272</v>
      </c>
      <c r="H2490" s="87" t="s">
        <v>667</v>
      </c>
      <c r="I2490" s="87">
        <v>5</v>
      </c>
    </row>
    <row r="2491" spans="1:9" ht="15" customHeight="1" x14ac:dyDescent="0.25">
      <c r="A2491" s="87" t="s">
        <v>38</v>
      </c>
      <c r="B2491" s="87" t="s">
        <v>343</v>
      </c>
      <c r="C2491" s="87">
        <v>2016</v>
      </c>
      <c r="D2491" s="87" t="s">
        <v>15</v>
      </c>
      <c r="E2491" s="116">
        <v>658</v>
      </c>
      <c r="F2491" s="87" t="s">
        <v>967</v>
      </c>
      <c r="G2491" s="87" t="s">
        <v>272</v>
      </c>
      <c r="H2491" s="87" t="s">
        <v>668</v>
      </c>
      <c r="I2491" s="87">
        <v>5</v>
      </c>
    </row>
    <row r="2492" spans="1:9" ht="15" customHeight="1" x14ac:dyDescent="0.25">
      <c r="A2492" s="87" t="s">
        <v>38</v>
      </c>
      <c r="B2492" s="87" t="s">
        <v>343</v>
      </c>
      <c r="C2492" s="87">
        <v>2017</v>
      </c>
      <c r="D2492" s="87" t="s">
        <v>15</v>
      </c>
      <c r="E2492" s="116">
        <v>428</v>
      </c>
      <c r="F2492" s="87" t="s">
        <v>967</v>
      </c>
      <c r="G2492" s="87" t="s">
        <v>272</v>
      </c>
      <c r="H2492" s="87" t="s">
        <v>967</v>
      </c>
      <c r="I2492" s="87">
        <v>5</v>
      </c>
    </row>
    <row r="2493" spans="1:9" ht="15" customHeight="1" x14ac:dyDescent="0.25">
      <c r="A2493" s="87" t="s">
        <v>38</v>
      </c>
      <c r="B2493" s="87" t="s">
        <v>343</v>
      </c>
      <c r="C2493" s="87">
        <v>2018</v>
      </c>
      <c r="D2493" s="87" t="s">
        <v>15</v>
      </c>
      <c r="E2493" s="116">
        <v>637</v>
      </c>
      <c r="F2493" s="87" t="s">
        <v>967</v>
      </c>
      <c r="G2493" s="87" t="s">
        <v>272</v>
      </c>
      <c r="H2493" s="87" t="s">
        <v>967</v>
      </c>
      <c r="I2493" s="87">
        <v>5</v>
      </c>
    </row>
    <row r="2494" spans="1:9" ht="15" customHeight="1" x14ac:dyDescent="0.25">
      <c r="A2494" s="87" t="s">
        <v>38</v>
      </c>
      <c r="B2494" s="87" t="s">
        <v>343</v>
      </c>
      <c r="C2494" s="87">
        <v>2019</v>
      </c>
      <c r="D2494" s="87" t="s">
        <v>15</v>
      </c>
      <c r="E2494" s="116">
        <v>28</v>
      </c>
      <c r="F2494" s="87" t="s">
        <v>967</v>
      </c>
      <c r="G2494" s="87" t="s">
        <v>272</v>
      </c>
      <c r="H2494" s="87" t="s">
        <v>986</v>
      </c>
      <c r="I2494" s="87">
        <v>5</v>
      </c>
    </row>
    <row r="2495" spans="1:9" ht="15" customHeight="1" x14ac:dyDescent="0.25">
      <c r="A2495" s="87" t="s">
        <v>38</v>
      </c>
      <c r="B2495" s="87" t="s">
        <v>343</v>
      </c>
      <c r="C2495" s="87">
        <v>2020</v>
      </c>
      <c r="D2495" s="87" t="s">
        <v>15</v>
      </c>
      <c r="E2495" s="116">
        <v>412</v>
      </c>
      <c r="F2495" s="87" t="s">
        <v>967</v>
      </c>
      <c r="G2495" s="87" t="s">
        <v>272</v>
      </c>
      <c r="H2495" s="87" t="s">
        <v>967</v>
      </c>
      <c r="I2495" s="87">
        <v>5</v>
      </c>
    </row>
    <row r="2496" spans="1:9" ht="15" customHeight="1" x14ac:dyDescent="0.25">
      <c r="A2496" s="87" t="s">
        <v>38</v>
      </c>
      <c r="B2496" s="87" t="s">
        <v>343</v>
      </c>
      <c r="C2496" s="87">
        <v>2021</v>
      </c>
      <c r="D2496" s="87" t="s">
        <v>15</v>
      </c>
      <c r="E2496" s="116">
        <v>188</v>
      </c>
      <c r="F2496" s="87" t="s">
        <v>967</v>
      </c>
      <c r="G2496" s="87" t="s">
        <v>272</v>
      </c>
      <c r="H2496" s="87" t="s">
        <v>967</v>
      </c>
      <c r="I2496" s="87">
        <v>5</v>
      </c>
    </row>
    <row r="2497" spans="1:9" ht="15" customHeight="1" x14ac:dyDescent="0.25">
      <c r="A2497" s="87" t="s">
        <v>38</v>
      </c>
      <c r="B2497" s="87" t="s">
        <v>343</v>
      </c>
      <c r="C2497" s="87">
        <v>2022</v>
      </c>
      <c r="D2497" s="87" t="s">
        <v>15</v>
      </c>
      <c r="E2497" s="116">
        <v>805</v>
      </c>
      <c r="F2497" s="87" t="s">
        <v>967</v>
      </c>
      <c r="G2497" s="87" t="s">
        <v>272</v>
      </c>
      <c r="H2497" s="87" t="s">
        <v>967</v>
      </c>
      <c r="I2497" s="87">
        <v>5</v>
      </c>
    </row>
    <row r="2498" spans="1:9" ht="15" customHeight="1" x14ac:dyDescent="0.25">
      <c r="A2498" s="87" t="s">
        <v>38</v>
      </c>
      <c r="B2498" s="87" t="s">
        <v>344</v>
      </c>
      <c r="C2498" s="87">
        <v>1975</v>
      </c>
      <c r="D2498" s="87" t="s">
        <v>15</v>
      </c>
      <c r="E2498" s="116">
        <v>6</v>
      </c>
      <c r="F2498" s="87" t="s">
        <v>508</v>
      </c>
      <c r="G2498" s="87" t="s">
        <v>967</v>
      </c>
      <c r="H2498" s="87" t="s">
        <v>508</v>
      </c>
      <c r="I2498" s="87">
        <v>3</v>
      </c>
    </row>
    <row r="2499" spans="1:9" ht="15" customHeight="1" x14ac:dyDescent="0.25">
      <c r="A2499" s="87" t="s">
        <v>38</v>
      </c>
      <c r="B2499" s="87" t="s">
        <v>344</v>
      </c>
      <c r="C2499" s="87">
        <v>1976</v>
      </c>
      <c r="D2499" s="87" t="s">
        <v>15</v>
      </c>
      <c r="E2499" s="116">
        <v>25</v>
      </c>
      <c r="F2499" s="87" t="s">
        <v>508</v>
      </c>
      <c r="G2499" s="87" t="s">
        <v>967</v>
      </c>
      <c r="H2499" s="87" t="s">
        <v>508</v>
      </c>
      <c r="I2499" s="87">
        <v>3</v>
      </c>
    </row>
    <row r="2500" spans="1:9" ht="15" customHeight="1" x14ac:dyDescent="0.25">
      <c r="A2500" s="87" t="s">
        <v>38</v>
      </c>
      <c r="B2500" s="87" t="s">
        <v>344</v>
      </c>
      <c r="C2500" s="87">
        <v>1977</v>
      </c>
      <c r="D2500" s="87" t="s">
        <v>15</v>
      </c>
      <c r="E2500" s="116">
        <v>0</v>
      </c>
      <c r="F2500" s="87" t="s">
        <v>508</v>
      </c>
      <c r="G2500" s="87" t="s">
        <v>967</v>
      </c>
      <c r="H2500" s="87" t="s">
        <v>508</v>
      </c>
      <c r="I2500" s="87">
        <v>3</v>
      </c>
    </row>
    <row r="2501" spans="1:9" ht="15" customHeight="1" x14ac:dyDescent="0.25">
      <c r="A2501" s="87" t="s">
        <v>38</v>
      </c>
      <c r="B2501" s="87" t="s">
        <v>344</v>
      </c>
      <c r="C2501" s="87">
        <v>1978</v>
      </c>
      <c r="D2501" s="87" t="s">
        <v>15</v>
      </c>
      <c r="E2501" s="116">
        <v>40</v>
      </c>
      <c r="F2501" s="87" t="s">
        <v>508</v>
      </c>
      <c r="G2501" s="87" t="s">
        <v>967</v>
      </c>
      <c r="H2501" s="87" t="s">
        <v>508</v>
      </c>
      <c r="I2501" s="87">
        <v>3</v>
      </c>
    </row>
    <row r="2502" spans="1:9" ht="15" customHeight="1" x14ac:dyDescent="0.25">
      <c r="A2502" s="87" t="s">
        <v>38</v>
      </c>
      <c r="B2502" s="87" t="s">
        <v>344</v>
      </c>
      <c r="C2502" s="87">
        <v>1979</v>
      </c>
      <c r="D2502" s="87" t="s">
        <v>15</v>
      </c>
      <c r="E2502" s="116">
        <v>25</v>
      </c>
      <c r="F2502" s="87" t="s">
        <v>508</v>
      </c>
      <c r="G2502" s="87" t="s">
        <v>967</v>
      </c>
      <c r="H2502" s="87" t="s">
        <v>508</v>
      </c>
      <c r="I2502" s="87">
        <v>3</v>
      </c>
    </row>
    <row r="2503" spans="1:9" ht="15" customHeight="1" x14ac:dyDescent="0.25">
      <c r="A2503" s="87" t="s">
        <v>38</v>
      </c>
      <c r="B2503" s="87" t="s">
        <v>344</v>
      </c>
      <c r="C2503" s="87">
        <v>1980</v>
      </c>
      <c r="D2503" s="87" t="s">
        <v>15</v>
      </c>
      <c r="E2503" s="116">
        <v>20</v>
      </c>
      <c r="F2503" s="87" t="s">
        <v>508</v>
      </c>
      <c r="G2503" s="87" t="s">
        <v>967</v>
      </c>
      <c r="H2503" s="87" t="s">
        <v>508</v>
      </c>
      <c r="I2503" s="87">
        <v>3</v>
      </c>
    </row>
    <row r="2504" spans="1:9" ht="15" customHeight="1" x14ac:dyDescent="0.25">
      <c r="A2504" s="87" t="s">
        <v>38</v>
      </c>
      <c r="B2504" s="87" t="s">
        <v>344</v>
      </c>
      <c r="C2504" s="87">
        <v>1981</v>
      </c>
      <c r="D2504" s="87" t="s">
        <v>15</v>
      </c>
      <c r="E2504" s="116">
        <v>20</v>
      </c>
      <c r="F2504" s="87" t="s">
        <v>508</v>
      </c>
      <c r="G2504" s="87" t="s">
        <v>967</v>
      </c>
      <c r="H2504" s="87" t="s">
        <v>508</v>
      </c>
      <c r="I2504" s="87">
        <v>3</v>
      </c>
    </row>
    <row r="2505" spans="1:9" ht="15" customHeight="1" x14ac:dyDescent="0.25">
      <c r="A2505" s="87" t="s">
        <v>38</v>
      </c>
      <c r="B2505" s="87" t="s">
        <v>344</v>
      </c>
      <c r="C2505" s="87">
        <v>1982</v>
      </c>
      <c r="D2505" s="87" t="s">
        <v>15</v>
      </c>
      <c r="E2505" s="116">
        <v>15</v>
      </c>
      <c r="F2505" s="87" t="s">
        <v>508</v>
      </c>
      <c r="G2505" s="87" t="s">
        <v>967</v>
      </c>
      <c r="H2505" s="87" t="s">
        <v>508</v>
      </c>
      <c r="I2505" s="87">
        <v>3</v>
      </c>
    </row>
    <row r="2506" spans="1:9" ht="15" customHeight="1" x14ac:dyDescent="0.25">
      <c r="A2506" s="87" t="s">
        <v>38</v>
      </c>
      <c r="B2506" s="87" t="s">
        <v>344</v>
      </c>
      <c r="C2506" s="87">
        <v>1983</v>
      </c>
      <c r="D2506" s="87" t="s">
        <v>15</v>
      </c>
      <c r="E2506" s="116">
        <v>100</v>
      </c>
      <c r="F2506" s="87" t="s">
        <v>508</v>
      </c>
      <c r="G2506" s="87" t="s">
        <v>967</v>
      </c>
      <c r="H2506" s="87" t="s">
        <v>508</v>
      </c>
      <c r="I2506" s="87">
        <v>3</v>
      </c>
    </row>
    <row r="2507" spans="1:9" ht="15" customHeight="1" x14ac:dyDescent="0.25">
      <c r="A2507" s="87" t="s">
        <v>38</v>
      </c>
      <c r="B2507" s="87" t="s">
        <v>344</v>
      </c>
      <c r="C2507" s="87">
        <v>1984</v>
      </c>
      <c r="D2507" s="87" t="s">
        <v>15</v>
      </c>
      <c r="E2507" s="116">
        <v>250</v>
      </c>
      <c r="F2507" s="87" t="s">
        <v>508</v>
      </c>
      <c r="G2507" s="87" t="s">
        <v>967</v>
      </c>
      <c r="H2507" s="87" t="s">
        <v>508</v>
      </c>
      <c r="I2507" s="87">
        <v>3</v>
      </c>
    </row>
    <row r="2508" spans="1:9" ht="15" customHeight="1" x14ac:dyDescent="0.25">
      <c r="A2508" s="87" t="s">
        <v>38</v>
      </c>
      <c r="B2508" s="87" t="s">
        <v>344</v>
      </c>
      <c r="C2508" s="87">
        <v>1985</v>
      </c>
      <c r="D2508" s="87" t="s">
        <v>15</v>
      </c>
      <c r="E2508" s="116">
        <v>325</v>
      </c>
      <c r="F2508" s="87" t="s">
        <v>508</v>
      </c>
      <c r="G2508" s="87" t="s">
        <v>967</v>
      </c>
      <c r="H2508" s="87" t="s">
        <v>508</v>
      </c>
      <c r="I2508" s="87">
        <v>3</v>
      </c>
    </row>
    <row r="2509" spans="1:9" ht="15" customHeight="1" x14ac:dyDescent="0.25">
      <c r="A2509" s="87" t="s">
        <v>38</v>
      </c>
      <c r="B2509" s="87" t="s">
        <v>344</v>
      </c>
      <c r="C2509" s="87">
        <v>1986</v>
      </c>
      <c r="D2509" s="87" t="s">
        <v>15</v>
      </c>
      <c r="E2509" s="116">
        <v>175</v>
      </c>
      <c r="F2509" s="87" t="s">
        <v>508</v>
      </c>
      <c r="G2509" s="87" t="s">
        <v>967</v>
      </c>
      <c r="H2509" s="87" t="s">
        <v>508</v>
      </c>
      <c r="I2509" s="87">
        <v>3</v>
      </c>
    </row>
    <row r="2510" spans="1:9" ht="15" customHeight="1" x14ac:dyDescent="0.25">
      <c r="A2510" s="87" t="s">
        <v>38</v>
      </c>
      <c r="B2510" s="87" t="s">
        <v>344</v>
      </c>
      <c r="C2510" s="87">
        <v>1987</v>
      </c>
      <c r="D2510" s="87" t="s">
        <v>15</v>
      </c>
      <c r="E2510" s="116">
        <v>200</v>
      </c>
      <c r="F2510" s="87" t="s">
        <v>508</v>
      </c>
      <c r="G2510" s="87" t="s">
        <v>967</v>
      </c>
      <c r="H2510" s="87" t="s">
        <v>508</v>
      </c>
      <c r="I2510" s="87">
        <v>3</v>
      </c>
    </row>
    <row r="2511" spans="1:9" ht="15" customHeight="1" x14ac:dyDescent="0.25">
      <c r="A2511" s="87" t="s">
        <v>38</v>
      </c>
      <c r="B2511" s="87" t="s">
        <v>344</v>
      </c>
      <c r="C2511" s="87">
        <v>1988</v>
      </c>
      <c r="D2511" s="87" t="s">
        <v>15</v>
      </c>
      <c r="E2511" s="116">
        <v>180</v>
      </c>
      <c r="F2511" s="87" t="s">
        <v>508</v>
      </c>
      <c r="G2511" s="87" t="s">
        <v>967</v>
      </c>
      <c r="H2511" s="87" t="s">
        <v>508</v>
      </c>
      <c r="I2511" s="87">
        <v>3</v>
      </c>
    </row>
    <row r="2512" spans="1:9" ht="15" customHeight="1" x14ac:dyDescent="0.25">
      <c r="A2512" s="87" t="s">
        <v>38</v>
      </c>
      <c r="B2512" s="87" t="s">
        <v>344</v>
      </c>
      <c r="C2512" s="87">
        <v>1989</v>
      </c>
      <c r="D2512" s="87" t="s">
        <v>15</v>
      </c>
      <c r="E2512" s="116">
        <v>100</v>
      </c>
      <c r="F2512" s="87" t="s">
        <v>508</v>
      </c>
      <c r="G2512" s="87" t="s">
        <v>967</v>
      </c>
      <c r="H2512" s="87" t="s">
        <v>508</v>
      </c>
      <c r="I2512" s="87">
        <v>3</v>
      </c>
    </row>
    <row r="2513" spans="1:9" ht="15" customHeight="1" x14ac:dyDescent="0.25">
      <c r="A2513" s="87" t="s">
        <v>38</v>
      </c>
      <c r="B2513" s="87" t="s">
        <v>344</v>
      </c>
      <c r="C2513" s="87">
        <v>1990</v>
      </c>
      <c r="D2513" s="87" t="s">
        <v>15</v>
      </c>
      <c r="E2513" s="116">
        <v>100</v>
      </c>
      <c r="F2513" s="87" t="s">
        <v>508</v>
      </c>
      <c r="G2513" s="87" t="s">
        <v>967</v>
      </c>
      <c r="H2513" s="87" t="s">
        <v>508</v>
      </c>
      <c r="I2513" s="87">
        <v>3</v>
      </c>
    </row>
    <row r="2514" spans="1:9" ht="15" customHeight="1" x14ac:dyDescent="0.25">
      <c r="A2514" s="87" t="s">
        <v>38</v>
      </c>
      <c r="B2514" s="87" t="s">
        <v>344</v>
      </c>
      <c r="C2514" s="87">
        <v>1991</v>
      </c>
      <c r="D2514" s="87" t="s">
        <v>15</v>
      </c>
      <c r="E2514" s="116">
        <v>50</v>
      </c>
      <c r="F2514" s="87" t="s">
        <v>508</v>
      </c>
      <c r="G2514" s="87" t="s">
        <v>967</v>
      </c>
      <c r="H2514" s="87" t="s">
        <v>508</v>
      </c>
      <c r="I2514" s="87">
        <v>3</v>
      </c>
    </row>
    <row r="2515" spans="1:9" ht="15" customHeight="1" x14ac:dyDescent="0.25">
      <c r="A2515" s="87" t="s">
        <v>38</v>
      </c>
      <c r="B2515" s="87" t="s">
        <v>344</v>
      </c>
      <c r="C2515" s="87">
        <v>1992</v>
      </c>
      <c r="D2515" s="87" t="s">
        <v>15</v>
      </c>
      <c r="E2515" s="116">
        <v>90</v>
      </c>
      <c r="F2515" s="87" t="s">
        <v>508</v>
      </c>
      <c r="G2515" s="87" t="s">
        <v>967</v>
      </c>
      <c r="H2515" s="87" t="s">
        <v>508</v>
      </c>
      <c r="I2515" s="87">
        <v>3</v>
      </c>
    </row>
    <row r="2516" spans="1:9" ht="15" customHeight="1" x14ac:dyDescent="0.25">
      <c r="A2516" s="87" t="s">
        <v>38</v>
      </c>
      <c r="B2516" s="87" t="s">
        <v>344</v>
      </c>
      <c r="C2516" s="87">
        <v>1993</v>
      </c>
      <c r="D2516" s="87" t="s">
        <v>15</v>
      </c>
      <c r="E2516" s="116">
        <v>130</v>
      </c>
      <c r="F2516" s="87" t="s">
        <v>508</v>
      </c>
      <c r="G2516" s="87" t="s">
        <v>967</v>
      </c>
      <c r="H2516" s="87" t="s">
        <v>508</v>
      </c>
      <c r="I2516" s="87">
        <v>3</v>
      </c>
    </row>
    <row r="2517" spans="1:9" ht="15" customHeight="1" x14ac:dyDescent="0.25">
      <c r="A2517" s="87" t="s">
        <v>38</v>
      </c>
      <c r="B2517" s="87" t="s">
        <v>344</v>
      </c>
      <c r="C2517" s="87">
        <v>1994</v>
      </c>
      <c r="D2517" s="87" t="s">
        <v>15</v>
      </c>
      <c r="E2517" s="116">
        <v>-1</v>
      </c>
      <c r="F2517" s="87" t="s">
        <v>900</v>
      </c>
      <c r="G2517" s="87" t="s">
        <v>967</v>
      </c>
      <c r="H2517" s="87" t="s">
        <v>900</v>
      </c>
      <c r="I2517" s="87">
        <v>3</v>
      </c>
    </row>
    <row r="2518" spans="1:9" ht="15" customHeight="1" x14ac:dyDescent="0.25">
      <c r="A2518" s="87" t="s">
        <v>38</v>
      </c>
      <c r="B2518" s="87" t="s">
        <v>344</v>
      </c>
      <c r="C2518" s="87">
        <v>1995</v>
      </c>
      <c r="D2518" s="87" t="s">
        <v>15</v>
      </c>
      <c r="E2518" s="116">
        <v>172</v>
      </c>
      <c r="F2518" s="87" t="s">
        <v>967</v>
      </c>
      <c r="G2518" s="87" t="s">
        <v>967</v>
      </c>
      <c r="H2518" s="87" t="s">
        <v>967</v>
      </c>
      <c r="I2518" s="87">
        <v>3</v>
      </c>
    </row>
    <row r="2519" spans="1:9" ht="15" customHeight="1" x14ac:dyDescent="0.25">
      <c r="A2519" s="87" t="s">
        <v>38</v>
      </c>
      <c r="B2519" s="87" t="s">
        <v>344</v>
      </c>
      <c r="C2519" s="87">
        <v>1996</v>
      </c>
      <c r="D2519" s="87" t="s">
        <v>15</v>
      </c>
      <c r="E2519" s="116">
        <v>22</v>
      </c>
      <c r="F2519" s="87" t="s">
        <v>967</v>
      </c>
      <c r="G2519" s="87" t="s">
        <v>967</v>
      </c>
      <c r="H2519" s="87" t="s">
        <v>967</v>
      </c>
      <c r="I2519" s="87">
        <v>3</v>
      </c>
    </row>
    <row r="2520" spans="1:9" ht="15" customHeight="1" x14ac:dyDescent="0.25">
      <c r="A2520" s="87" t="s">
        <v>38</v>
      </c>
      <c r="B2520" s="87" t="s">
        <v>344</v>
      </c>
      <c r="C2520" s="87">
        <v>1997</v>
      </c>
      <c r="D2520" s="87" t="s">
        <v>15</v>
      </c>
      <c r="E2520" s="116">
        <v>111</v>
      </c>
      <c r="F2520" s="87" t="s">
        <v>967</v>
      </c>
      <c r="G2520" s="87" t="s">
        <v>967</v>
      </c>
      <c r="H2520" s="87" t="s">
        <v>967</v>
      </c>
      <c r="I2520" s="87">
        <v>3</v>
      </c>
    </row>
    <row r="2521" spans="1:9" ht="15" customHeight="1" x14ac:dyDescent="0.25">
      <c r="A2521" s="87" t="s">
        <v>38</v>
      </c>
      <c r="B2521" s="87" t="s">
        <v>344</v>
      </c>
      <c r="C2521" s="87">
        <v>1998</v>
      </c>
      <c r="D2521" s="87" t="s">
        <v>15</v>
      </c>
      <c r="E2521" s="116">
        <v>57</v>
      </c>
      <c r="F2521" s="87" t="s">
        <v>670</v>
      </c>
      <c r="G2521" s="87" t="s">
        <v>272</v>
      </c>
      <c r="H2521" s="87" t="s">
        <v>967</v>
      </c>
      <c r="I2521" s="87">
        <v>3</v>
      </c>
    </row>
    <row r="2522" spans="1:9" ht="15" customHeight="1" x14ac:dyDescent="0.25">
      <c r="A2522" s="87" t="s">
        <v>38</v>
      </c>
      <c r="B2522" s="87" t="s">
        <v>344</v>
      </c>
      <c r="C2522" s="87">
        <v>1999</v>
      </c>
      <c r="D2522" s="87" t="s">
        <v>15</v>
      </c>
      <c r="E2522" s="116">
        <v>14</v>
      </c>
      <c r="F2522" s="87" t="s">
        <v>967</v>
      </c>
      <c r="G2522" s="87" t="s">
        <v>272</v>
      </c>
      <c r="H2522" s="87" t="s">
        <v>967</v>
      </c>
      <c r="I2522" s="87">
        <v>3</v>
      </c>
    </row>
    <row r="2523" spans="1:9" ht="15" customHeight="1" x14ac:dyDescent="0.25">
      <c r="A2523" s="87" t="s">
        <v>38</v>
      </c>
      <c r="B2523" s="87" t="s">
        <v>344</v>
      </c>
      <c r="C2523" s="87">
        <v>2000</v>
      </c>
      <c r="D2523" s="87" t="s">
        <v>15</v>
      </c>
      <c r="E2523" s="116">
        <v>128</v>
      </c>
      <c r="F2523" s="87" t="s">
        <v>967</v>
      </c>
      <c r="G2523" s="87" t="s">
        <v>272</v>
      </c>
      <c r="H2523" s="87" t="s">
        <v>967</v>
      </c>
      <c r="I2523" s="87">
        <v>3</v>
      </c>
    </row>
    <row r="2524" spans="1:9" ht="15" customHeight="1" x14ac:dyDescent="0.25">
      <c r="A2524" s="87" t="s">
        <v>38</v>
      </c>
      <c r="B2524" s="87" t="s">
        <v>344</v>
      </c>
      <c r="C2524" s="87">
        <v>2001</v>
      </c>
      <c r="D2524" s="87" t="s">
        <v>15</v>
      </c>
      <c r="E2524" s="116">
        <v>94</v>
      </c>
      <c r="F2524" s="87" t="s">
        <v>967</v>
      </c>
      <c r="G2524" s="87" t="s">
        <v>272</v>
      </c>
      <c r="H2524" s="87" t="s">
        <v>967</v>
      </c>
      <c r="I2524" s="87">
        <v>3</v>
      </c>
    </row>
    <row r="2525" spans="1:9" ht="15" customHeight="1" x14ac:dyDescent="0.25">
      <c r="A2525" s="87" t="s">
        <v>38</v>
      </c>
      <c r="B2525" s="87" t="s">
        <v>344</v>
      </c>
      <c r="C2525" s="87">
        <v>2002</v>
      </c>
      <c r="D2525" s="87" t="s">
        <v>15</v>
      </c>
      <c r="E2525" s="116">
        <v>308</v>
      </c>
      <c r="F2525" s="87" t="s">
        <v>967</v>
      </c>
      <c r="G2525" s="87" t="s">
        <v>967</v>
      </c>
      <c r="H2525" s="87" t="s">
        <v>967</v>
      </c>
      <c r="I2525" s="87">
        <v>3</v>
      </c>
    </row>
    <row r="2526" spans="1:9" ht="15" customHeight="1" x14ac:dyDescent="0.25">
      <c r="A2526" s="87" t="s">
        <v>38</v>
      </c>
      <c r="B2526" s="87" t="s">
        <v>344</v>
      </c>
      <c r="C2526" s="87">
        <v>2003</v>
      </c>
      <c r="D2526" s="87" t="s">
        <v>15</v>
      </c>
      <c r="E2526" s="116">
        <v>288</v>
      </c>
      <c r="F2526" s="87" t="s">
        <v>967</v>
      </c>
      <c r="G2526" s="87" t="s">
        <v>272</v>
      </c>
      <c r="H2526" s="87" t="s">
        <v>967</v>
      </c>
      <c r="I2526" s="87">
        <v>3</v>
      </c>
    </row>
    <row r="2527" spans="1:9" ht="15" customHeight="1" x14ac:dyDescent="0.25">
      <c r="A2527" s="87" t="s">
        <v>38</v>
      </c>
      <c r="B2527" s="87" t="s">
        <v>344</v>
      </c>
      <c r="C2527" s="87">
        <v>2004</v>
      </c>
      <c r="D2527" s="87" t="s">
        <v>15</v>
      </c>
      <c r="E2527" s="116">
        <v>62</v>
      </c>
      <c r="F2527" s="87" t="s">
        <v>967</v>
      </c>
      <c r="G2527" s="87" t="s">
        <v>272</v>
      </c>
      <c r="H2527" s="87" t="s">
        <v>967</v>
      </c>
      <c r="I2527" s="87">
        <v>3</v>
      </c>
    </row>
    <row r="2528" spans="1:9" ht="15" customHeight="1" x14ac:dyDescent="0.25">
      <c r="A2528" s="87" t="s">
        <v>38</v>
      </c>
      <c r="B2528" s="87" t="s">
        <v>344</v>
      </c>
      <c r="C2528" s="87">
        <v>2005</v>
      </c>
      <c r="D2528" s="87" t="s">
        <v>15</v>
      </c>
      <c r="E2528" s="116">
        <v>34</v>
      </c>
      <c r="F2528" s="87" t="s">
        <v>967</v>
      </c>
      <c r="G2528" s="87" t="s">
        <v>272</v>
      </c>
      <c r="H2528" s="87" t="s">
        <v>967</v>
      </c>
      <c r="I2528" s="87">
        <v>3</v>
      </c>
    </row>
    <row r="2529" spans="1:9" ht="15" customHeight="1" x14ac:dyDescent="0.25">
      <c r="A2529" s="87" t="s">
        <v>38</v>
      </c>
      <c r="B2529" s="87" t="s">
        <v>344</v>
      </c>
      <c r="C2529" s="87">
        <v>2006</v>
      </c>
      <c r="D2529" s="87" t="s">
        <v>15</v>
      </c>
      <c r="E2529" s="116">
        <v>146</v>
      </c>
      <c r="F2529" s="87" t="s">
        <v>967</v>
      </c>
      <c r="G2529" s="87" t="s">
        <v>272</v>
      </c>
      <c r="H2529" s="87" t="s">
        <v>967</v>
      </c>
      <c r="I2529" s="87">
        <v>3</v>
      </c>
    </row>
    <row r="2530" spans="1:9" ht="15" customHeight="1" x14ac:dyDescent="0.25">
      <c r="A2530" s="87" t="s">
        <v>38</v>
      </c>
      <c r="B2530" s="87" t="s">
        <v>344</v>
      </c>
      <c r="C2530" s="87">
        <v>2007</v>
      </c>
      <c r="D2530" s="87" t="s">
        <v>15</v>
      </c>
      <c r="E2530" s="116">
        <v>22</v>
      </c>
      <c r="F2530" s="87" t="s">
        <v>967</v>
      </c>
      <c r="G2530" s="87" t="s">
        <v>272</v>
      </c>
      <c r="H2530" s="87" t="s">
        <v>967</v>
      </c>
      <c r="I2530" s="87">
        <v>3</v>
      </c>
    </row>
    <row r="2531" spans="1:9" ht="15" customHeight="1" x14ac:dyDescent="0.25">
      <c r="A2531" s="87" t="s">
        <v>38</v>
      </c>
      <c r="B2531" s="87" t="s">
        <v>344</v>
      </c>
      <c r="C2531" s="87">
        <v>2008</v>
      </c>
      <c r="D2531" s="87" t="s">
        <v>15</v>
      </c>
      <c r="E2531" s="116">
        <v>0</v>
      </c>
      <c r="F2531" s="87" t="s">
        <v>967</v>
      </c>
      <c r="G2531" s="87" t="s">
        <v>272</v>
      </c>
      <c r="H2531" s="87" t="s">
        <v>967</v>
      </c>
      <c r="I2531" s="87">
        <v>3</v>
      </c>
    </row>
    <row r="2532" spans="1:9" ht="15" customHeight="1" x14ac:dyDescent="0.25">
      <c r="A2532" s="87" t="s">
        <v>38</v>
      </c>
      <c r="B2532" s="87" t="s">
        <v>344</v>
      </c>
      <c r="C2532" s="87">
        <v>2009</v>
      </c>
      <c r="D2532" s="87" t="s">
        <v>15</v>
      </c>
      <c r="E2532" s="116">
        <v>111</v>
      </c>
      <c r="F2532" s="87" t="s">
        <v>967</v>
      </c>
      <c r="G2532" s="87" t="s">
        <v>272</v>
      </c>
      <c r="H2532" s="87" t="s">
        <v>967</v>
      </c>
      <c r="I2532" s="87">
        <v>3</v>
      </c>
    </row>
    <row r="2533" spans="1:9" ht="15" customHeight="1" x14ac:dyDescent="0.25">
      <c r="A2533" s="87" t="s">
        <v>38</v>
      </c>
      <c r="B2533" s="87" t="s">
        <v>344</v>
      </c>
      <c r="C2533" s="87">
        <v>2010</v>
      </c>
      <c r="D2533" s="87" t="s">
        <v>15</v>
      </c>
      <c r="E2533" s="116">
        <v>68</v>
      </c>
      <c r="F2533" s="87" t="s">
        <v>967</v>
      </c>
      <c r="G2533" s="87" t="s">
        <v>272</v>
      </c>
      <c r="H2533" s="87" t="s">
        <v>967</v>
      </c>
      <c r="I2533" s="87">
        <v>3</v>
      </c>
    </row>
    <row r="2534" spans="1:9" ht="15" customHeight="1" x14ac:dyDescent="0.25">
      <c r="A2534" s="87" t="s">
        <v>38</v>
      </c>
      <c r="B2534" s="87" t="s">
        <v>344</v>
      </c>
      <c r="C2534" s="87">
        <v>2011</v>
      </c>
      <c r="D2534" s="87" t="s">
        <v>15</v>
      </c>
      <c r="E2534" s="116">
        <v>49</v>
      </c>
      <c r="F2534" s="87" t="s">
        <v>967</v>
      </c>
      <c r="G2534" s="87" t="s">
        <v>967</v>
      </c>
      <c r="H2534" s="87" t="s">
        <v>967</v>
      </c>
      <c r="I2534" s="87">
        <v>3</v>
      </c>
    </row>
    <row r="2535" spans="1:9" ht="15" customHeight="1" x14ac:dyDescent="0.25">
      <c r="A2535" s="87" t="s">
        <v>38</v>
      </c>
      <c r="B2535" s="87" t="s">
        <v>344</v>
      </c>
      <c r="C2535" s="87">
        <v>2012</v>
      </c>
      <c r="D2535" s="87" t="s">
        <v>15</v>
      </c>
      <c r="E2535" s="116">
        <v>48</v>
      </c>
      <c r="F2535" s="87" t="s">
        <v>967</v>
      </c>
      <c r="G2535" s="87" t="s">
        <v>272</v>
      </c>
      <c r="H2535" s="87" t="s">
        <v>967</v>
      </c>
      <c r="I2535" s="87">
        <v>3</v>
      </c>
    </row>
    <row r="2536" spans="1:9" ht="15" customHeight="1" x14ac:dyDescent="0.25">
      <c r="A2536" s="87" t="s">
        <v>38</v>
      </c>
      <c r="B2536" s="87" t="s">
        <v>344</v>
      </c>
      <c r="C2536" s="87">
        <v>2013</v>
      </c>
      <c r="D2536" s="87" t="s">
        <v>15</v>
      </c>
      <c r="E2536" s="116">
        <v>80</v>
      </c>
      <c r="F2536" s="87" t="s">
        <v>967</v>
      </c>
      <c r="G2536" s="87" t="s">
        <v>272</v>
      </c>
      <c r="H2536" s="87" t="s">
        <v>967</v>
      </c>
      <c r="I2536" s="87">
        <v>3</v>
      </c>
    </row>
    <row r="2537" spans="1:9" ht="15" customHeight="1" x14ac:dyDescent="0.25">
      <c r="A2537" s="87" t="s">
        <v>38</v>
      </c>
      <c r="B2537" s="87" t="s">
        <v>344</v>
      </c>
      <c r="C2537" s="87">
        <v>2014</v>
      </c>
      <c r="D2537" s="87" t="s">
        <v>15</v>
      </c>
      <c r="E2537" s="116">
        <v>132</v>
      </c>
      <c r="F2537" s="87" t="s">
        <v>967</v>
      </c>
      <c r="G2537" s="87" t="s">
        <v>274</v>
      </c>
      <c r="H2537" s="87" t="s">
        <v>967</v>
      </c>
      <c r="I2537" s="87">
        <v>3</v>
      </c>
    </row>
    <row r="2538" spans="1:9" ht="15" customHeight="1" x14ac:dyDescent="0.25">
      <c r="A2538" s="87" t="s">
        <v>38</v>
      </c>
      <c r="B2538" s="87" t="s">
        <v>344</v>
      </c>
      <c r="C2538" s="87">
        <v>2015</v>
      </c>
      <c r="D2538" s="87" t="s">
        <v>15</v>
      </c>
      <c r="E2538" s="116">
        <v>52</v>
      </c>
      <c r="F2538" s="87" t="s">
        <v>967</v>
      </c>
      <c r="G2538" s="87" t="s">
        <v>272</v>
      </c>
      <c r="H2538" s="87" t="s">
        <v>671</v>
      </c>
      <c r="I2538" s="87">
        <v>3</v>
      </c>
    </row>
    <row r="2539" spans="1:9" ht="15" customHeight="1" x14ac:dyDescent="0.25">
      <c r="A2539" s="87" t="s">
        <v>38</v>
      </c>
      <c r="B2539" s="87" t="s">
        <v>344</v>
      </c>
      <c r="C2539" s="87">
        <v>2016</v>
      </c>
      <c r="D2539" s="87" t="s">
        <v>15</v>
      </c>
      <c r="E2539" s="116">
        <v>68</v>
      </c>
      <c r="F2539" s="87" t="s">
        <v>967</v>
      </c>
      <c r="G2539" s="87" t="s">
        <v>272</v>
      </c>
      <c r="H2539" s="87" t="s">
        <v>967</v>
      </c>
      <c r="I2539" s="87">
        <v>3</v>
      </c>
    </row>
    <row r="2540" spans="1:9" ht="15" customHeight="1" x14ac:dyDescent="0.25">
      <c r="A2540" s="87" t="s">
        <v>38</v>
      </c>
      <c r="B2540" s="87" t="s">
        <v>344</v>
      </c>
      <c r="C2540" s="87">
        <v>2017</v>
      </c>
      <c r="D2540" s="87" t="s">
        <v>15</v>
      </c>
      <c r="E2540" s="116">
        <v>22</v>
      </c>
      <c r="F2540" s="87" t="s">
        <v>967</v>
      </c>
      <c r="G2540" s="87" t="s">
        <v>272</v>
      </c>
      <c r="H2540" s="87" t="s">
        <v>967</v>
      </c>
      <c r="I2540" s="87">
        <v>3</v>
      </c>
    </row>
    <row r="2541" spans="1:9" ht="15" customHeight="1" x14ac:dyDescent="0.25">
      <c r="A2541" s="87" t="s">
        <v>38</v>
      </c>
      <c r="B2541" s="87" t="s">
        <v>344</v>
      </c>
      <c r="C2541" s="87">
        <v>2018</v>
      </c>
      <c r="D2541" s="87" t="s">
        <v>15</v>
      </c>
      <c r="E2541" s="116">
        <v>23</v>
      </c>
      <c r="F2541" s="87" t="s">
        <v>967</v>
      </c>
      <c r="G2541" s="87" t="s">
        <v>272</v>
      </c>
      <c r="H2541" s="87" t="s">
        <v>967</v>
      </c>
      <c r="I2541" s="87">
        <v>3</v>
      </c>
    </row>
    <row r="2542" spans="1:9" ht="15" customHeight="1" x14ac:dyDescent="0.25">
      <c r="A2542" s="87" t="s">
        <v>38</v>
      </c>
      <c r="B2542" s="87" t="s">
        <v>344</v>
      </c>
      <c r="C2542" s="87">
        <v>2019</v>
      </c>
      <c r="D2542" s="87" t="s">
        <v>15</v>
      </c>
      <c r="E2542" s="116">
        <v>0</v>
      </c>
      <c r="F2542" s="87" t="s">
        <v>967</v>
      </c>
      <c r="G2542" s="87" t="s">
        <v>272</v>
      </c>
      <c r="H2542" s="87" t="s">
        <v>967</v>
      </c>
      <c r="I2542" s="87">
        <v>3</v>
      </c>
    </row>
    <row r="2543" spans="1:9" ht="15" customHeight="1" x14ac:dyDescent="0.25">
      <c r="A2543" s="87" t="s">
        <v>38</v>
      </c>
      <c r="B2543" s="87" t="s">
        <v>344</v>
      </c>
      <c r="C2543" s="87">
        <v>2020</v>
      </c>
      <c r="D2543" s="87" t="s">
        <v>15</v>
      </c>
      <c r="E2543" s="116">
        <v>14</v>
      </c>
      <c r="F2543" s="87" t="s">
        <v>967</v>
      </c>
      <c r="G2543" s="87" t="s">
        <v>272</v>
      </c>
      <c r="H2543" s="87" t="s">
        <v>967</v>
      </c>
      <c r="I2543" s="87">
        <v>3</v>
      </c>
    </row>
    <row r="2544" spans="1:9" ht="15" customHeight="1" x14ac:dyDescent="0.25">
      <c r="A2544" s="87" t="s">
        <v>38</v>
      </c>
      <c r="B2544" s="87" t="s">
        <v>344</v>
      </c>
      <c r="C2544" s="87">
        <v>2021</v>
      </c>
      <c r="D2544" s="87" t="s">
        <v>15</v>
      </c>
      <c r="E2544" s="116">
        <v>29</v>
      </c>
      <c r="F2544" s="87" t="s">
        <v>967</v>
      </c>
      <c r="G2544" s="87" t="s">
        <v>272</v>
      </c>
      <c r="H2544" s="87" t="s">
        <v>967</v>
      </c>
      <c r="I2544" s="87">
        <v>3</v>
      </c>
    </row>
    <row r="2545" spans="1:9" ht="15" customHeight="1" x14ac:dyDescent="0.25">
      <c r="A2545" s="87" t="s">
        <v>38</v>
      </c>
      <c r="B2545" s="87" t="s">
        <v>344</v>
      </c>
      <c r="C2545" s="87">
        <v>2022</v>
      </c>
      <c r="D2545" s="87" t="s">
        <v>15</v>
      </c>
      <c r="E2545" s="116">
        <v>2</v>
      </c>
      <c r="F2545" s="87" t="s">
        <v>967</v>
      </c>
      <c r="G2545" s="87" t="s">
        <v>272</v>
      </c>
      <c r="H2545" s="87" t="s">
        <v>967</v>
      </c>
      <c r="I2545" s="87">
        <v>3</v>
      </c>
    </row>
    <row r="2546" spans="1:9" ht="15" customHeight="1" x14ac:dyDescent="0.25">
      <c r="A2546" s="87" t="s">
        <v>38</v>
      </c>
      <c r="B2546" s="87" t="s">
        <v>346</v>
      </c>
      <c r="C2546" s="87">
        <v>1975</v>
      </c>
      <c r="D2546" s="87" t="s">
        <v>15</v>
      </c>
      <c r="E2546" s="116">
        <v>-1</v>
      </c>
      <c r="F2546" s="87" t="s">
        <v>967</v>
      </c>
      <c r="G2546" s="87" t="s">
        <v>967</v>
      </c>
      <c r="H2546" s="87" t="s">
        <v>967</v>
      </c>
      <c r="I2546" s="87">
        <v>15</v>
      </c>
    </row>
    <row r="2547" spans="1:9" ht="15" customHeight="1" x14ac:dyDescent="0.25">
      <c r="A2547" s="87" t="s">
        <v>38</v>
      </c>
      <c r="B2547" s="87" t="s">
        <v>346</v>
      </c>
      <c r="C2547" s="87">
        <v>1976</v>
      </c>
      <c r="D2547" s="87" t="s">
        <v>15</v>
      </c>
      <c r="E2547" s="116">
        <v>-1</v>
      </c>
      <c r="F2547" s="87" t="s">
        <v>967</v>
      </c>
      <c r="G2547" s="87" t="s">
        <v>967</v>
      </c>
      <c r="H2547" s="87" t="s">
        <v>967</v>
      </c>
      <c r="I2547" s="87">
        <v>15</v>
      </c>
    </row>
    <row r="2548" spans="1:9" ht="15" customHeight="1" x14ac:dyDescent="0.25">
      <c r="A2548" s="87" t="s">
        <v>38</v>
      </c>
      <c r="B2548" s="87" t="s">
        <v>346</v>
      </c>
      <c r="C2548" s="87">
        <v>1977</v>
      </c>
      <c r="D2548" s="87" t="s">
        <v>15</v>
      </c>
      <c r="E2548" s="116">
        <v>-1</v>
      </c>
      <c r="F2548" s="87" t="s">
        <v>967</v>
      </c>
      <c r="G2548" s="87" t="s">
        <v>967</v>
      </c>
      <c r="H2548" s="87" t="s">
        <v>967</v>
      </c>
      <c r="I2548" s="87">
        <v>15</v>
      </c>
    </row>
    <row r="2549" spans="1:9" ht="15" customHeight="1" x14ac:dyDescent="0.25">
      <c r="A2549" s="87" t="s">
        <v>38</v>
      </c>
      <c r="B2549" s="87" t="s">
        <v>346</v>
      </c>
      <c r="C2549" s="87">
        <v>1978</v>
      </c>
      <c r="D2549" s="87" t="s">
        <v>15</v>
      </c>
      <c r="E2549" s="116">
        <v>-1</v>
      </c>
      <c r="F2549" s="87" t="s">
        <v>967</v>
      </c>
      <c r="G2549" s="87" t="s">
        <v>967</v>
      </c>
      <c r="H2549" s="87" t="s">
        <v>967</v>
      </c>
      <c r="I2549" s="87">
        <v>15</v>
      </c>
    </row>
    <row r="2550" spans="1:9" ht="15" customHeight="1" x14ac:dyDescent="0.25">
      <c r="A2550" s="87" t="s">
        <v>38</v>
      </c>
      <c r="B2550" s="87" t="s">
        <v>346</v>
      </c>
      <c r="C2550" s="87">
        <v>1979</v>
      </c>
      <c r="D2550" s="87" t="s">
        <v>15</v>
      </c>
      <c r="E2550" s="116">
        <v>-1</v>
      </c>
      <c r="F2550" s="87" t="s">
        <v>967</v>
      </c>
      <c r="G2550" s="87" t="s">
        <v>967</v>
      </c>
      <c r="H2550" s="87" t="s">
        <v>967</v>
      </c>
      <c r="I2550" s="87">
        <v>15</v>
      </c>
    </row>
    <row r="2551" spans="1:9" ht="15" customHeight="1" x14ac:dyDescent="0.25">
      <c r="A2551" s="87" t="s">
        <v>38</v>
      </c>
      <c r="B2551" s="87" t="s">
        <v>346</v>
      </c>
      <c r="C2551" s="87">
        <v>1980</v>
      </c>
      <c r="D2551" s="87" t="s">
        <v>15</v>
      </c>
      <c r="E2551" s="116">
        <v>-1</v>
      </c>
      <c r="F2551" s="87" t="s">
        <v>967</v>
      </c>
      <c r="G2551" s="87" t="s">
        <v>967</v>
      </c>
      <c r="H2551" s="87" t="s">
        <v>967</v>
      </c>
      <c r="I2551" s="87">
        <v>15</v>
      </c>
    </row>
    <row r="2552" spans="1:9" ht="15" customHeight="1" x14ac:dyDescent="0.25">
      <c r="A2552" s="87" t="s">
        <v>38</v>
      </c>
      <c r="B2552" s="87" t="s">
        <v>346</v>
      </c>
      <c r="C2552" s="87">
        <v>1981</v>
      </c>
      <c r="D2552" s="87" t="s">
        <v>15</v>
      </c>
      <c r="E2552" s="116">
        <v>-1</v>
      </c>
      <c r="F2552" s="87" t="s">
        <v>967</v>
      </c>
      <c r="G2552" s="87" t="s">
        <v>967</v>
      </c>
      <c r="H2552" s="87" t="s">
        <v>967</v>
      </c>
      <c r="I2552" s="87">
        <v>15</v>
      </c>
    </row>
    <row r="2553" spans="1:9" ht="15" customHeight="1" x14ac:dyDescent="0.25">
      <c r="A2553" s="87" t="s">
        <v>38</v>
      </c>
      <c r="B2553" s="87" t="s">
        <v>346</v>
      </c>
      <c r="C2553" s="87">
        <v>1982</v>
      </c>
      <c r="D2553" s="87" t="s">
        <v>15</v>
      </c>
      <c r="E2553" s="116">
        <v>-1</v>
      </c>
      <c r="F2553" s="87" t="s">
        <v>967</v>
      </c>
      <c r="G2553" s="87" t="s">
        <v>967</v>
      </c>
      <c r="H2553" s="87" t="s">
        <v>967</v>
      </c>
      <c r="I2553" s="87">
        <v>15</v>
      </c>
    </row>
    <row r="2554" spans="1:9" ht="15" customHeight="1" x14ac:dyDescent="0.25">
      <c r="A2554" s="87" t="s">
        <v>38</v>
      </c>
      <c r="B2554" s="87" t="s">
        <v>346</v>
      </c>
      <c r="C2554" s="87">
        <v>1983</v>
      </c>
      <c r="D2554" s="87" t="s">
        <v>15</v>
      </c>
      <c r="E2554" s="116">
        <v>-1</v>
      </c>
      <c r="F2554" s="87" t="s">
        <v>967</v>
      </c>
      <c r="G2554" s="87" t="s">
        <v>967</v>
      </c>
      <c r="H2554" s="87" t="s">
        <v>967</v>
      </c>
      <c r="I2554" s="87">
        <v>15</v>
      </c>
    </row>
    <row r="2555" spans="1:9" ht="15" customHeight="1" x14ac:dyDescent="0.25">
      <c r="A2555" s="87" t="s">
        <v>38</v>
      </c>
      <c r="B2555" s="87" t="s">
        <v>346</v>
      </c>
      <c r="C2555" s="87">
        <v>1984</v>
      </c>
      <c r="D2555" s="87" t="s">
        <v>15</v>
      </c>
      <c r="E2555" s="116">
        <v>-1</v>
      </c>
      <c r="F2555" s="87" t="s">
        <v>967</v>
      </c>
      <c r="G2555" s="87" t="s">
        <v>967</v>
      </c>
      <c r="H2555" s="87" t="s">
        <v>967</v>
      </c>
      <c r="I2555" s="87">
        <v>15</v>
      </c>
    </row>
    <row r="2556" spans="1:9" ht="15" customHeight="1" x14ac:dyDescent="0.25">
      <c r="A2556" s="87" t="s">
        <v>38</v>
      </c>
      <c r="B2556" s="87" t="s">
        <v>346</v>
      </c>
      <c r="C2556" s="87">
        <v>1985</v>
      </c>
      <c r="D2556" s="87" t="s">
        <v>15</v>
      </c>
      <c r="E2556" s="116">
        <v>-1</v>
      </c>
      <c r="F2556" s="87" t="s">
        <v>967</v>
      </c>
      <c r="G2556" s="87" t="s">
        <v>967</v>
      </c>
      <c r="H2556" s="87" t="s">
        <v>967</v>
      </c>
      <c r="I2556" s="87">
        <v>15</v>
      </c>
    </row>
    <row r="2557" spans="1:9" ht="15" customHeight="1" x14ac:dyDescent="0.25">
      <c r="A2557" s="87" t="s">
        <v>38</v>
      </c>
      <c r="B2557" s="87" t="s">
        <v>346</v>
      </c>
      <c r="C2557" s="87">
        <v>1986</v>
      </c>
      <c r="D2557" s="87" t="s">
        <v>15</v>
      </c>
      <c r="E2557" s="116">
        <v>-1</v>
      </c>
      <c r="F2557" s="87" t="s">
        <v>967</v>
      </c>
      <c r="G2557" s="87" t="s">
        <v>967</v>
      </c>
      <c r="H2557" s="87" t="s">
        <v>967</v>
      </c>
      <c r="I2557" s="87">
        <v>15</v>
      </c>
    </row>
    <row r="2558" spans="1:9" ht="15" customHeight="1" x14ac:dyDescent="0.25">
      <c r="A2558" s="87" t="s">
        <v>38</v>
      </c>
      <c r="B2558" s="87" t="s">
        <v>346</v>
      </c>
      <c r="C2558" s="87">
        <v>1987</v>
      </c>
      <c r="D2558" s="87" t="s">
        <v>15</v>
      </c>
      <c r="E2558" s="116">
        <v>-1</v>
      </c>
      <c r="F2558" s="87" t="s">
        <v>967</v>
      </c>
      <c r="G2558" s="87" t="s">
        <v>967</v>
      </c>
      <c r="H2558" s="87" t="s">
        <v>967</v>
      </c>
      <c r="I2558" s="87">
        <v>15</v>
      </c>
    </row>
    <row r="2559" spans="1:9" ht="15" customHeight="1" x14ac:dyDescent="0.25">
      <c r="A2559" s="87" t="s">
        <v>38</v>
      </c>
      <c r="B2559" s="87" t="s">
        <v>346</v>
      </c>
      <c r="C2559" s="87">
        <v>1988</v>
      </c>
      <c r="D2559" s="87" t="s">
        <v>15</v>
      </c>
      <c r="E2559" s="116">
        <v>-1</v>
      </c>
      <c r="F2559" s="87" t="s">
        <v>967</v>
      </c>
      <c r="G2559" s="87" t="s">
        <v>967</v>
      </c>
      <c r="H2559" s="87" t="s">
        <v>967</v>
      </c>
      <c r="I2559" s="87">
        <v>15</v>
      </c>
    </row>
    <row r="2560" spans="1:9" ht="15" customHeight="1" x14ac:dyDescent="0.25">
      <c r="A2560" s="87" t="s">
        <v>38</v>
      </c>
      <c r="B2560" s="87" t="s">
        <v>346</v>
      </c>
      <c r="C2560" s="87">
        <v>1989</v>
      </c>
      <c r="D2560" s="87" t="s">
        <v>15</v>
      </c>
      <c r="E2560" s="116">
        <v>-1</v>
      </c>
      <c r="F2560" s="87" t="s">
        <v>967</v>
      </c>
      <c r="G2560" s="87" t="s">
        <v>967</v>
      </c>
      <c r="H2560" s="87" t="s">
        <v>967</v>
      </c>
      <c r="I2560" s="87">
        <v>15</v>
      </c>
    </row>
    <row r="2561" spans="1:9" ht="15" customHeight="1" x14ac:dyDescent="0.25">
      <c r="A2561" s="87" t="s">
        <v>38</v>
      </c>
      <c r="B2561" s="87" t="s">
        <v>346</v>
      </c>
      <c r="C2561" s="87">
        <v>1990</v>
      </c>
      <c r="D2561" s="87" t="s">
        <v>15</v>
      </c>
      <c r="E2561" s="116">
        <v>-1</v>
      </c>
      <c r="F2561" s="87" t="s">
        <v>967</v>
      </c>
      <c r="G2561" s="87" t="s">
        <v>967</v>
      </c>
      <c r="H2561" s="87" t="s">
        <v>967</v>
      </c>
      <c r="I2561" s="87">
        <v>15</v>
      </c>
    </row>
    <row r="2562" spans="1:9" ht="15" customHeight="1" x14ac:dyDescent="0.25">
      <c r="A2562" s="87" t="s">
        <v>38</v>
      </c>
      <c r="B2562" s="87" t="s">
        <v>346</v>
      </c>
      <c r="C2562" s="87">
        <v>1991</v>
      </c>
      <c r="D2562" s="87" t="s">
        <v>15</v>
      </c>
      <c r="E2562" s="116">
        <v>-1</v>
      </c>
      <c r="F2562" s="87" t="s">
        <v>967</v>
      </c>
      <c r="G2562" s="87" t="s">
        <v>967</v>
      </c>
      <c r="H2562" s="87" t="s">
        <v>967</v>
      </c>
      <c r="I2562" s="87">
        <v>15</v>
      </c>
    </row>
    <row r="2563" spans="1:9" ht="15" customHeight="1" x14ac:dyDescent="0.25">
      <c r="A2563" s="87" t="s">
        <v>38</v>
      </c>
      <c r="B2563" s="87" t="s">
        <v>346</v>
      </c>
      <c r="C2563" s="87">
        <v>1992</v>
      </c>
      <c r="D2563" s="87" t="s">
        <v>15</v>
      </c>
      <c r="E2563" s="116">
        <v>-1</v>
      </c>
      <c r="F2563" s="87" t="s">
        <v>967</v>
      </c>
      <c r="G2563" s="87" t="s">
        <v>967</v>
      </c>
      <c r="H2563" s="87" t="s">
        <v>967</v>
      </c>
      <c r="I2563" s="87">
        <v>15</v>
      </c>
    </row>
    <row r="2564" spans="1:9" ht="15" customHeight="1" x14ac:dyDescent="0.25">
      <c r="A2564" s="87" t="s">
        <v>38</v>
      </c>
      <c r="B2564" s="87" t="s">
        <v>346</v>
      </c>
      <c r="C2564" s="87">
        <v>1993</v>
      </c>
      <c r="D2564" s="87" t="s">
        <v>15</v>
      </c>
      <c r="E2564" s="116">
        <v>-1</v>
      </c>
      <c r="F2564" s="87" t="s">
        <v>967</v>
      </c>
      <c r="G2564" s="87" t="s">
        <v>967</v>
      </c>
      <c r="H2564" s="87" t="s">
        <v>967</v>
      </c>
      <c r="I2564" s="87">
        <v>15</v>
      </c>
    </row>
    <row r="2565" spans="1:9" ht="15" customHeight="1" x14ac:dyDescent="0.25">
      <c r="A2565" s="87" t="s">
        <v>38</v>
      </c>
      <c r="B2565" s="87" t="s">
        <v>346</v>
      </c>
      <c r="C2565" s="87">
        <v>1994</v>
      </c>
      <c r="D2565" s="87" t="s">
        <v>15</v>
      </c>
      <c r="E2565" s="116">
        <v>-1</v>
      </c>
      <c r="F2565" s="87" t="s">
        <v>967</v>
      </c>
      <c r="G2565" s="87" t="s">
        <v>967</v>
      </c>
      <c r="H2565" s="87" t="s">
        <v>967</v>
      </c>
      <c r="I2565" s="87">
        <v>15</v>
      </c>
    </row>
    <row r="2566" spans="1:9" ht="15" customHeight="1" x14ac:dyDescent="0.25">
      <c r="A2566" s="87" t="s">
        <v>38</v>
      </c>
      <c r="B2566" s="87" t="s">
        <v>346</v>
      </c>
      <c r="C2566" s="87">
        <v>1995</v>
      </c>
      <c r="D2566" s="87" t="s">
        <v>15</v>
      </c>
      <c r="E2566" s="116">
        <v>-1</v>
      </c>
      <c r="F2566" s="87" t="s">
        <v>967</v>
      </c>
      <c r="G2566" s="87" t="s">
        <v>967</v>
      </c>
      <c r="H2566" s="87" t="s">
        <v>967</v>
      </c>
      <c r="I2566" s="87">
        <v>15</v>
      </c>
    </row>
    <row r="2567" spans="1:9" ht="15" customHeight="1" x14ac:dyDescent="0.25">
      <c r="A2567" s="87" t="s">
        <v>38</v>
      </c>
      <c r="B2567" s="87" t="s">
        <v>346</v>
      </c>
      <c r="C2567" s="87">
        <v>1996</v>
      </c>
      <c r="D2567" s="87" t="s">
        <v>15</v>
      </c>
      <c r="E2567" s="116">
        <v>-1</v>
      </c>
      <c r="F2567" s="87" t="s">
        <v>967</v>
      </c>
      <c r="G2567" s="87" t="s">
        <v>967</v>
      </c>
      <c r="H2567" s="87" t="s">
        <v>967</v>
      </c>
      <c r="I2567" s="87">
        <v>15</v>
      </c>
    </row>
    <row r="2568" spans="1:9" ht="15" customHeight="1" x14ac:dyDescent="0.25">
      <c r="A2568" s="87" t="s">
        <v>38</v>
      </c>
      <c r="B2568" s="87" t="s">
        <v>346</v>
      </c>
      <c r="C2568" s="87">
        <v>1997</v>
      </c>
      <c r="D2568" s="87" t="s">
        <v>15</v>
      </c>
      <c r="E2568" s="116">
        <v>-1</v>
      </c>
      <c r="F2568" s="87" t="s">
        <v>967</v>
      </c>
      <c r="G2568" s="87" t="s">
        <v>967</v>
      </c>
      <c r="H2568" s="87" t="s">
        <v>967</v>
      </c>
      <c r="I2568" s="87">
        <v>15</v>
      </c>
    </row>
    <row r="2569" spans="1:9" ht="15" customHeight="1" x14ac:dyDescent="0.25">
      <c r="A2569" s="87" t="s">
        <v>38</v>
      </c>
      <c r="B2569" s="87" t="s">
        <v>346</v>
      </c>
      <c r="C2569" s="87">
        <v>1998</v>
      </c>
      <c r="D2569" s="87" t="s">
        <v>15</v>
      </c>
      <c r="E2569" s="116">
        <v>108</v>
      </c>
      <c r="F2569" s="87" t="s">
        <v>967</v>
      </c>
      <c r="G2569" s="87" t="s">
        <v>272</v>
      </c>
      <c r="H2569" s="87" t="s">
        <v>548</v>
      </c>
      <c r="I2569" s="87">
        <v>15</v>
      </c>
    </row>
    <row r="2570" spans="1:9" ht="15" customHeight="1" x14ac:dyDescent="0.25">
      <c r="A2570" s="87" t="s">
        <v>38</v>
      </c>
      <c r="B2570" s="87" t="s">
        <v>346</v>
      </c>
      <c r="C2570" s="87">
        <v>1999</v>
      </c>
      <c r="D2570" s="87" t="s">
        <v>15</v>
      </c>
      <c r="E2570" s="116">
        <v>43</v>
      </c>
      <c r="F2570" s="87" t="s">
        <v>967</v>
      </c>
      <c r="G2570" s="87" t="s">
        <v>272</v>
      </c>
      <c r="H2570" s="87" t="s">
        <v>967</v>
      </c>
      <c r="I2570" s="87">
        <v>15</v>
      </c>
    </row>
    <row r="2571" spans="1:9" ht="15" customHeight="1" x14ac:dyDescent="0.25">
      <c r="A2571" s="87" t="s">
        <v>38</v>
      </c>
      <c r="B2571" s="87" t="s">
        <v>346</v>
      </c>
      <c r="C2571" s="87">
        <v>2000</v>
      </c>
      <c r="D2571" s="87" t="s">
        <v>15</v>
      </c>
      <c r="E2571" s="116">
        <v>26</v>
      </c>
      <c r="F2571" s="87" t="s">
        <v>967</v>
      </c>
      <c r="G2571" s="87" t="s">
        <v>272</v>
      </c>
      <c r="H2571" s="87" t="s">
        <v>967</v>
      </c>
      <c r="I2571" s="87">
        <v>15</v>
      </c>
    </row>
    <row r="2572" spans="1:9" ht="15" customHeight="1" x14ac:dyDescent="0.25">
      <c r="A2572" s="87" t="s">
        <v>38</v>
      </c>
      <c r="B2572" s="87" t="s">
        <v>346</v>
      </c>
      <c r="C2572" s="87">
        <v>2001</v>
      </c>
      <c r="D2572" s="87" t="s">
        <v>15</v>
      </c>
      <c r="E2572" s="116">
        <v>40</v>
      </c>
      <c r="F2572" s="87" t="s">
        <v>967</v>
      </c>
      <c r="G2572" s="87" t="s">
        <v>272</v>
      </c>
      <c r="H2572" s="87" t="s">
        <v>967</v>
      </c>
      <c r="I2572" s="87">
        <v>15</v>
      </c>
    </row>
    <row r="2573" spans="1:9" ht="15" customHeight="1" x14ac:dyDescent="0.25">
      <c r="A2573" s="87" t="s">
        <v>38</v>
      </c>
      <c r="B2573" s="87" t="s">
        <v>346</v>
      </c>
      <c r="C2573" s="87">
        <v>2002</v>
      </c>
      <c r="D2573" s="87" t="s">
        <v>15</v>
      </c>
      <c r="E2573" s="116">
        <v>83</v>
      </c>
      <c r="F2573" s="87" t="s">
        <v>967</v>
      </c>
      <c r="G2573" s="87" t="s">
        <v>272</v>
      </c>
      <c r="H2573" s="87" t="s">
        <v>967</v>
      </c>
      <c r="I2573" s="87">
        <v>15</v>
      </c>
    </row>
    <row r="2574" spans="1:9" ht="15" customHeight="1" x14ac:dyDescent="0.25">
      <c r="A2574" s="87" t="s">
        <v>38</v>
      </c>
      <c r="B2574" s="87" t="s">
        <v>346</v>
      </c>
      <c r="C2574" s="87">
        <v>2003</v>
      </c>
      <c r="D2574" s="87" t="s">
        <v>15</v>
      </c>
      <c r="E2574" s="116">
        <v>157</v>
      </c>
      <c r="F2574" s="87" t="s">
        <v>967</v>
      </c>
      <c r="G2574" s="87" t="s">
        <v>272</v>
      </c>
      <c r="H2574" s="87" t="s">
        <v>967</v>
      </c>
      <c r="I2574" s="87">
        <v>15</v>
      </c>
    </row>
    <row r="2575" spans="1:9" ht="15" customHeight="1" x14ac:dyDescent="0.25">
      <c r="A2575" s="87" t="s">
        <v>38</v>
      </c>
      <c r="B2575" s="87" t="s">
        <v>346</v>
      </c>
      <c r="C2575" s="87">
        <v>2004</v>
      </c>
      <c r="D2575" s="87" t="s">
        <v>15</v>
      </c>
      <c r="E2575" s="116">
        <v>31</v>
      </c>
      <c r="F2575" s="87" t="s">
        <v>967</v>
      </c>
      <c r="G2575" s="87" t="s">
        <v>272</v>
      </c>
      <c r="H2575" s="87" t="s">
        <v>967</v>
      </c>
      <c r="I2575" s="87">
        <v>15</v>
      </c>
    </row>
    <row r="2576" spans="1:9" ht="15" customHeight="1" x14ac:dyDescent="0.25">
      <c r="A2576" s="87" t="s">
        <v>38</v>
      </c>
      <c r="B2576" s="87" t="s">
        <v>346</v>
      </c>
      <c r="C2576" s="87">
        <v>2005</v>
      </c>
      <c r="D2576" s="87" t="s">
        <v>15</v>
      </c>
      <c r="E2576" s="116">
        <v>31</v>
      </c>
      <c r="F2576" s="87" t="s">
        <v>967</v>
      </c>
      <c r="G2576" s="87" t="s">
        <v>272</v>
      </c>
      <c r="H2576" s="87" t="s">
        <v>967</v>
      </c>
      <c r="I2576" s="87">
        <v>15</v>
      </c>
    </row>
    <row r="2577" spans="1:9" ht="15" customHeight="1" x14ac:dyDescent="0.25">
      <c r="A2577" s="87" t="s">
        <v>38</v>
      </c>
      <c r="B2577" s="87" t="s">
        <v>346</v>
      </c>
      <c r="C2577" s="87">
        <v>2006</v>
      </c>
      <c r="D2577" s="87" t="s">
        <v>15</v>
      </c>
      <c r="E2577" s="116">
        <v>3</v>
      </c>
      <c r="F2577" s="87" t="s">
        <v>967</v>
      </c>
      <c r="G2577" s="87" t="s">
        <v>272</v>
      </c>
      <c r="H2577" s="87" t="s">
        <v>967</v>
      </c>
      <c r="I2577" s="87">
        <v>15</v>
      </c>
    </row>
    <row r="2578" spans="1:9" ht="15" customHeight="1" x14ac:dyDescent="0.25">
      <c r="A2578" s="87" t="s">
        <v>38</v>
      </c>
      <c r="B2578" s="87" t="s">
        <v>346</v>
      </c>
      <c r="C2578" s="87">
        <v>2007</v>
      </c>
      <c r="D2578" s="87" t="s">
        <v>15</v>
      </c>
      <c r="E2578" s="116">
        <v>5</v>
      </c>
      <c r="F2578" s="87" t="s">
        <v>967</v>
      </c>
      <c r="G2578" s="87" t="s">
        <v>272</v>
      </c>
      <c r="H2578" s="87" t="s">
        <v>967</v>
      </c>
      <c r="I2578" s="87">
        <v>15</v>
      </c>
    </row>
    <row r="2579" spans="1:9" ht="15" customHeight="1" x14ac:dyDescent="0.25">
      <c r="A2579" s="87" t="s">
        <v>38</v>
      </c>
      <c r="B2579" s="87" t="s">
        <v>346</v>
      </c>
      <c r="C2579" s="87">
        <v>2008</v>
      </c>
      <c r="D2579" s="87" t="s">
        <v>15</v>
      </c>
      <c r="E2579" s="116">
        <v>3</v>
      </c>
      <c r="F2579" s="87" t="s">
        <v>967</v>
      </c>
      <c r="G2579" s="87" t="s">
        <v>272</v>
      </c>
      <c r="H2579" s="87" t="s">
        <v>967</v>
      </c>
      <c r="I2579" s="87">
        <v>15</v>
      </c>
    </row>
    <row r="2580" spans="1:9" ht="15" customHeight="1" x14ac:dyDescent="0.25">
      <c r="A2580" s="87" t="s">
        <v>38</v>
      </c>
      <c r="B2580" s="87" t="s">
        <v>346</v>
      </c>
      <c r="C2580" s="87">
        <v>2009</v>
      </c>
      <c r="D2580" s="87" t="s">
        <v>15</v>
      </c>
      <c r="E2580" s="116">
        <v>18</v>
      </c>
      <c r="F2580" s="87" t="s">
        <v>967</v>
      </c>
      <c r="G2580" s="87" t="s">
        <v>272</v>
      </c>
      <c r="H2580" s="87" t="s">
        <v>967</v>
      </c>
      <c r="I2580" s="87">
        <v>15</v>
      </c>
    </row>
    <row r="2581" spans="1:9" ht="15" customHeight="1" x14ac:dyDescent="0.25">
      <c r="A2581" s="87" t="s">
        <v>38</v>
      </c>
      <c r="B2581" s="87" t="s">
        <v>346</v>
      </c>
      <c r="C2581" s="87">
        <v>2010</v>
      </c>
      <c r="D2581" s="87" t="s">
        <v>15</v>
      </c>
      <c r="E2581" s="116">
        <v>14</v>
      </c>
      <c r="F2581" s="87" t="s">
        <v>967</v>
      </c>
      <c r="G2581" s="87" t="s">
        <v>272</v>
      </c>
      <c r="H2581" s="87" t="s">
        <v>967</v>
      </c>
      <c r="I2581" s="87">
        <v>15</v>
      </c>
    </row>
    <row r="2582" spans="1:9" ht="15" customHeight="1" x14ac:dyDescent="0.25">
      <c r="A2582" s="87" t="s">
        <v>38</v>
      </c>
      <c r="B2582" s="87" t="s">
        <v>346</v>
      </c>
      <c r="C2582" s="87">
        <v>2011</v>
      </c>
      <c r="D2582" s="87" t="s">
        <v>15</v>
      </c>
      <c r="E2582" s="116">
        <v>3</v>
      </c>
      <c r="F2582" s="87" t="s">
        <v>967</v>
      </c>
      <c r="G2582" s="87" t="s">
        <v>272</v>
      </c>
      <c r="H2582" s="87" t="s">
        <v>967</v>
      </c>
      <c r="I2582" s="87">
        <v>15</v>
      </c>
    </row>
    <row r="2583" spans="1:9" ht="15" customHeight="1" x14ac:dyDescent="0.25">
      <c r="A2583" s="87" t="s">
        <v>38</v>
      </c>
      <c r="B2583" s="87" t="s">
        <v>346</v>
      </c>
      <c r="C2583" s="87">
        <v>2012</v>
      </c>
      <c r="D2583" s="87" t="s">
        <v>15</v>
      </c>
      <c r="E2583" s="116">
        <v>2</v>
      </c>
      <c r="F2583" s="87" t="s">
        <v>967</v>
      </c>
      <c r="G2583" s="87" t="s">
        <v>272</v>
      </c>
      <c r="H2583" s="87" t="s">
        <v>967</v>
      </c>
      <c r="I2583" s="87">
        <v>15</v>
      </c>
    </row>
    <row r="2584" spans="1:9" ht="15" customHeight="1" x14ac:dyDescent="0.25">
      <c r="A2584" s="87" t="s">
        <v>38</v>
      </c>
      <c r="B2584" s="87" t="s">
        <v>346</v>
      </c>
      <c r="C2584" s="87">
        <v>2013</v>
      </c>
      <c r="D2584" s="87" t="s">
        <v>15</v>
      </c>
      <c r="E2584" s="116">
        <v>8</v>
      </c>
      <c r="F2584" s="87" t="s">
        <v>967</v>
      </c>
      <c r="G2584" s="87" t="s">
        <v>272</v>
      </c>
      <c r="H2584" s="87" t="s">
        <v>672</v>
      </c>
      <c r="I2584" s="87">
        <v>15</v>
      </c>
    </row>
    <row r="2585" spans="1:9" ht="15" customHeight="1" x14ac:dyDescent="0.25">
      <c r="A2585" s="87" t="s">
        <v>38</v>
      </c>
      <c r="B2585" s="87" t="s">
        <v>346</v>
      </c>
      <c r="C2585" s="87">
        <v>2014</v>
      </c>
      <c r="D2585" s="87" t="s">
        <v>15</v>
      </c>
      <c r="E2585" s="116">
        <v>2</v>
      </c>
      <c r="F2585" s="87" t="s">
        <v>967</v>
      </c>
      <c r="G2585" s="87" t="s">
        <v>272</v>
      </c>
      <c r="H2585" s="87" t="s">
        <v>673</v>
      </c>
      <c r="I2585" s="87">
        <v>15</v>
      </c>
    </row>
    <row r="2586" spans="1:9" ht="15" customHeight="1" x14ac:dyDescent="0.25">
      <c r="A2586" s="87" t="s">
        <v>38</v>
      </c>
      <c r="B2586" s="87" t="s">
        <v>346</v>
      </c>
      <c r="C2586" s="87">
        <v>2015</v>
      </c>
      <c r="D2586" s="87" t="s">
        <v>15</v>
      </c>
      <c r="E2586" s="116">
        <v>-1</v>
      </c>
      <c r="F2586" s="87" t="s">
        <v>967</v>
      </c>
      <c r="G2586" s="87" t="s">
        <v>967</v>
      </c>
      <c r="H2586" s="87" t="s">
        <v>967</v>
      </c>
      <c r="I2586" s="87">
        <v>15</v>
      </c>
    </row>
    <row r="2587" spans="1:9" ht="15" customHeight="1" x14ac:dyDescent="0.25">
      <c r="A2587" s="87" t="s">
        <v>38</v>
      </c>
      <c r="B2587" s="87" t="s">
        <v>346</v>
      </c>
      <c r="C2587" s="87">
        <v>2016</v>
      </c>
      <c r="D2587" s="87" t="s">
        <v>15</v>
      </c>
      <c r="E2587" s="116">
        <v>-1</v>
      </c>
      <c r="F2587" s="87" t="s">
        <v>967</v>
      </c>
      <c r="G2587" s="87" t="s">
        <v>967</v>
      </c>
      <c r="H2587" s="87" t="s">
        <v>967</v>
      </c>
      <c r="I2587" s="87">
        <v>15</v>
      </c>
    </row>
    <row r="2588" spans="1:9" ht="15" customHeight="1" x14ac:dyDescent="0.25">
      <c r="A2588" s="87" t="s">
        <v>38</v>
      </c>
      <c r="B2588" s="87" t="s">
        <v>346</v>
      </c>
      <c r="C2588" s="87">
        <v>2017</v>
      </c>
      <c r="D2588" s="87" t="s">
        <v>15</v>
      </c>
      <c r="E2588" s="116">
        <v>-1</v>
      </c>
      <c r="F2588" s="87" t="s">
        <v>967</v>
      </c>
      <c r="G2588" s="87" t="s">
        <v>967</v>
      </c>
      <c r="H2588" s="87" t="s">
        <v>967</v>
      </c>
      <c r="I2588" s="87">
        <v>15</v>
      </c>
    </row>
    <row r="2589" spans="1:9" ht="15" customHeight="1" x14ac:dyDescent="0.25">
      <c r="A2589" s="87" t="s">
        <v>38</v>
      </c>
      <c r="B2589" s="87" t="s">
        <v>346</v>
      </c>
      <c r="C2589" s="87">
        <v>2018</v>
      </c>
      <c r="D2589" s="87" t="s">
        <v>15</v>
      </c>
      <c r="E2589" s="116">
        <v>-1</v>
      </c>
      <c r="F2589" s="87" t="s">
        <v>967</v>
      </c>
      <c r="G2589" s="87" t="s">
        <v>967</v>
      </c>
      <c r="H2589" s="87" t="s">
        <v>967</v>
      </c>
      <c r="I2589" s="87">
        <v>15</v>
      </c>
    </row>
    <row r="2590" spans="1:9" ht="15" customHeight="1" x14ac:dyDescent="0.25">
      <c r="A2590" s="87" t="s">
        <v>38</v>
      </c>
      <c r="B2590" s="87" t="s">
        <v>346</v>
      </c>
      <c r="C2590" s="87">
        <v>2019</v>
      </c>
      <c r="D2590" s="87" t="s">
        <v>15</v>
      </c>
      <c r="E2590" s="116">
        <v>-1</v>
      </c>
      <c r="F2590" s="87" t="s">
        <v>967</v>
      </c>
      <c r="G2590" s="87" t="s">
        <v>967</v>
      </c>
      <c r="H2590" s="87" t="s">
        <v>967</v>
      </c>
      <c r="I2590" s="87">
        <v>15</v>
      </c>
    </row>
    <row r="2591" spans="1:9" ht="15" customHeight="1" x14ac:dyDescent="0.25">
      <c r="A2591" s="87" t="s">
        <v>38</v>
      </c>
      <c r="B2591" s="87" t="s">
        <v>346</v>
      </c>
      <c r="C2591" s="87">
        <v>2020</v>
      </c>
      <c r="D2591" s="87" t="s">
        <v>15</v>
      </c>
      <c r="E2591" s="116">
        <v>-1</v>
      </c>
      <c r="F2591" s="87" t="s">
        <v>967</v>
      </c>
      <c r="G2591" s="87" t="s">
        <v>967</v>
      </c>
      <c r="H2591" s="87" t="s">
        <v>967</v>
      </c>
      <c r="I2591" s="87">
        <v>15</v>
      </c>
    </row>
    <row r="2592" spans="1:9" ht="15" customHeight="1" x14ac:dyDescent="0.25">
      <c r="A2592" s="87" t="s">
        <v>38</v>
      </c>
      <c r="B2592" s="87" t="s">
        <v>346</v>
      </c>
      <c r="C2592" s="87">
        <v>2021</v>
      </c>
      <c r="D2592" s="87" t="s">
        <v>15</v>
      </c>
      <c r="E2592" s="116">
        <v>-1</v>
      </c>
      <c r="F2592" s="87" t="s">
        <v>967</v>
      </c>
      <c r="G2592" s="87" t="s">
        <v>967</v>
      </c>
      <c r="H2592" s="87" t="s">
        <v>967</v>
      </c>
      <c r="I2592" s="87">
        <v>15</v>
      </c>
    </row>
    <row r="2593" spans="1:9" ht="15" customHeight="1" x14ac:dyDescent="0.25">
      <c r="A2593" s="87" t="s">
        <v>38</v>
      </c>
      <c r="B2593" s="87" t="s">
        <v>346</v>
      </c>
      <c r="C2593" s="87">
        <v>2022</v>
      </c>
      <c r="D2593" s="87" t="s">
        <v>15</v>
      </c>
      <c r="E2593" s="116">
        <v>-1</v>
      </c>
      <c r="F2593" s="87" t="s">
        <v>967</v>
      </c>
      <c r="G2593" s="87" t="s">
        <v>967</v>
      </c>
      <c r="H2593" s="87" t="s">
        <v>967</v>
      </c>
      <c r="I2593" s="87">
        <v>15</v>
      </c>
    </row>
    <row r="2594" spans="1:9" ht="15" customHeight="1" x14ac:dyDescent="0.25">
      <c r="A2594" s="87" t="s">
        <v>38</v>
      </c>
      <c r="B2594" s="87" t="s">
        <v>232</v>
      </c>
      <c r="C2594" s="87">
        <v>1975</v>
      </c>
      <c r="D2594" s="87" t="s">
        <v>15</v>
      </c>
      <c r="E2594" s="116">
        <v>-1</v>
      </c>
      <c r="F2594" s="87" t="s">
        <v>910</v>
      </c>
      <c r="G2594" s="87" t="s">
        <v>272</v>
      </c>
      <c r="H2594" s="87" t="s">
        <v>910</v>
      </c>
      <c r="I2594" s="87">
        <v>14</v>
      </c>
    </row>
    <row r="2595" spans="1:9" ht="15" customHeight="1" x14ac:dyDescent="0.25">
      <c r="A2595" s="87" t="s">
        <v>38</v>
      </c>
      <c r="B2595" s="87" t="s">
        <v>232</v>
      </c>
      <c r="C2595" s="87">
        <v>1976</v>
      </c>
      <c r="D2595" s="87" t="s">
        <v>15</v>
      </c>
      <c r="E2595" s="116">
        <v>-1</v>
      </c>
      <c r="F2595" s="87" t="s">
        <v>910</v>
      </c>
      <c r="G2595" s="87" t="s">
        <v>272</v>
      </c>
      <c r="H2595" s="87" t="s">
        <v>910</v>
      </c>
      <c r="I2595" s="87">
        <v>14</v>
      </c>
    </row>
    <row r="2596" spans="1:9" ht="15" customHeight="1" x14ac:dyDescent="0.25">
      <c r="A2596" s="87" t="s">
        <v>38</v>
      </c>
      <c r="B2596" s="87" t="s">
        <v>232</v>
      </c>
      <c r="C2596" s="87">
        <v>1977</v>
      </c>
      <c r="D2596" s="87" t="s">
        <v>15</v>
      </c>
      <c r="E2596" s="116">
        <v>-1</v>
      </c>
      <c r="F2596" s="87" t="s">
        <v>910</v>
      </c>
      <c r="G2596" s="87" t="s">
        <v>272</v>
      </c>
      <c r="H2596" s="87" t="s">
        <v>910</v>
      </c>
      <c r="I2596" s="87">
        <v>14</v>
      </c>
    </row>
    <row r="2597" spans="1:9" ht="15" customHeight="1" x14ac:dyDescent="0.25">
      <c r="A2597" s="87" t="s">
        <v>38</v>
      </c>
      <c r="B2597" s="87" t="s">
        <v>232</v>
      </c>
      <c r="C2597" s="87">
        <v>1978</v>
      </c>
      <c r="D2597" s="87" t="s">
        <v>15</v>
      </c>
      <c r="E2597" s="116">
        <v>-1</v>
      </c>
      <c r="F2597" s="87" t="s">
        <v>910</v>
      </c>
      <c r="G2597" s="87" t="s">
        <v>272</v>
      </c>
      <c r="H2597" s="87" t="s">
        <v>910</v>
      </c>
      <c r="I2597" s="87">
        <v>14</v>
      </c>
    </row>
    <row r="2598" spans="1:9" ht="15" customHeight="1" x14ac:dyDescent="0.25">
      <c r="A2598" s="87" t="s">
        <v>38</v>
      </c>
      <c r="B2598" s="87" t="s">
        <v>232</v>
      </c>
      <c r="C2598" s="87">
        <v>1979</v>
      </c>
      <c r="D2598" s="87" t="s">
        <v>15</v>
      </c>
      <c r="E2598" s="116">
        <v>-1</v>
      </c>
      <c r="F2598" s="87" t="s">
        <v>910</v>
      </c>
      <c r="G2598" s="87" t="s">
        <v>272</v>
      </c>
      <c r="H2598" s="87" t="s">
        <v>910</v>
      </c>
      <c r="I2598" s="87">
        <v>14</v>
      </c>
    </row>
    <row r="2599" spans="1:9" ht="15" customHeight="1" x14ac:dyDescent="0.25">
      <c r="A2599" s="87" t="s">
        <v>38</v>
      </c>
      <c r="B2599" s="87" t="s">
        <v>232</v>
      </c>
      <c r="C2599" s="87">
        <v>1980</v>
      </c>
      <c r="D2599" s="87" t="s">
        <v>15</v>
      </c>
      <c r="E2599" s="116">
        <v>-1</v>
      </c>
      <c r="F2599" s="87" t="s">
        <v>910</v>
      </c>
      <c r="G2599" s="87" t="s">
        <v>272</v>
      </c>
      <c r="H2599" s="87" t="s">
        <v>910</v>
      </c>
      <c r="I2599" s="87">
        <v>14</v>
      </c>
    </row>
    <row r="2600" spans="1:9" ht="15" customHeight="1" x14ac:dyDescent="0.25">
      <c r="A2600" s="87" t="s">
        <v>38</v>
      </c>
      <c r="B2600" s="87" t="s">
        <v>232</v>
      </c>
      <c r="C2600" s="87">
        <v>1981</v>
      </c>
      <c r="D2600" s="87" t="s">
        <v>15</v>
      </c>
      <c r="E2600" s="116">
        <v>-1</v>
      </c>
      <c r="F2600" s="87" t="s">
        <v>910</v>
      </c>
      <c r="G2600" s="87" t="s">
        <v>272</v>
      </c>
      <c r="H2600" s="87" t="s">
        <v>910</v>
      </c>
      <c r="I2600" s="87">
        <v>14</v>
      </c>
    </row>
    <row r="2601" spans="1:9" ht="15" customHeight="1" x14ac:dyDescent="0.25">
      <c r="A2601" s="87" t="s">
        <v>38</v>
      </c>
      <c r="B2601" s="87" t="s">
        <v>232</v>
      </c>
      <c r="C2601" s="87">
        <v>1982</v>
      </c>
      <c r="D2601" s="87" t="s">
        <v>15</v>
      </c>
      <c r="E2601" s="116">
        <v>-1</v>
      </c>
      <c r="F2601" s="87" t="s">
        <v>910</v>
      </c>
      <c r="G2601" s="87" t="s">
        <v>272</v>
      </c>
      <c r="H2601" s="87" t="s">
        <v>910</v>
      </c>
      <c r="I2601" s="87">
        <v>14</v>
      </c>
    </row>
    <row r="2602" spans="1:9" ht="15" customHeight="1" x14ac:dyDescent="0.25">
      <c r="A2602" s="87" t="s">
        <v>38</v>
      </c>
      <c r="B2602" s="87" t="s">
        <v>232</v>
      </c>
      <c r="C2602" s="87">
        <v>1983</v>
      </c>
      <c r="D2602" s="87" t="s">
        <v>15</v>
      </c>
      <c r="E2602" s="116">
        <v>-1</v>
      </c>
      <c r="F2602" s="87" t="s">
        <v>910</v>
      </c>
      <c r="G2602" s="87" t="s">
        <v>272</v>
      </c>
      <c r="H2602" s="87" t="s">
        <v>910</v>
      </c>
      <c r="I2602" s="87">
        <v>14</v>
      </c>
    </row>
    <row r="2603" spans="1:9" ht="15" customHeight="1" x14ac:dyDescent="0.25">
      <c r="A2603" s="87" t="s">
        <v>38</v>
      </c>
      <c r="B2603" s="87" t="s">
        <v>232</v>
      </c>
      <c r="C2603" s="87">
        <v>1984</v>
      </c>
      <c r="D2603" s="87" t="s">
        <v>15</v>
      </c>
      <c r="E2603" s="116">
        <v>-1</v>
      </c>
      <c r="F2603" s="87" t="s">
        <v>910</v>
      </c>
      <c r="G2603" s="87" t="s">
        <v>272</v>
      </c>
      <c r="H2603" s="87" t="s">
        <v>910</v>
      </c>
      <c r="I2603" s="87">
        <v>14</v>
      </c>
    </row>
    <row r="2604" spans="1:9" ht="15" customHeight="1" x14ac:dyDescent="0.25">
      <c r="A2604" s="87" t="s">
        <v>38</v>
      </c>
      <c r="B2604" s="87" t="s">
        <v>232</v>
      </c>
      <c r="C2604" s="87">
        <v>1985</v>
      </c>
      <c r="D2604" s="87" t="s">
        <v>15</v>
      </c>
      <c r="E2604" s="116">
        <v>-1</v>
      </c>
      <c r="F2604" s="87" t="s">
        <v>910</v>
      </c>
      <c r="G2604" s="87" t="s">
        <v>272</v>
      </c>
      <c r="H2604" s="87" t="s">
        <v>910</v>
      </c>
      <c r="I2604" s="87">
        <v>14</v>
      </c>
    </row>
    <row r="2605" spans="1:9" ht="15" customHeight="1" x14ac:dyDescent="0.25">
      <c r="A2605" s="87" t="s">
        <v>38</v>
      </c>
      <c r="B2605" s="87" t="s">
        <v>232</v>
      </c>
      <c r="C2605" s="87">
        <v>1986</v>
      </c>
      <c r="D2605" s="87" t="s">
        <v>15</v>
      </c>
      <c r="E2605" s="116">
        <v>1424</v>
      </c>
      <c r="F2605" s="87" t="s">
        <v>675</v>
      </c>
      <c r="G2605" s="87" t="s">
        <v>272</v>
      </c>
      <c r="H2605" s="87" t="s">
        <v>674</v>
      </c>
      <c r="I2605" s="87">
        <v>14</v>
      </c>
    </row>
    <row r="2606" spans="1:9" ht="15" customHeight="1" x14ac:dyDescent="0.25">
      <c r="A2606" s="87" t="s">
        <v>38</v>
      </c>
      <c r="B2606" s="87" t="s">
        <v>232</v>
      </c>
      <c r="C2606" s="87">
        <v>1987</v>
      </c>
      <c r="D2606" s="87" t="s">
        <v>15</v>
      </c>
      <c r="E2606" s="116">
        <v>-1</v>
      </c>
      <c r="F2606" s="87" t="s">
        <v>910</v>
      </c>
      <c r="G2606" s="87" t="s">
        <v>272</v>
      </c>
      <c r="H2606" s="87" t="s">
        <v>910</v>
      </c>
      <c r="I2606" s="87">
        <v>14</v>
      </c>
    </row>
    <row r="2607" spans="1:9" ht="15" customHeight="1" x14ac:dyDescent="0.25">
      <c r="A2607" s="87" t="s">
        <v>38</v>
      </c>
      <c r="B2607" s="87" t="s">
        <v>232</v>
      </c>
      <c r="C2607" s="87">
        <v>1988</v>
      </c>
      <c r="D2607" s="87" t="s">
        <v>15</v>
      </c>
      <c r="E2607" s="116">
        <v>-1</v>
      </c>
      <c r="F2607" s="87" t="s">
        <v>910</v>
      </c>
      <c r="G2607" s="87" t="s">
        <v>272</v>
      </c>
      <c r="H2607" s="87" t="s">
        <v>910</v>
      </c>
      <c r="I2607" s="87">
        <v>14</v>
      </c>
    </row>
    <row r="2608" spans="1:9" ht="15" customHeight="1" x14ac:dyDescent="0.25">
      <c r="A2608" s="87" t="s">
        <v>38</v>
      </c>
      <c r="B2608" s="87" t="s">
        <v>232</v>
      </c>
      <c r="C2608" s="87">
        <v>1989</v>
      </c>
      <c r="D2608" s="87" t="s">
        <v>15</v>
      </c>
      <c r="E2608" s="116">
        <v>-1</v>
      </c>
      <c r="F2608" s="87" t="s">
        <v>910</v>
      </c>
      <c r="G2608" s="87" t="s">
        <v>272</v>
      </c>
      <c r="H2608" s="87" t="s">
        <v>910</v>
      </c>
      <c r="I2608" s="87">
        <v>14</v>
      </c>
    </row>
    <row r="2609" spans="1:9" ht="15" customHeight="1" x14ac:dyDescent="0.25">
      <c r="A2609" s="87" t="s">
        <v>38</v>
      </c>
      <c r="B2609" s="87" t="s">
        <v>232</v>
      </c>
      <c r="C2609" s="87">
        <v>1990</v>
      </c>
      <c r="D2609" s="87" t="s">
        <v>15</v>
      </c>
      <c r="E2609" s="116">
        <v>-1</v>
      </c>
      <c r="F2609" s="87" t="s">
        <v>910</v>
      </c>
      <c r="G2609" s="87" t="s">
        <v>272</v>
      </c>
      <c r="H2609" s="87" t="s">
        <v>910</v>
      </c>
      <c r="I2609" s="87">
        <v>14</v>
      </c>
    </row>
    <row r="2610" spans="1:9" ht="15" customHeight="1" x14ac:dyDescent="0.25">
      <c r="A2610" s="87" t="s">
        <v>38</v>
      </c>
      <c r="B2610" s="87" t="s">
        <v>232</v>
      </c>
      <c r="C2610" s="87">
        <v>1991</v>
      </c>
      <c r="D2610" s="87" t="s">
        <v>15</v>
      </c>
      <c r="E2610" s="116">
        <v>-1</v>
      </c>
      <c r="F2610" s="87" t="s">
        <v>910</v>
      </c>
      <c r="G2610" s="87" t="s">
        <v>272</v>
      </c>
      <c r="H2610" s="87" t="s">
        <v>910</v>
      </c>
      <c r="I2610" s="87">
        <v>14</v>
      </c>
    </row>
    <row r="2611" spans="1:9" ht="15" customHeight="1" x14ac:dyDescent="0.25">
      <c r="A2611" s="87" t="s">
        <v>38</v>
      </c>
      <c r="B2611" s="87" t="s">
        <v>232</v>
      </c>
      <c r="C2611" s="87">
        <v>1992</v>
      </c>
      <c r="D2611" s="87" t="s">
        <v>15</v>
      </c>
      <c r="E2611" s="116">
        <v>-1</v>
      </c>
      <c r="F2611" s="87" t="s">
        <v>910</v>
      </c>
      <c r="G2611" s="87" t="s">
        <v>272</v>
      </c>
      <c r="H2611" s="87" t="s">
        <v>910</v>
      </c>
      <c r="I2611" s="87">
        <v>14</v>
      </c>
    </row>
    <row r="2612" spans="1:9" ht="15" customHeight="1" x14ac:dyDescent="0.25">
      <c r="A2612" s="87" t="s">
        <v>38</v>
      </c>
      <c r="B2612" s="87" t="s">
        <v>232</v>
      </c>
      <c r="C2612" s="87">
        <v>1993</v>
      </c>
      <c r="D2612" s="87" t="s">
        <v>15</v>
      </c>
      <c r="E2612" s="116">
        <v>-1</v>
      </c>
      <c r="F2612" s="87" t="s">
        <v>910</v>
      </c>
      <c r="G2612" s="87" t="s">
        <v>272</v>
      </c>
      <c r="H2612" s="87" t="s">
        <v>910</v>
      </c>
      <c r="I2612" s="87">
        <v>14</v>
      </c>
    </row>
    <row r="2613" spans="1:9" ht="15" customHeight="1" x14ac:dyDescent="0.25">
      <c r="A2613" s="87" t="s">
        <v>38</v>
      </c>
      <c r="B2613" s="87" t="s">
        <v>232</v>
      </c>
      <c r="C2613" s="87">
        <v>1994</v>
      </c>
      <c r="D2613" s="87" t="s">
        <v>15</v>
      </c>
      <c r="E2613" s="116">
        <v>-1</v>
      </c>
      <c r="F2613" s="87" t="s">
        <v>910</v>
      </c>
      <c r="G2613" s="87" t="s">
        <v>272</v>
      </c>
      <c r="H2613" s="87" t="s">
        <v>910</v>
      </c>
      <c r="I2613" s="87">
        <v>14</v>
      </c>
    </row>
    <row r="2614" spans="1:9" ht="15" customHeight="1" x14ac:dyDescent="0.25">
      <c r="A2614" s="87" t="s">
        <v>38</v>
      </c>
      <c r="B2614" s="87" t="s">
        <v>232</v>
      </c>
      <c r="C2614" s="87">
        <v>1995</v>
      </c>
      <c r="D2614" s="87" t="s">
        <v>15</v>
      </c>
      <c r="E2614" s="116">
        <v>-1</v>
      </c>
      <c r="F2614" s="87" t="s">
        <v>967</v>
      </c>
      <c r="G2614" s="87" t="s">
        <v>272</v>
      </c>
      <c r="H2614" s="87" t="s">
        <v>910</v>
      </c>
      <c r="I2614" s="87">
        <v>14</v>
      </c>
    </row>
    <row r="2615" spans="1:9" ht="15" customHeight="1" x14ac:dyDescent="0.25">
      <c r="A2615" s="87" t="s">
        <v>38</v>
      </c>
      <c r="B2615" s="87" t="s">
        <v>232</v>
      </c>
      <c r="C2615" s="87">
        <v>1996</v>
      </c>
      <c r="D2615" s="87" t="s">
        <v>15</v>
      </c>
      <c r="E2615" s="116">
        <v>495</v>
      </c>
      <c r="F2615" s="87" t="s">
        <v>967</v>
      </c>
      <c r="G2615" s="87" t="s">
        <v>967</v>
      </c>
      <c r="H2615" s="87" t="s">
        <v>967</v>
      </c>
      <c r="I2615" s="87">
        <v>14</v>
      </c>
    </row>
    <row r="2616" spans="1:9" ht="15" customHeight="1" x14ac:dyDescent="0.25">
      <c r="A2616" s="87" t="s">
        <v>38</v>
      </c>
      <c r="B2616" s="87" t="s">
        <v>232</v>
      </c>
      <c r="C2616" s="87">
        <v>1997</v>
      </c>
      <c r="D2616" s="87" t="s">
        <v>15</v>
      </c>
      <c r="E2616" s="116">
        <v>472</v>
      </c>
      <c r="F2616" s="87" t="s">
        <v>967</v>
      </c>
      <c r="G2616" s="87" t="s">
        <v>967</v>
      </c>
      <c r="H2616" s="87" t="s">
        <v>967</v>
      </c>
      <c r="I2616" s="87">
        <v>14</v>
      </c>
    </row>
    <row r="2617" spans="1:9" ht="15" customHeight="1" x14ac:dyDescent="0.25">
      <c r="A2617" s="87" t="s">
        <v>38</v>
      </c>
      <c r="B2617" s="87" t="s">
        <v>232</v>
      </c>
      <c r="C2617" s="87">
        <v>1998</v>
      </c>
      <c r="D2617" s="87" t="s">
        <v>15</v>
      </c>
      <c r="E2617" s="116">
        <v>351</v>
      </c>
      <c r="F2617" s="87" t="s">
        <v>967</v>
      </c>
      <c r="G2617" s="87" t="s">
        <v>272</v>
      </c>
      <c r="H2617" s="87" t="s">
        <v>967</v>
      </c>
      <c r="I2617" s="87">
        <v>14</v>
      </c>
    </row>
    <row r="2618" spans="1:9" ht="15" customHeight="1" x14ac:dyDescent="0.25">
      <c r="A2618" s="87" t="s">
        <v>38</v>
      </c>
      <c r="B2618" s="87" t="s">
        <v>232</v>
      </c>
      <c r="C2618" s="87">
        <v>1999</v>
      </c>
      <c r="D2618" s="87" t="s">
        <v>15</v>
      </c>
      <c r="E2618" s="116">
        <v>280</v>
      </c>
      <c r="F2618" s="87" t="s">
        <v>313</v>
      </c>
      <c r="G2618" s="87" t="s">
        <v>272</v>
      </c>
      <c r="H2618" s="87" t="s">
        <v>967</v>
      </c>
      <c r="I2618" s="87">
        <v>14</v>
      </c>
    </row>
    <row r="2619" spans="1:9" ht="15" customHeight="1" x14ac:dyDescent="0.25">
      <c r="A2619" s="87" t="s">
        <v>38</v>
      </c>
      <c r="B2619" s="87" t="s">
        <v>232</v>
      </c>
      <c r="C2619" s="87">
        <v>2000</v>
      </c>
      <c r="D2619" s="87" t="s">
        <v>15</v>
      </c>
      <c r="E2619" s="116">
        <v>442</v>
      </c>
      <c r="F2619" s="87" t="s">
        <v>676</v>
      </c>
      <c r="G2619" s="87" t="s">
        <v>272</v>
      </c>
      <c r="H2619" s="87" t="s">
        <v>967</v>
      </c>
      <c r="I2619" s="87">
        <v>14</v>
      </c>
    </row>
    <row r="2620" spans="1:9" ht="15" customHeight="1" x14ac:dyDescent="0.25">
      <c r="A2620" s="87" t="s">
        <v>38</v>
      </c>
      <c r="B2620" s="87" t="s">
        <v>232</v>
      </c>
      <c r="C2620" s="87">
        <v>2001</v>
      </c>
      <c r="D2620" s="87" t="s">
        <v>15</v>
      </c>
      <c r="E2620" s="116">
        <v>682</v>
      </c>
      <c r="F2620" s="87" t="s">
        <v>967</v>
      </c>
      <c r="G2620" s="87" t="s">
        <v>272</v>
      </c>
      <c r="H2620" s="87" t="s">
        <v>967</v>
      </c>
      <c r="I2620" s="87">
        <v>14</v>
      </c>
    </row>
    <row r="2621" spans="1:9" ht="15" customHeight="1" x14ac:dyDescent="0.25">
      <c r="A2621" s="87" t="s">
        <v>38</v>
      </c>
      <c r="B2621" s="87" t="s">
        <v>232</v>
      </c>
      <c r="C2621" s="87">
        <v>2002</v>
      </c>
      <c r="D2621" s="87" t="s">
        <v>15</v>
      </c>
      <c r="E2621" s="116">
        <v>608</v>
      </c>
      <c r="F2621" s="87" t="s">
        <v>967</v>
      </c>
      <c r="G2621" s="87" t="s">
        <v>272</v>
      </c>
      <c r="H2621" s="87" t="s">
        <v>967</v>
      </c>
      <c r="I2621" s="87">
        <v>14</v>
      </c>
    </row>
    <row r="2622" spans="1:9" ht="15" customHeight="1" x14ac:dyDescent="0.25">
      <c r="A2622" s="87" t="s">
        <v>38</v>
      </c>
      <c r="B2622" s="87" t="s">
        <v>232</v>
      </c>
      <c r="C2622" s="87">
        <v>2003</v>
      </c>
      <c r="D2622" s="87" t="s">
        <v>15</v>
      </c>
      <c r="E2622" s="116">
        <v>738</v>
      </c>
      <c r="F2622" s="87" t="s">
        <v>313</v>
      </c>
      <c r="G2622" s="87" t="s">
        <v>272</v>
      </c>
      <c r="H2622" s="87" t="s">
        <v>967</v>
      </c>
      <c r="I2622" s="87">
        <v>14</v>
      </c>
    </row>
    <row r="2623" spans="1:9" ht="15" customHeight="1" x14ac:dyDescent="0.25">
      <c r="A2623" s="87" t="s">
        <v>38</v>
      </c>
      <c r="B2623" s="87" t="s">
        <v>232</v>
      </c>
      <c r="C2623" s="87">
        <v>2004</v>
      </c>
      <c r="D2623" s="87" t="s">
        <v>15</v>
      </c>
      <c r="E2623" s="116">
        <v>263</v>
      </c>
      <c r="F2623" s="87" t="s">
        <v>967</v>
      </c>
      <c r="G2623" s="87" t="s">
        <v>272</v>
      </c>
      <c r="H2623" s="87" t="s">
        <v>967</v>
      </c>
      <c r="I2623" s="87">
        <v>14</v>
      </c>
    </row>
    <row r="2624" spans="1:9" ht="15" customHeight="1" x14ac:dyDescent="0.25">
      <c r="A2624" s="87" t="s">
        <v>38</v>
      </c>
      <c r="B2624" s="87" t="s">
        <v>232</v>
      </c>
      <c r="C2624" s="87">
        <v>2005</v>
      </c>
      <c r="D2624" s="87" t="s">
        <v>15</v>
      </c>
      <c r="E2624" s="116">
        <v>576</v>
      </c>
      <c r="F2624" s="87" t="s">
        <v>967</v>
      </c>
      <c r="G2624" s="87" t="s">
        <v>272</v>
      </c>
      <c r="H2624" s="87" t="s">
        <v>967</v>
      </c>
      <c r="I2624" s="87">
        <v>14</v>
      </c>
    </row>
    <row r="2625" spans="1:9" ht="15" customHeight="1" x14ac:dyDescent="0.25">
      <c r="A2625" s="87" t="s">
        <v>38</v>
      </c>
      <c r="B2625" s="87" t="s">
        <v>232</v>
      </c>
      <c r="C2625" s="87">
        <v>2006</v>
      </c>
      <c r="D2625" s="87" t="s">
        <v>15</v>
      </c>
      <c r="E2625" s="116">
        <v>388</v>
      </c>
      <c r="F2625" s="87" t="s">
        <v>967</v>
      </c>
      <c r="G2625" s="87" t="s">
        <v>272</v>
      </c>
      <c r="H2625" s="87" t="s">
        <v>967</v>
      </c>
      <c r="I2625" s="87">
        <v>14</v>
      </c>
    </row>
    <row r="2626" spans="1:9" ht="15" customHeight="1" x14ac:dyDescent="0.25">
      <c r="A2626" s="87" t="s">
        <v>38</v>
      </c>
      <c r="B2626" s="87" t="s">
        <v>232</v>
      </c>
      <c r="C2626" s="87">
        <v>2007</v>
      </c>
      <c r="D2626" s="87" t="s">
        <v>15</v>
      </c>
      <c r="E2626" s="116">
        <v>166</v>
      </c>
      <c r="F2626" s="87" t="s">
        <v>967</v>
      </c>
      <c r="G2626" s="87" t="s">
        <v>272</v>
      </c>
      <c r="H2626" s="87" t="s">
        <v>967</v>
      </c>
      <c r="I2626" s="87">
        <v>14</v>
      </c>
    </row>
    <row r="2627" spans="1:9" ht="15" customHeight="1" x14ac:dyDescent="0.25">
      <c r="A2627" s="87" t="s">
        <v>38</v>
      </c>
      <c r="B2627" s="87" t="s">
        <v>232</v>
      </c>
      <c r="C2627" s="87">
        <v>2008</v>
      </c>
      <c r="D2627" s="87" t="s">
        <v>15</v>
      </c>
      <c r="E2627" s="116">
        <v>582</v>
      </c>
      <c r="F2627" s="87" t="s">
        <v>967</v>
      </c>
      <c r="G2627" s="87" t="s">
        <v>272</v>
      </c>
      <c r="H2627" s="87" t="s">
        <v>967</v>
      </c>
      <c r="I2627" s="87">
        <v>14</v>
      </c>
    </row>
    <row r="2628" spans="1:9" ht="15" customHeight="1" x14ac:dyDescent="0.25">
      <c r="A2628" s="87" t="s">
        <v>38</v>
      </c>
      <c r="B2628" s="87" t="s">
        <v>232</v>
      </c>
      <c r="C2628" s="87">
        <v>2009</v>
      </c>
      <c r="D2628" s="87" t="s">
        <v>15</v>
      </c>
      <c r="E2628" s="116">
        <v>360</v>
      </c>
      <c r="F2628" s="87" t="s">
        <v>967</v>
      </c>
      <c r="G2628" s="87" t="s">
        <v>272</v>
      </c>
      <c r="H2628" s="87" t="s">
        <v>967</v>
      </c>
      <c r="I2628" s="87">
        <v>14</v>
      </c>
    </row>
    <row r="2629" spans="1:9" ht="15" customHeight="1" x14ac:dyDescent="0.25">
      <c r="A2629" s="87" t="s">
        <v>38</v>
      </c>
      <c r="B2629" s="87" t="s">
        <v>232</v>
      </c>
      <c r="C2629" s="87">
        <v>2010</v>
      </c>
      <c r="D2629" s="87" t="s">
        <v>15</v>
      </c>
      <c r="E2629" s="116">
        <v>471</v>
      </c>
      <c r="F2629" s="87" t="s">
        <v>967</v>
      </c>
      <c r="G2629" s="87" t="s">
        <v>272</v>
      </c>
      <c r="H2629" s="87" t="s">
        <v>677</v>
      </c>
      <c r="I2629" s="87">
        <v>14</v>
      </c>
    </row>
    <row r="2630" spans="1:9" ht="15" customHeight="1" x14ac:dyDescent="0.25">
      <c r="A2630" s="87" t="s">
        <v>38</v>
      </c>
      <c r="B2630" s="87" t="s">
        <v>232</v>
      </c>
      <c r="C2630" s="87">
        <v>2011</v>
      </c>
      <c r="D2630" s="87" t="s">
        <v>15</v>
      </c>
      <c r="E2630" s="116">
        <v>265</v>
      </c>
      <c r="F2630" s="87" t="s">
        <v>967</v>
      </c>
      <c r="G2630" s="87" t="s">
        <v>272</v>
      </c>
      <c r="H2630" s="87" t="s">
        <v>967</v>
      </c>
      <c r="I2630" s="87">
        <v>14</v>
      </c>
    </row>
    <row r="2631" spans="1:9" ht="15" customHeight="1" x14ac:dyDescent="0.25">
      <c r="A2631" s="87" t="s">
        <v>38</v>
      </c>
      <c r="B2631" s="87" t="s">
        <v>232</v>
      </c>
      <c r="C2631" s="87">
        <v>2012</v>
      </c>
      <c r="D2631" s="87" t="s">
        <v>15</v>
      </c>
      <c r="E2631" s="116">
        <v>349</v>
      </c>
      <c r="F2631" s="87" t="s">
        <v>967</v>
      </c>
      <c r="G2631" s="87" t="s">
        <v>272</v>
      </c>
      <c r="H2631" s="87" t="s">
        <v>967</v>
      </c>
      <c r="I2631" s="87">
        <v>14</v>
      </c>
    </row>
    <row r="2632" spans="1:9" ht="15" customHeight="1" x14ac:dyDescent="0.25">
      <c r="A2632" s="87" t="s">
        <v>38</v>
      </c>
      <c r="B2632" s="87" t="s">
        <v>232</v>
      </c>
      <c r="C2632" s="87">
        <v>2013</v>
      </c>
      <c r="D2632" s="87" t="s">
        <v>15</v>
      </c>
      <c r="E2632" s="116">
        <v>422</v>
      </c>
      <c r="F2632" s="87" t="s">
        <v>967</v>
      </c>
      <c r="G2632" s="87" t="s">
        <v>272</v>
      </c>
      <c r="H2632" s="87" t="s">
        <v>967</v>
      </c>
      <c r="I2632" s="87">
        <v>14</v>
      </c>
    </row>
    <row r="2633" spans="1:9" ht="15" customHeight="1" x14ac:dyDescent="0.25">
      <c r="A2633" s="87" t="s">
        <v>38</v>
      </c>
      <c r="B2633" s="87" t="s">
        <v>232</v>
      </c>
      <c r="C2633" s="87">
        <v>2014</v>
      </c>
      <c r="D2633" s="87" t="s">
        <v>15</v>
      </c>
      <c r="E2633" s="116">
        <v>492</v>
      </c>
      <c r="F2633" s="87" t="s">
        <v>967</v>
      </c>
      <c r="G2633" s="87" t="s">
        <v>272</v>
      </c>
      <c r="H2633" s="87" t="s">
        <v>967</v>
      </c>
      <c r="I2633" s="87">
        <v>14</v>
      </c>
    </row>
    <row r="2634" spans="1:9" ht="15" customHeight="1" x14ac:dyDescent="0.25">
      <c r="A2634" s="87" t="s">
        <v>38</v>
      </c>
      <c r="B2634" s="87" t="s">
        <v>232</v>
      </c>
      <c r="C2634" s="87">
        <v>2015</v>
      </c>
      <c r="D2634" s="87" t="s">
        <v>15</v>
      </c>
      <c r="E2634" s="116">
        <v>586</v>
      </c>
      <c r="F2634" s="87" t="s">
        <v>967</v>
      </c>
      <c r="G2634" s="87" t="s">
        <v>272</v>
      </c>
      <c r="H2634" s="87" t="s">
        <v>678</v>
      </c>
      <c r="I2634" s="87">
        <v>14</v>
      </c>
    </row>
    <row r="2635" spans="1:9" ht="15" customHeight="1" x14ac:dyDescent="0.25">
      <c r="A2635" s="87" t="s">
        <v>38</v>
      </c>
      <c r="B2635" s="87" t="s">
        <v>232</v>
      </c>
      <c r="C2635" s="87">
        <v>2016</v>
      </c>
      <c r="D2635" s="87" t="s">
        <v>15</v>
      </c>
      <c r="E2635" s="116">
        <v>377</v>
      </c>
      <c r="F2635" s="87" t="s">
        <v>967</v>
      </c>
      <c r="G2635" s="87" t="s">
        <v>272</v>
      </c>
      <c r="H2635" s="87" t="s">
        <v>967</v>
      </c>
      <c r="I2635" s="87">
        <v>14</v>
      </c>
    </row>
    <row r="2636" spans="1:9" ht="15" customHeight="1" x14ac:dyDescent="0.25">
      <c r="A2636" s="87" t="s">
        <v>38</v>
      </c>
      <c r="B2636" s="87" t="s">
        <v>232</v>
      </c>
      <c r="C2636" s="87">
        <v>2017</v>
      </c>
      <c r="D2636" s="87" t="s">
        <v>15</v>
      </c>
      <c r="E2636" s="116">
        <v>123</v>
      </c>
      <c r="F2636" s="87" t="s">
        <v>967</v>
      </c>
      <c r="G2636" s="87" t="s">
        <v>272</v>
      </c>
      <c r="H2636" s="87" t="s">
        <v>967</v>
      </c>
      <c r="I2636" s="87">
        <v>14</v>
      </c>
    </row>
    <row r="2637" spans="1:9" ht="15" customHeight="1" x14ac:dyDescent="0.25">
      <c r="A2637" s="87" t="s">
        <v>38</v>
      </c>
      <c r="B2637" s="87" t="s">
        <v>232</v>
      </c>
      <c r="C2637" s="87">
        <v>2018</v>
      </c>
      <c r="D2637" s="87" t="s">
        <v>15</v>
      </c>
      <c r="E2637" s="116">
        <v>197</v>
      </c>
      <c r="F2637" s="87" t="s">
        <v>967</v>
      </c>
      <c r="G2637" s="87" t="s">
        <v>272</v>
      </c>
      <c r="H2637" s="87" t="s">
        <v>967</v>
      </c>
      <c r="I2637" s="87">
        <v>14</v>
      </c>
    </row>
    <row r="2638" spans="1:9" ht="15" customHeight="1" x14ac:dyDescent="0.25">
      <c r="A2638" s="87" t="s">
        <v>38</v>
      </c>
      <c r="B2638" s="87" t="s">
        <v>232</v>
      </c>
      <c r="C2638" s="87">
        <v>2019</v>
      </c>
      <c r="D2638" s="87" t="s">
        <v>15</v>
      </c>
      <c r="E2638" s="116">
        <v>62</v>
      </c>
      <c r="F2638" s="87" t="s">
        <v>967</v>
      </c>
      <c r="G2638" s="87" t="s">
        <v>272</v>
      </c>
      <c r="H2638" s="87" t="s">
        <v>967</v>
      </c>
      <c r="I2638" s="87">
        <v>14</v>
      </c>
    </row>
    <row r="2639" spans="1:9" ht="15" customHeight="1" x14ac:dyDescent="0.25">
      <c r="A2639" s="87" t="s">
        <v>38</v>
      </c>
      <c r="B2639" s="87" t="s">
        <v>232</v>
      </c>
      <c r="C2639" s="87">
        <v>2020</v>
      </c>
      <c r="D2639" s="87" t="s">
        <v>15</v>
      </c>
      <c r="E2639" s="116">
        <v>477</v>
      </c>
      <c r="F2639" s="87" t="s">
        <v>967</v>
      </c>
      <c r="G2639" s="87" t="s">
        <v>272</v>
      </c>
      <c r="H2639" s="87" t="s">
        <v>967</v>
      </c>
      <c r="I2639" s="87">
        <v>14</v>
      </c>
    </row>
    <row r="2640" spans="1:9" ht="15" customHeight="1" x14ac:dyDescent="0.25">
      <c r="A2640" s="87" t="s">
        <v>38</v>
      </c>
      <c r="B2640" s="87" t="s">
        <v>232</v>
      </c>
      <c r="C2640" s="87">
        <v>2021</v>
      </c>
      <c r="D2640" s="87" t="s">
        <v>15</v>
      </c>
      <c r="E2640" s="116">
        <v>382</v>
      </c>
      <c r="F2640" s="87" t="s">
        <v>967</v>
      </c>
      <c r="G2640" s="87" t="s">
        <v>272</v>
      </c>
      <c r="H2640" s="87" t="s">
        <v>967</v>
      </c>
      <c r="I2640" s="87">
        <v>14</v>
      </c>
    </row>
    <row r="2641" spans="1:9" ht="15" customHeight="1" x14ac:dyDescent="0.25">
      <c r="A2641" s="87" t="s">
        <v>38</v>
      </c>
      <c r="B2641" s="87" t="s">
        <v>232</v>
      </c>
      <c r="C2641" s="87">
        <v>2022</v>
      </c>
      <c r="D2641" s="87" t="s">
        <v>15</v>
      </c>
      <c r="E2641" s="116">
        <v>731</v>
      </c>
      <c r="F2641" s="87" t="s">
        <v>967</v>
      </c>
      <c r="G2641" s="87" t="s">
        <v>272</v>
      </c>
      <c r="H2641" s="87" t="s">
        <v>967</v>
      </c>
      <c r="I2641" s="87">
        <v>14</v>
      </c>
    </row>
    <row r="2642" spans="1:9" ht="15" customHeight="1" x14ac:dyDescent="0.25">
      <c r="A2642" s="87" t="s">
        <v>38</v>
      </c>
      <c r="B2642" s="87" t="s">
        <v>679</v>
      </c>
      <c r="C2642" s="87">
        <v>1975</v>
      </c>
      <c r="D2642" s="87" t="s">
        <v>15</v>
      </c>
      <c r="E2642" s="116">
        <v>-1</v>
      </c>
      <c r="F2642" s="87" t="s">
        <v>900</v>
      </c>
      <c r="G2642" s="87" t="s">
        <v>272</v>
      </c>
      <c r="H2642" s="87" t="s">
        <v>900</v>
      </c>
      <c r="I2642" s="87">
        <v>15</v>
      </c>
    </row>
    <row r="2643" spans="1:9" ht="15" customHeight="1" x14ac:dyDescent="0.25">
      <c r="A2643" s="87" t="s">
        <v>38</v>
      </c>
      <c r="B2643" s="87" t="s">
        <v>679</v>
      </c>
      <c r="C2643" s="87">
        <v>1976</v>
      </c>
      <c r="D2643" s="87" t="s">
        <v>15</v>
      </c>
      <c r="E2643" s="116">
        <v>-1</v>
      </c>
      <c r="F2643" s="87" t="s">
        <v>900</v>
      </c>
      <c r="G2643" s="87" t="s">
        <v>272</v>
      </c>
      <c r="H2643" s="87" t="s">
        <v>900</v>
      </c>
      <c r="I2643" s="87">
        <v>15</v>
      </c>
    </row>
    <row r="2644" spans="1:9" ht="15" customHeight="1" x14ac:dyDescent="0.25">
      <c r="A2644" s="87" t="s">
        <v>38</v>
      </c>
      <c r="B2644" s="87" t="s">
        <v>679</v>
      </c>
      <c r="C2644" s="87">
        <v>1977</v>
      </c>
      <c r="D2644" s="87" t="s">
        <v>15</v>
      </c>
      <c r="E2644" s="116">
        <v>-1</v>
      </c>
      <c r="F2644" s="87" t="s">
        <v>900</v>
      </c>
      <c r="G2644" s="87" t="s">
        <v>272</v>
      </c>
      <c r="H2644" s="87" t="s">
        <v>900</v>
      </c>
      <c r="I2644" s="87">
        <v>15</v>
      </c>
    </row>
    <row r="2645" spans="1:9" ht="15" customHeight="1" x14ac:dyDescent="0.25">
      <c r="A2645" s="87" t="s">
        <v>38</v>
      </c>
      <c r="B2645" s="87" t="s">
        <v>679</v>
      </c>
      <c r="C2645" s="87">
        <v>1978</v>
      </c>
      <c r="D2645" s="87" t="s">
        <v>15</v>
      </c>
      <c r="E2645" s="116">
        <v>-1</v>
      </c>
      <c r="F2645" s="87" t="s">
        <v>900</v>
      </c>
      <c r="G2645" s="87" t="s">
        <v>272</v>
      </c>
      <c r="H2645" s="87" t="s">
        <v>900</v>
      </c>
      <c r="I2645" s="87">
        <v>15</v>
      </c>
    </row>
    <row r="2646" spans="1:9" ht="15" customHeight="1" x14ac:dyDescent="0.25">
      <c r="A2646" s="87" t="s">
        <v>38</v>
      </c>
      <c r="B2646" s="87" t="s">
        <v>679</v>
      </c>
      <c r="C2646" s="87">
        <v>1979</v>
      </c>
      <c r="D2646" s="87" t="s">
        <v>15</v>
      </c>
      <c r="E2646" s="116">
        <v>380</v>
      </c>
      <c r="F2646" s="87" t="s">
        <v>508</v>
      </c>
      <c r="G2646" s="87" t="s">
        <v>967</v>
      </c>
      <c r="H2646" s="87" t="s">
        <v>508</v>
      </c>
      <c r="I2646" s="87">
        <v>15</v>
      </c>
    </row>
    <row r="2647" spans="1:9" ht="15" customHeight="1" x14ac:dyDescent="0.25">
      <c r="A2647" s="87" t="s">
        <v>38</v>
      </c>
      <c r="B2647" s="87" t="s">
        <v>679</v>
      </c>
      <c r="C2647" s="87">
        <v>1980</v>
      </c>
      <c r="D2647" s="87" t="s">
        <v>15</v>
      </c>
      <c r="E2647" s="116">
        <v>205</v>
      </c>
      <c r="F2647" s="87" t="s">
        <v>508</v>
      </c>
      <c r="G2647" s="87" t="s">
        <v>967</v>
      </c>
      <c r="H2647" s="87" t="s">
        <v>508</v>
      </c>
      <c r="I2647" s="87">
        <v>15</v>
      </c>
    </row>
    <row r="2648" spans="1:9" ht="15" customHeight="1" x14ac:dyDescent="0.25">
      <c r="A2648" s="87" t="s">
        <v>38</v>
      </c>
      <c r="B2648" s="87" t="s">
        <v>679</v>
      </c>
      <c r="C2648" s="87">
        <v>1981</v>
      </c>
      <c r="D2648" s="87" t="s">
        <v>15</v>
      </c>
      <c r="E2648" s="116">
        <v>135</v>
      </c>
      <c r="F2648" s="87" t="s">
        <v>508</v>
      </c>
      <c r="G2648" s="87" t="s">
        <v>967</v>
      </c>
      <c r="H2648" s="87" t="s">
        <v>508</v>
      </c>
      <c r="I2648" s="87">
        <v>15</v>
      </c>
    </row>
    <row r="2649" spans="1:9" ht="15" customHeight="1" x14ac:dyDescent="0.25">
      <c r="A2649" s="87" t="s">
        <v>38</v>
      </c>
      <c r="B2649" s="87" t="s">
        <v>679</v>
      </c>
      <c r="C2649" s="87">
        <v>1982</v>
      </c>
      <c r="D2649" s="87" t="s">
        <v>15</v>
      </c>
      <c r="E2649" s="116">
        <v>400</v>
      </c>
      <c r="F2649" s="87" t="s">
        <v>508</v>
      </c>
      <c r="G2649" s="87" t="s">
        <v>967</v>
      </c>
      <c r="H2649" s="87" t="s">
        <v>508</v>
      </c>
      <c r="I2649" s="87">
        <v>15</v>
      </c>
    </row>
    <row r="2650" spans="1:9" ht="15" customHeight="1" x14ac:dyDescent="0.25">
      <c r="A2650" s="87" t="s">
        <v>38</v>
      </c>
      <c r="B2650" s="87" t="s">
        <v>679</v>
      </c>
      <c r="C2650" s="87">
        <v>1983</v>
      </c>
      <c r="D2650" s="87" t="s">
        <v>15</v>
      </c>
      <c r="E2650" s="116">
        <v>400</v>
      </c>
      <c r="F2650" s="87" t="s">
        <v>508</v>
      </c>
      <c r="G2650" s="87" t="s">
        <v>967</v>
      </c>
      <c r="H2650" s="87" t="s">
        <v>508</v>
      </c>
      <c r="I2650" s="87">
        <v>15</v>
      </c>
    </row>
    <row r="2651" spans="1:9" ht="15" customHeight="1" x14ac:dyDescent="0.25">
      <c r="A2651" s="87" t="s">
        <v>38</v>
      </c>
      <c r="B2651" s="87" t="s">
        <v>679</v>
      </c>
      <c r="C2651" s="87">
        <v>1984</v>
      </c>
      <c r="D2651" s="87" t="s">
        <v>15</v>
      </c>
      <c r="E2651" s="116">
        <v>500</v>
      </c>
      <c r="F2651" s="87" t="s">
        <v>508</v>
      </c>
      <c r="G2651" s="87" t="s">
        <v>967</v>
      </c>
      <c r="H2651" s="87" t="s">
        <v>508</v>
      </c>
      <c r="I2651" s="87">
        <v>15</v>
      </c>
    </row>
    <row r="2652" spans="1:9" ht="15" customHeight="1" x14ac:dyDescent="0.25">
      <c r="A2652" s="87" t="s">
        <v>38</v>
      </c>
      <c r="B2652" s="87" t="s">
        <v>679</v>
      </c>
      <c r="C2652" s="87">
        <v>1985</v>
      </c>
      <c r="D2652" s="87" t="s">
        <v>15</v>
      </c>
      <c r="E2652" s="116">
        <v>-1</v>
      </c>
      <c r="F2652" s="87" t="s">
        <v>900</v>
      </c>
      <c r="G2652" s="87" t="s">
        <v>272</v>
      </c>
      <c r="H2652" s="87" t="s">
        <v>900</v>
      </c>
      <c r="I2652" s="87">
        <v>15</v>
      </c>
    </row>
    <row r="2653" spans="1:9" ht="15" customHeight="1" x14ac:dyDescent="0.25">
      <c r="A2653" s="87" t="s">
        <v>38</v>
      </c>
      <c r="B2653" s="87" t="s">
        <v>679</v>
      </c>
      <c r="C2653" s="87">
        <v>1986</v>
      </c>
      <c r="D2653" s="87" t="s">
        <v>15</v>
      </c>
      <c r="E2653" s="116">
        <v>600</v>
      </c>
      <c r="F2653" s="87" t="s">
        <v>508</v>
      </c>
      <c r="G2653" s="87" t="s">
        <v>967</v>
      </c>
      <c r="H2653" s="87" t="s">
        <v>508</v>
      </c>
      <c r="I2653" s="87">
        <v>15</v>
      </c>
    </row>
    <row r="2654" spans="1:9" ht="15" customHeight="1" x14ac:dyDescent="0.25">
      <c r="A2654" s="87" t="s">
        <v>38</v>
      </c>
      <c r="B2654" s="87" t="s">
        <v>679</v>
      </c>
      <c r="C2654" s="87">
        <v>1987</v>
      </c>
      <c r="D2654" s="87" t="s">
        <v>15</v>
      </c>
      <c r="E2654" s="116">
        <v>450</v>
      </c>
      <c r="F2654" s="87" t="s">
        <v>508</v>
      </c>
      <c r="G2654" s="87" t="s">
        <v>967</v>
      </c>
      <c r="H2654" s="87" t="s">
        <v>508</v>
      </c>
      <c r="I2654" s="87">
        <v>15</v>
      </c>
    </row>
    <row r="2655" spans="1:9" ht="15" customHeight="1" x14ac:dyDescent="0.25">
      <c r="A2655" s="87" t="s">
        <v>38</v>
      </c>
      <c r="B2655" s="87" t="s">
        <v>679</v>
      </c>
      <c r="C2655" s="87">
        <v>1988</v>
      </c>
      <c r="D2655" s="87" t="s">
        <v>15</v>
      </c>
      <c r="E2655" s="116">
        <v>700</v>
      </c>
      <c r="F2655" s="87" t="s">
        <v>508</v>
      </c>
      <c r="G2655" s="87" t="s">
        <v>967</v>
      </c>
      <c r="H2655" s="87" t="s">
        <v>508</v>
      </c>
      <c r="I2655" s="87">
        <v>15</v>
      </c>
    </row>
    <row r="2656" spans="1:9" ht="15" customHeight="1" x14ac:dyDescent="0.25">
      <c r="A2656" s="87" t="s">
        <v>38</v>
      </c>
      <c r="B2656" s="87" t="s">
        <v>679</v>
      </c>
      <c r="C2656" s="87">
        <v>1989</v>
      </c>
      <c r="D2656" s="87" t="s">
        <v>15</v>
      </c>
      <c r="E2656" s="116">
        <v>300</v>
      </c>
      <c r="F2656" s="87" t="s">
        <v>508</v>
      </c>
      <c r="G2656" s="87" t="s">
        <v>967</v>
      </c>
      <c r="H2656" s="87" t="s">
        <v>508</v>
      </c>
      <c r="I2656" s="87">
        <v>15</v>
      </c>
    </row>
    <row r="2657" spans="1:9" ht="15" customHeight="1" x14ac:dyDescent="0.25">
      <c r="A2657" s="87" t="s">
        <v>38</v>
      </c>
      <c r="B2657" s="87" t="s">
        <v>679</v>
      </c>
      <c r="C2657" s="87">
        <v>1990</v>
      </c>
      <c r="D2657" s="87" t="s">
        <v>15</v>
      </c>
      <c r="E2657" s="116">
        <v>350</v>
      </c>
      <c r="F2657" s="87" t="s">
        <v>508</v>
      </c>
      <c r="G2657" s="87" t="s">
        <v>967</v>
      </c>
      <c r="H2657" s="87" t="s">
        <v>508</v>
      </c>
      <c r="I2657" s="87">
        <v>15</v>
      </c>
    </row>
    <row r="2658" spans="1:9" ht="15" customHeight="1" x14ac:dyDescent="0.25">
      <c r="A2658" s="87" t="s">
        <v>38</v>
      </c>
      <c r="B2658" s="87" t="s">
        <v>679</v>
      </c>
      <c r="C2658" s="87">
        <v>1991</v>
      </c>
      <c r="D2658" s="87" t="s">
        <v>15</v>
      </c>
      <c r="E2658" s="116">
        <v>400</v>
      </c>
      <c r="F2658" s="87" t="s">
        <v>508</v>
      </c>
      <c r="G2658" s="87" t="s">
        <v>967</v>
      </c>
      <c r="H2658" s="87" t="s">
        <v>508</v>
      </c>
      <c r="I2658" s="87">
        <v>15</v>
      </c>
    </row>
    <row r="2659" spans="1:9" ht="15" customHeight="1" x14ac:dyDescent="0.25">
      <c r="A2659" s="87" t="s">
        <v>38</v>
      </c>
      <c r="B2659" s="87" t="s">
        <v>679</v>
      </c>
      <c r="C2659" s="87">
        <v>1992</v>
      </c>
      <c r="D2659" s="87" t="s">
        <v>15</v>
      </c>
      <c r="E2659" s="116">
        <v>-1</v>
      </c>
      <c r="F2659" s="87" t="s">
        <v>900</v>
      </c>
      <c r="G2659" s="87" t="s">
        <v>272</v>
      </c>
      <c r="H2659" s="87" t="s">
        <v>900</v>
      </c>
      <c r="I2659" s="87">
        <v>15</v>
      </c>
    </row>
    <row r="2660" spans="1:9" ht="15" customHeight="1" x14ac:dyDescent="0.25">
      <c r="A2660" s="87" t="s">
        <v>38</v>
      </c>
      <c r="B2660" s="87" t="s">
        <v>679</v>
      </c>
      <c r="C2660" s="87">
        <v>1993</v>
      </c>
      <c r="D2660" s="87" t="s">
        <v>15</v>
      </c>
      <c r="E2660" s="116">
        <v>-1</v>
      </c>
      <c r="F2660" s="87" t="s">
        <v>900</v>
      </c>
      <c r="G2660" s="87" t="s">
        <v>272</v>
      </c>
      <c r="H2660" s="87" t="s">
        <v>900</v>
      </c>
      <c r="I2660" s="87">
        <v>15</v>
      </c>
    </row>
    <row r="2661" spans="1:9" ht="15" customHeight="1" x14ac:dyDescent="0.25">
      <c r="A2661" s="87" t="s">
        <v>38</v>
      </c>
      <c r="B2661" s="87" t="s">
        <v>679</v>
      </c>
      <c r="C2661" s="87">
        <v>1994</v>
      </c>
      <c r="D2661" s="87" t="s">
        <v>15</v>
      </c>
      <c r="E2661" s="116">
        <v>208</v>
      </c>
      <c r="F2661" s="87" t="s">
        <v>508</v>
      </c>
      <c r="G2661" s="87" t="s">
        <v>967</v>
      </c>
      <c r="H2661" s="87" t="s">
        <v>508</v>
      </c>
      <c r="I2661" s="87">
        <v>15</v>
      </c>
    </row>
    <row r="2662" spans="1:9" ht="15" customHeight="1" x14ac:dyDescent="0.25">
      <c r="A2662" s="87" t="s">
        <v>38</v>
      </c>
      <c r="B2662" s="87" t="s">
        <v>679</v>
      </c>
      <c r="C2662" s="87">
        <v>1995</v>
      </c>
      <c r="D2662" s="87" t="s">
        <v>15</v>
      </c>
      <c r="E2662" s="116">
        <v>552</v>
      </c>
      <c r="F2662" s="87" t="s">
        <v>967</v>
      </c>
      <c r="G2662" s="87" t="s">
        <v>967</v>
      </c>
      <c r="H2662" s="87" t="s">
        <v>967</v>
      </c>
      <c r="I2662" s="87">
        <v>15</v>
      </c>
    </row>
    <row r="2663" spans="1:9" ht="15" customHeight="1" x14ac:dyDescent="0.25">
      <c r="A2663" s="87" t="s">
        <v>38</v>
      </c>
      <c r="B2663" s="87" t="s">
        <v>679</v>
      </c>
      <c r="C2663" s="87">
        <v>1996</v>
      </c>
      <c r="D2663" s="87" t="s">
        <v>15</v>
      </c>
      <c r="E2663" s="116">
        <v>608</v>
      </c>
      <c r="F2663" s="87" t="s">
        <v>967</v>
      </c>
      <c r="G2663" s="87" t="s">
        <v>967</v>
      </c>
      <c r="H2663" s="87" t="s">
        <v>967</v>
      </c>
      <c r="I2663" s="87">
        <v>15</v>
      </c>
    </row>
    <row r="2664" spans="1:9" ht="15" customHeight="1" x14ac:dyDescent="0.25">
      <c r="A2664" s="87" t="s">
        <v>38</v>
      </c>
      <c r="B2664" s="87" t="s">
        <v>679</v>
      </c>
      <c r="C2664" s="87">
        <v>1997</v>
      </c>
      <c r="D2664" s="87" t="s">
        <v>15</v>
      </c>
      <c r="E2664" s="116">
        <v>209</v>
      </c>
      <c r="F2664" s="87" t="s">
        <v>967</v>
      </c>
      <c r="G2664" s="87" t="s">
        <v>272</v>
      </c>
      <c r="H2664" s="87" t="s">
        <v>967</v>
      </c>
      <c r="I2664" s="87">
        <v>15</v>
      </c>
    </row>
    <row r="2665" spans="1:9" ht="15" customHeight="1" x14ac:dyDescent="0.25">
      <c r="A2665" s="87" t="s">
        <v>38</v>
      </c>
      <c r="B2665" s="87" t="s">
        <v>679</v>
      </c>
      <c r="C2665" s="87">
        <v>1998</v>
      </c>
      <c r="D2665" s="87" t="s">
        <v>15</v>
      </c>
      <c r="E2665" s="116">
        <v>122</v>
      </c>
      <c r="F2665" s="87" t="s">
        <v>967</v>
      </c>
      <c r="G2665" s="87" t="s">
        <v>272</v>
      </c>
      <c r="H2665" s="87" t="s">
        <v>548</v>
      </c>
      <c r="I2665" s="87">
        <v>15</v>
      </c>
    </row>
    <row r="2666" spans="1:9" ht="15" customHeight="1" x14ac:dyDescent="0.25">
      <c r="A2666" s="87" t="s">
        <v>38</v>
      </c>
      <c r="B2666" s="87" t="s">
        <v>679</v>
      </c>
      <c r="C2666" s="87">
        <v>1999</v>
      </c>
      <c r="D2666" s="87" t="s">
        <v>15</v>
      </c>
      <c r="E2666" s="116">
        <v>234</v>
      </c>
      <c r="F2666" s="87" t="s">
        <v>967</v>
      </c>
      <c r="G2666" s="87" t="s">
        <v>272</v>
      </c>
      <c r="H2666" s="87" t="s">
        <v>967</v>
      </c>
      <c r="I2666" s="87">
        <v>15</v>
      </c>
    </row>
    <row r="2667" spans="1:9" ht="15" customHeight="1" x14ac:dyDescent="0.25">
      <c r="A2667" s="87" t="s">
        <v>38</v>
      </c>
      <c r="B2667" s="87" t="s">
        <v>679</v>
      </c>
      <c r="C2667" s="87">
        <v>2000</v>
      </c>
      <c r="D2667" s="87" t="s">
        <v>15</v>
      </c>
      <c r="E2667" s="116">
        <v>477</v>
      </c>
      <c r="F2667" s="87" t="s">
        <v>967</v>
      </c>
      <c r="G2667" s="87" t="s">
        <v>272</v>
      </c>
      <c r="H2667" s="87" t="s">
        <v>967</v>
      </c>
      <c r="I2667" s="87">
        <v>15</v>
      </c>
    </row>
    <row r="2668" spans="1:9" ht="15" customHeight="1" x14ac:dyDescent="0.25">
      <c r="A2668" s="87" t="s">
        <v>38</v>
      </c>
      <c r="B2668" s="87" t="s">
        <v>679</v>
      </c>
      <c r="C2668" s="87">
        <v>2001</v>
      </c>
      <c r="D2668" s="87" t="s">
        <v>15</v>
      </c>
      <c r="E2668" s="116">
        <v>762</v>
      </c>
      <c r="F2668" s="87" t="s">
        <v>967</v>
      </c>
      <c r="G2668" s="87" t="s">
        <v>272</v>
      </c>
      <c r="H2668" s="87" t="s">
        <v>967</v>
      </c>
      <c r="I2668" s="87">
        <v>15</v>
      </c>
    </row>
    <row r="2669" spans="1:9" ht="15" customHeight="1" x14ac:dyDescent="0.25">
      <c r="A2669" s="87" t="s">
        <v>38</v>
      </c>
      <c r="B2669" s="87" t="s">
        <v>679</v>
      </c>
      <c r="C2669" s="87">
        <v>2002</v>
      </c>
      <c r="D2669" s="87" t="s">
        <v>15</v>
      </c>
      <c r="E2669" s="116">
        <v>966</v>
      </c>
      <c r="F2669" s="87" t="s">
        <v>967</v>
      </c>
      <c r="G2669" s="87" t="s">
        <v>272</v>
      </c>
      <c r="H2669" s="87" t="s">
        <v>967</v>
      </c>
      <c r="I2669" s="87">
        <v>15</v>
      </c>
    </row>
    <row r="2670" spans="1:9" ht="15" customHeight="1" x14ac:dyDescent="0.25">
      <c r="A2670" s="87" t="s">
        <v>38</v>
      </c>
      <c r="B2670" s="87" t="s">
        <v>679</v>
      </c>
      <c r="C2670" s="87">
        <v>2003</v>
      </c>
      <c r="D2670" s="87" t="s">
        <v>15</v>
      </c>
      <c r="E2670" s="116">
        <v>138</v>
      </c>
      <c r="F2670" s="87" t="s">
        <v>967</v>
      </c>
      <c r="G2670" s="87" t="s">
        <v>272</v>
      </c>
      <c r="H2670" s="87" t="s">
        <v>680</v>
      </c>
      <c r="I2670" s="87">
        <v>15</v>
      </c>
    </row>
    <row r="2671" spans="1:9" ht="15" customHeight="1" x14ac:dyDescent="0.25">
      <c r="A2671" s="87" t="s">
        <v>38</v>
      </c>
      <c r="B2671" s="87" t="s">
        <v>679</v>
      </c>
      <c r="C2671" s="87">
        <v>2004</v>
      </c>
      <c r="D2671" s="87" t="s">
        <v>15</v>
      </c>
      <c r="E2671" s="116">
        <v>385</v>
      </c>
      <c r="F2671" s="87" t="s">
        <v>967</v>
      </c>
      <c r="G2671" s="87" t="s">
        <v>272</v>
      </c>
      <c r="H2671" s="87" t="s">
        <v>681</v>
      </c>
      <c r="I2671" s="87">
        <v>15</v>
      </c>
    </row>
    <row r="2672" spans="1:9" ht="15" customHeight="1" x14ac:dyDescent="0.25">
      <c r="A2672" s="87" t="s">
        <v>38</v>
      </c>
      <c r="B2672" s="87" t="s">
        <v>679</v>
      </c>
      <c r="C2672" s="87">
        <v>2005</v>
      </c>
      <c r="D2672" s="87" t="s">
        <v>15</v>
      </c>
      <c r="E2672" s="116">
        <v>351</v>
      </c>
      <c r="F2672" s="87" t="s">
        <v>967</v>
      </c>
      <c r="G2672" s="87" t="s">
        <v>272</v>
      </c>
      <c r="H2672" s="87" t="s">
        <v>967</v>
      </c>
      <c r="I2672" s="87">
        <v>15</v>
      </c>
    </row>
    <row r="2673" spans="1:9" ht="15" customHeight="1" x14ac:dyDescent="0.25">
      <c r="A2673" s="87" t="s">
        <v>38</v>
      </c>
      <c r="B2673" s="87" t="s">
        <v>679</v>
      </c>
      <c r="C2673" s="87">
        <v>2006</v>
      </c>
      <c r="D2673" s="87" t="s">
        <v>15</v>
      </c>
      <c r="E2673" s="116">
        <v>74</v>
      </c>
      <c r="F2673" s="87" t="s">
        <v>967</v>
      </c>
      <c r="G2673" s="87" t="s">
        <v>272</v>
      </c>
      <c r="H2673" s="87" t="s">
        <v>682</v>
      </c>
      <c r="I2673" s="87">
        <v>15</v>
      </c>
    </row>
    <row r="2674" spans="1:9" ht="15" customHeight="1" x14ac:dyDescent="0.25">
      <c r="A2674" s="87" t="s">
        <v>38</v>
      </c>
      <c r="B2674" s="87" t="s">
        <v>679</v>
      </c>
      <c r="C2674" s="87">
        <v>2007</v>
      </c>
      <c r="D2674" s="87" t="s">
        <v>15</v>
      </c>
      <c r="E2674" s="116">
        <v>280</v>
      </c>
      <c r="F2674" s="87" t="s">
        <v>967</v>
      </c>
      <c r="G2674" s="87" t="s">
        <v>272</v>
      </c>
      <c r="H2674" s="87" t="s">
        <v>967</v>
      </c>
      <c r="I2674" s="87">
        <v>15</v>
      </c>
    </row>
    <row r="2675" spans="1:9" ht="15" customHeight="1" x14ac:dyDescent="0.25">
      <c r="A2675" s="87" t="s">
        <v>38</v>
      </c>
      <c r="B2675" s="87" t="s">
        <v>679</v>
      </c>
      <c r="C2675" s="87">
        <v>2008</v>
      </c>
      <c r="D2675" s="87" t="s">
        <v>15</v>
      </c>
      <c r="E2675" s="116">
        <v>349</v>
      </c>
      <c r="F2675" s="87" t="s">
        <v>967</v>
      </c>
      <c r="G2675" s="87" t="s">
        <v>272</v>
      </c>
      <c r="H2675" s="87" t="s">
        <v>967</v>
      </c>
      <c r="I2675" s="87">
        <v>15</v>
      </c>
    </row>
    <row r="2676" spans="1:9" ht="15" customHeight="1" x14ac:dyDescent="0.25">
      <c r="A2676" s="87" t="s">
        <v>38</v>
      </c>
      <c r="B2676" s="87" t="s">
        <v>679</v>
      </c>
      <c r="C2676" s="87">
        <v>2009</v>
      </c>
      <c r="D2676" s="87" t="s">
        <v>15</v>
      </c>
      <c r="E2676" s="116">
        <v>451</v>
      </c>
      <c r="F2676" s="87" t="s">
        <v>967</v>
      </c>
      <c r="G2676" s="87" t="s">
        <v>272</v>
      </c>
      <c r="H2676" s="87" t="s">
        <v>967</v>
      </c>
      <c r="I2676" s="87">
        <v>15</v>
      </c>
    </row>
    <row r="2677" spans="1:9" ht="15" customHeight="1" x14ac:dyDescent="0.25">
      <c r="A2677" s="87" t="s">
        <v>38</v>
      </c>
      <c r="B2677" s="87" t="s">
        <v>679</v>
      </c>
      <c r="C2677" s="87">
        <v>2010</v>
      </c>
      <c r="D2677" s="87" t="s">
        <v>15</v>
      </c>
      <c r="E2677" s="116">
        <v>98</v>
      </c>
      <c r="F2677" s="87" t="s">
        <v>967</v>
      </c>
      <c r="G2677" s="87" t="s">
        <v>272</v>
      </c>
      <c r="H2677" s="87" t="s">
        <v>967</v>
      </c>
      <c r="I2677" s="87">
        <v>15</v>
      </c>
    </row>
    <row r="2678" spans="1:9" ht="15" customHeight="1" x14ac:dyDescent="0.25">
      <c r="A2678" s="87" t="s">
        <v>38</v>
      </c>
      <c r="B2678" s="87" t="s">
        <v>679</v>
      </c>
      <c r="C2678" s="87">
        <v>2011</v>
      </c>
      <c r="D2678" s="87" t="s">
        <v>15</v>
      </c>
      <c r="E2678" s="116">
        <v>52</v>
      </c>
      <c r="F2678" s="87" t="s">
        <v>967</v>
      </c>
      <c r="G2678" s="87" t="s">
        <v>272</v>
      </c>
      <c r="H2678" s="87" t="s">
        <v>967</v>
      </c>
      <c r="I2678" s="87">
        <v>15</v>
      </c>
    </row>
    <row r="2679" spans="1:9" ht="15" customHeight="1" x14ac:dyDescent="0.25">
      <c r="A2679" s="87" t="s">
        <v>38</v>
      </c>
      <c r="B2679" s="87" t="s">
        <v>679</v>
      </c>
      <c r="C2679" s="87">
        <v>2012</v>
      </c>
      <c r="D2679" s="87" t="s">
        <v>15</v>
      </c>
      <c r="E2679" s="116">
        <v>234</v>
      </c>
      <c r="F2679" s="87" t="s">
        <v>967</v>
      </c>
      <c r="G2679" s="87" t="s">
        <v>272</v>
      </c>
      <c r="H2679" s="87" t="s">
        <v>967</v>
      </c>
      <c r="I2679" s="87">
        <v>15</v>
      </c>
    </row>
    <row r="2680" spans="1:9" ht="15" customHeight="1" x14ac:dyDescent="0.25">
      <c r="A2680" s="87" t="s">
        <v>38</v>
      </c>
      <c r="B2680" s="87" t="s">
        <v>679</v>
      </c>
      <c r="C2680" s="87">
        <v>2013</v>
      </c>
      <c r="D2680" s="87" t="s">
        <v>15</v>
      </c>
      <c r="E2680" s="116">
        <v>194</v>
      </c>
      <c r="F2680" s="87" t="s">
        <v>967</v>
      </c>
      <c r="G2680" s="87" t="s">
        <v>272</v>
      </c>
      <c r="H2680" s="87" t="s">
        <v>967</v>
      </c>
      <c r="I2680" s="87">
        <v>15</v>
      </c>
    </row>
    <row r="2681" spans="1:9" ht="15" customHeight="1" x14ac:dyDescent="0.25">
      <c r="A2681" s="87" t="s">
        <v>38</v>
      </c>
      <c r="B2681" s="87" t="s">
        <v>679</v>
      </c>
      <c r="C2681" s="87">
        <v>2014</v>
      </c>
      <c r="D2681" s="87" t="s">
        <v>15</v>
      </c>
      <c r="E2681" s="116">
        <v>326</v>
      </c>
      <c r="F2681" s="87" t="s">
        <v>967</v>
      </c>
      <c r="G2681" s="87" t="s">
        <v>272</v>
      </c>
      <c r="H2681" s="87" t="s">
        <v>967</v>
      </c>
      <c r="I2681" s="87">
        <v>15</v>
      </c>
    </row>
    <row r="2682" spans="1:9" ht="15" customHeight="1" x14ac:dyDescent="0.25">
      <c r="A2682" s="87" t="s">
        <v>38</v>
      </c>
      <c r="B2682" s="87" t="s">
        <v>679</v>
      </c>
      <c r="C2682" s="87">
        <v>2015</v>
      </c>
      <c r="D2682" s="87" t="s">
        <v>15</v>
      </c>
      <c r="E2682" s="116">
        <v>72</v>
      </c>
      <c r="F2682" s="87" t="s">
        <v>967</v>
      </c>
      <c r="G2682" s="87" t="s">
        <v>272</v>
      </c>
      <c r="H2682" s="87" t="s">
        <v>683</v>
      </c>
      <c r="I2682" s="87">
        <v>15</v>
      </c>
    </row>
    <row r="2683" spans="1:9" ht="15" customHeight="1" x14ac:dyDescent="0.25">
      <c r="A2683" s="87" t="s">
        <v>38</v>
      </c>
      <c r="B2683" s="87" t="s">
        <v>679</v>
      </c>
      <c r="C2683" s="87">
        <v>2016</v>
      </c>
      <c r="D2683" s="87" t="s">
        <v>15</v>
      </c>
      <c r="E2683" s="116">
        <v>106</v>
      </c>
      <c r="F2683" s="87" t="s">
        <v>967</v>
      </c>
      <c r="G2683" s="87" t="s">
        <v>272</v>
      </c>
      <c r="H2683" s="87" t="s">
        <v>684</v>
      </c>
      <c r="I2683" s="87">
        <v>15</v>
      </c>
    </row>
    <row r="2684" spans="1:9" ht="15" customHeight="1" x14ac:dyDescent="0.25">
      <c r="A2684" s="87" t="s">
        <v>38</v>
      </c>
      <c r="B2684" s="87" t="s">
        <v>679</v>
      </c>
      <c r="C2684" s="87">
        <v>2017</v>
      </c>
      <c r="D2684" s="87" t="s">
        <v>15</v>
      </c>
      <c r="E2684" s="116">
        <v>46</v>
      </c>
      <c r="F2684" s="87" t="s">
        <v>967</v>
      </c>
      <c r="G2684" s="87" t="s">
        <v>272</v>
      </c>
      <c r="H2684" s="87" t="s">
        <v>967</v>
      </c>
      <c r="I2684" s="87">
        <v>15</v>
      </c>
    </row>
    <row r="2685" spans="1:9" ht="15" customHeight="1" x14ac:dyDescent="0.25">
      <c r="A2685" s="87" t="s">
        <v>38</v>
      </c>
      <c r="B2685" s="87" t="s">
        <v>679</v>
      </c>
      <c r="C2685" s="87">
        <v>2018</v>
      </c>
      <c r="D2685" s="87" t="s">
        <v>15</v>
      </c>
      <c r="E2685" s="116">
        <v>52</v>
      </c>
      <c r="F2685" s="87" t="s">
        <v>967</v>
      </c>
      <c r="G2685" s="87" t="s">
        <v>272</v>
      </c>
      <c r="H2685" s="87" t="s">
        <v>967</v>
      </c>
      <c r="I2685" s="87">
        <v>15</v>
      </c>
    </row>
    <row r="2686" spans="1:9" ht="15" customHeight="1" x14ac:dyDescent="0.25">
      <c r="A2686" s="87" t="s">
        <v>38</v>
      </c>
      <c r="B2686" s="87" t="s">
        <v>679</v>
      </c>
      <c r="C2686" s="87">
        <v>2019</v>
      </c>
      <c r="D2686" s="87" t="s">
        <v>15</v>
      </c>
      <c r="E2686" s="116">
        <v>2</v>
      </c>
      <c r="F2686" s="87" t="s">
        <v>967</v>
      </c>
      <c r="G2686" s="87" t="s">
        <v>272</v>
      </c>
      <c r="H2686" s="87" t="s">
        <v>967</v>
      </c>
      <c r="I2686" s="87">
        <v>15</v>
      </c>
    </row>
    <row r="2687" spans="1:9" ht="15" customHeight="1" x14ac:dyDescent="0.25">
      <c r="A2687" s="87" t="s">
        <v>38</v>
      </c>
      <c r="B2687" s="87" t="s">
        <v>679</v>
      </c>
      <c r="C2687" s="87">
        <v>2020</v>
      </c>
      <c r="D2687" s="87" t="s">
        <v>15</v>
      </c>
      <c r="E2687" s="116">
        <v>197</v>
      </c>
      <c r="F2687" s="87" t="s">
        <v>967</v>
      </c>
      <c r="G2687" s="87" t="s">
        <v>272</v>
      </c>
      <c r="H2687" s="87" t="s">
        <v>967</v>
      </c>
      <c r="I2687" s="87">
        <v>15</v>
      </c>
    </row>
    <row r="2688" spans="1:9" ht="15" customHeight="1" x14ac:dyDescent="0.25">
      <c r="A2688" s="87" t="s">
        <v>38</v>
      </c>
      <c r="B2688" s="87" t="s">
        <v>679</v>
      </c>
      <c r="C2688" s="87">
        <v>2021</v>
      </c>
      <c r="D2688" s="87" t="s">
        <v>15</v>
      </c>
      <c r="E2688" s="116">
        <v>337</v>
      </c>
      <c r="F2688" s="87" t="s">
        <v>967</v>
      </c>
      <c r="G2688" s="87" t="s">
        <v>272</v>
      </c>
      <c r="H2688" s="87" t="s">
        <v>967</v>
      </c>
      <c r="I2688" s="87">
        <v>15</v>
      </c>
    </row>
    <row r="2689" spans="1:9" ht="15" customHeight="1" x14ac:dyDescent="0.25">
      <c r="A2689" s="87" t="s">
        <v>38</v>
      </c>
      <c r="B2689" s="87" t="s">
        <v>679</v>
      </c>
      <c r="C2689" s="87">
        <v>2022</v>
      </c>
      <c r="D2689" s="87" t="s">
        <v>15</v>
      </c>
      <c r="E2689" s="116">
        <v>348</v>
      </c>
      <c r="F2689" s="87" t="s">
        <v>967</v>
      </c>
      <c r="G2689" s="87" t="s">
        <v>272</v>
      </c>
      <c r="H2689" s="87" t="s">
        <v>967</v>
      </c>
      <c r="I2689" s="87">
        <v>15</v>
      </c>
    </row>
    <row r="2690" spans="1:9" ht="15" customHeight="1" x14ac:dyDescent="0.25">
      <c r="A2690" s="87" t="s">
        <v>38</v>
      </c>
      <c r="B2690" s="87" t="s">
        <v>347</v>
      </c>
      <c r="C2690" s="87">
        <v>1975</v>
      </c>
      <c r="D2690" s="87" t="s">
        <v>15</v>
      </c>
      <c r="E2690" s="116">
        <v>-1</v>
      </c>
      <c r="F2690" s="87" t="s">
        <v>900</v>
      </c>
      <c r="G2690" s="87" t="s">
        <v>272</v>
      </c>
      <c r="H2690" s="87" t="s">
        <v>900</v>
      </c>
      <c r="I2690" s="87">
        <v>6</v>
      </c>
    </row>
    <row r="2691" spans="1:9" ht="15" customHeight="1" x14ac:dyDescent="0.25">
      <c r="A2691" s="87" t="s">
        <v>38</v>
      </c>
      <c r="B2691" s="87" t="s">
        <v>347</v>
      </c>
      <c r="C2691" s="87">
        <v>1976</v>
      </c>
      <c r="D2691" s="87" t="s">
        <v>15</v>
      </c>
      <c r="E2691" s="116">
        <v>-1</v>
      </c>
      <c r="F2691" s="87" t="s">
        <v>900</v>
      </c>
      <c r="G2691" s="87" t="s">
        <v>272</v>
      </c>
      <c r="H2691" s="87" t="s">
        <v>900</v>
      </c>
      <c r="I2691" s="87">
        <v>6</v>
      </c>
    </row>
    <row r="2692" spans="1:9" ht="15" customHeight="1" x14ac:dyDescent="0.25">
      <c r="A2692" s="87" t="s">
        <v>38</v>
      </c>
      <c r="B2692" s="87" t="s">
        <v>347</v>
      </c>
      <c r="C2692" s="87">
        <v>1977</v>
      </c>
      <c r="D2692" s="87" t="s">
        <v>15</v>
      </c>
      <c r="E2692" s="116">
        <v>5</v>
      </c>
      <c r="F2692" s="87" t="s">
        <v>508</v>
      </c>
      <c r="G2692" s="87" t="s">
        <v>967</v>
      </c>
      <c r="H2692" s="87" t="s">
        <v>508</v>
      </c>
      <c r="I2692" s="87">
        <v>6</v>
      </c>
    </row>
    <row r="2693" spans="1:9" ht="15" customHeight="1" x14ac:dyDescent="0.25">
      <c r="A2693" s="87" t="s">
        <v>38</v>
      </c>
      <c r="B2693" s="87" t="s">
        <v>347</v>
      </c>
      <c r="C2693" s="87">
        <v>1978</v>
      </c>
      <c r="D2693" s="87" t="s">
        <v>15</v>
      </c>
      <c r="E2693" s="116">
        <v>20</v>
      </c>
      <c r="F2693" s="87" t="s">
        <v>508</v>
      </c>
      <c r="G2693" s="87" t="s">
        <v>967</v>
      </c>
      <c r="H2693" s="87" t="s">
        <v>508</v>
      </c>
      <c r="I2693" s="87">
        <v>6</v>
      </c>
    </row>
    <row r="2694" spans="1:9" ht="15" customHeight="1" x14ac:dyDescent="0.25">
      <c r="A2694" s="87" t="s">
        <v>38</v>
      </c>
      <c r="B2694" s="87" t="s">
        <v>347</v>
      </c>
      <c r="C2694" s="87">
        <v>1979</v>
      </c>
      <c r="D2694" s="87" t="s">
        <v>15</v>
      </c>
      <c r="E2694" s="116">
        <v>10</v>
      </c>
      <c r="F2694" s="87" t="s">
        <v>508</v>
      </c>
      <c r="G2694" s="87" t="s">
        <v>967</v>
      </c>
      <c r="H2694" s="87" t="s">
        <v>508</v>
      </c>
      <c r="I2694" s="87">
        <v>6</v>
      </c>
    </row>
    <row r="2695" spans="1:9" ht="15" customHeight="1" x14ac:dyDescent="0.25">
      <c r="A2695" s="87" t="s">
        <v>38</v>
      </c>
      <c r="B2695" s="87" t="s">
        <v>347</v>
      </c>
      <c r="C2695" s="87">
        <v>1980</v>
      </c>
      <c r="D2695" s="87" t="s">
        <v>15</v>
      </c>
      <c r="E2695" s="116">
        <v>4</v>
      </c>
      <c r="F2695" s="87" t="s">
        <v>508</v>
      </c>
      <c r="G2695" s="87" t="s">
        <v>967</v>
      </c>
      <c r="H2695" s="87" t="s">
        <v>508</v>
      </c>
      <c r="I2695" s="87">
        <v>6</v>
      </c>
    </row>
    <row r="2696" spans="1:9" ht="15" customHeight="1" x14ac:dyDescent="0.25">
      <c r="A2696" s="87" t="s">
        <v>38</v>
      </c>
      <c r="B2696" s="87" t="s">
        <v>347</v>
      </c>
      <c r="C2696" s="87">
        <v>1981</v>
      </c>
      <c r="D2696" s="87" t="s">
        <v>15</v>
      </c>
      <c r="E2696" s="116">
        <v>10</v>
      </c>
      <c r="F2696" s="87" t="s">
        <v>508</v>
      </c>
      <c r="G2696" s="87" t="s">
        <v>967</v>
      </c>
      <c r="H2696" s="87" t="s">
        <v>508</v>
      </c>
      <c r="I2696" s="87">
        <v>6</v>
      </c>
    </row>
    <row r="2697" spans="1:9" ht="15" customHeight="1" x14ac:dyDescent="0.25">
      <c r="A2697" s="87" t="s">
        <v>38</v>
      </c>
      <c r="B2697" s="87" t="s">
        <v>347</v>
      </c>
      <c r="C2697" s="87">
        <v>1982</v>
      </c>
      <c r="D2697" s="87" t="s">
        <v>15</v>
      </c>
      <c r="E2697" s="116">
        <v>40</v>
      </c>
      <c r="F2697" s="87" t="s">
        <v>508</v>
      </c>
      <c r="G2697" s="87" t="s">
        <v>967</v>
      </c>
      <c r="H2697" s="87" t="s">
        <v>508</v>
      </c>
      <c r="I2697" s="87">
        <v>6</v>
      </c>
    </row>
    <row r="2698" spans="1:9" ht="15" customHeight="1" x14ac:dyDescent="0.25">
      <c r="A2698" s="87" t="s">
        <v>38</v>
      </c>
      <c r="B2698" s="87" t="s">
        <v>347</v>
      </c>
      <c r="C2698" s="87">
        <v>1983</v>
      </c>
      <c r="D2698" s="87" t="s">
        <v>15</v>
      </c>
      <c r="E2698" s="116">
        <v>15</v>
      </c>
      <c r="F2698" s="87" t="s">
        <v>508</v>
      </c>
      <c r="G2698" s="87" t="s">
        <v>967</v>
      </c>
      <c r="H2698" s="87" t="s">
        <v>508</v>
      </c>
      <c r="I2698" s="87">
        <v>6</v>
      </c>
    </row>
    <row r="2699" spans="1:9" ht="15" customHeight="1" x14ac:dyDescent="0.25">
      <c r="A2699" s="87" t="s">
        <v>38</v>
      </c>
      <c r="B2699" s="87" t="s">
        <v>347</v>
      </c>
      <c r="C2699" s="87">
        <v>1984</v>
      </c>
      <c r="D2699" s="87" t="s">
        <v>15</v>
      </c>
      <c r="E2699" s="116">
        <v>12</v>
      </c>
      <c r="F2699" s="87" t="s">
        <v>508</v>
      </c>
      <c r="G2699" s="87" t="s">
        <v>967</v>
      </c>
      <c r="H2699" s="87" t="s">
        <v>508</v>
      </c>
      <c r="I2699" s="87">
        <v>6</v>
      </c>
    </row>
    <row r="2700" spans="1:9" ht="15" customHeight="1" x14ac:dyDescent="0.25">
      <c r="A2700" s="87" t="s">
        <v>38</v>
      </c>
      <c r="B2700" s="87" t="s">
        <v>347</v>
      </c>
      <c r="C2700" s="87">
        <v>1985</v>
      </c>
      <c r="D2700" s="87" t="s">
        <v>15</v>
      </c>
      <c r="E2700" s="116">
        <v>5</v>
      </c>
      <c r="F2700" s="87" t="s">
        <v>508</v>
      </c>
      <c r="G2700" s="87" t="s">
        <v>967</v>
      </c>
      <c r="H2700" s="87" t="s">
        <v>508</v>
      </c>
      <c r="I2700" s="87">
        <v>6</v>
      </c>
    </row>
    <row r="2701" spans="1:9" ht="15" customHeight="1" x14ac:dyDescent="0.25">
      <c r="A2701" s="87" t="s">
        <v>38</v>
      </c>
      <c r="B2701" s="87" t="s">
        <v>347</v>
      </c>
      <c r="C2701" s="87">
        <v>1986</v>
      </c>
      <c r="D2701" s="87" t="s">
        <v>15</v>
      </c>
      <c r="E2701" s="116">
        <v>40</v>
      </c>
      <c r="F2701" s="87" t="s">
        <v>508</v>
      </c>
      <c r="G2701" s="87" t="s">
        <v>967</v>
      </c>
      <c r="H2701" s="87" t="s">
        <v>508</v>
      </c>
      <c r="I2701" s="87">
        <v>6</v>
      </c>
    </row>
    <row r="2702" spans="1:9" ht="15" customHeight="1" x14ac:dyDescent="0.25">
      <c r="A2702" s="87" t="s">
        <v>38</v>
      </c>
      <c r="B2702" s="87" t="s">
        <v>347</v>
      </c>
      <c r="C2702" s="87">
        <v>1987</v>
      </c>
      <c r="D2702" s="87" t="s">
        <v>15</v>
      </c>
      <c r="E2702" s="116">
        <v>15</v>
      </c>
      <c r="F2702" s="87" t="s">
        <v>508</v>
      </c>
      <c r="G2702" s="87" t="s">
        <v>967</v>
      </c>
      <c r="H2702" s="87" t="s">
        <v>508</v>
      </c>
      <c r="I2702" s="87">
        <v>6</v>
      </c>
    </row>
    <row r="2703" spans="1:9" ht="15" customHeight="1" x14ac:dyDescent="0.25">
      <c r="A2703" s="87" t="s">
        <v>38</v>
      </c>
      <c r="B2703" s="87" t="s">
        <v>347</v>
      </c>
      <c r="C2703" s="87">
        <v>1988</v>
      </c>
      <c r="D2703" s="87" t="s">
        <v>15</v>
      </c>
      <c r="E2703" s="116">
        <v>75</v>
      </c>
      <c r="F2703" s="87" t="s">
        <v>508</v>
      </c>
      <c r="G2703" s="87" t="s">
        <v>967</v>
      </c>
      <c r="H2703" s="87" t="s">
        <v>508</v>
      </c>
      <c r="I2703" s="87">
        <v>6</v>
      </c>
    </row>
    <row r="2704" spans="1:9" ht="15" customHeight="1" x14ac:dyDescent="0.25">
      <c r="A2704" s="87" t="s">
        <v>38</v>
      </c>
      <c r="B2704" s="87" t="s">
        <v>347</v>
      </c>
      <c r="C2704" s="87">
        <v>1989</v>
      </c>
      <c r="D2704" s="87" t="s">
        <v>15</v>
      </c>
      <c r="E2704" s="116">
        <v>-1</v>
      </c>
      <c r="F2704" s="87" t="s">
        <v>900</v>
      </c>
      <c r="G2704" s="87" t="s">
        <v>272</v>
      </c>
      <c r="H2704" s="87" t="s">
        <v>900</v>
      </c>
      <c r="I2704" s="87">
        <v>6</v>
      </c>
    </row>
    <row r="2705" spans="1:9" ht="15" customHeight="1" x14ac:dyDescent="0.25">
      <c r="A2705" s="87" t="s">
        <v>38</v>
      </c>
      <c r="B2705" s="87" t="s">
        <v>347</v>
      </c>
      <c r="C2705" s="87">
        <v>1990</v>
      </c>
      <c r="D2705" s="87" t="s">
        <v>15</v>
      </c>
      <c r="E2705" s="116">
        <v>40</v>
      </c>
      <c r="F2705" s="87" t="s">
        <v>508</v>
      </c>
      <c r="G2705" s="87" t="s">
        <v>967</v>
      </c>
      <c r="H2705" s="87" t="s">
        <v>508</v>
      </c>
      <c r="I2705" s="87">
        <v>6</v>
      </c>
    </row>
    <row r="2706" spans="1:9" ht="15" customHeight="1" x14ac:dyDescent="0.25">
      <c r="A2706" s="87" t="s">
        <v>38</v>
      </c>
      <c r="B2706" s="87" t="s">
        <v>347</v>
      </c>
      <c r="C2706" s="87">
        <v>1991</v>
      </c>
      <c r="D2706" s="87" t="s">
        <v>15</v>
      </c>
      <c r="E2706" s="116">
        <v>14</v>
      </c>
      <c r="F2706" s="87" t="s">
        <v>508</v>
      </c>
      <c r="G2706" s="87" t="s">
        <v>967</v>
      </c>
      <c r="H2706" s="87" t="s">
        <v>508</v>
      </c>
      <c r="I2706" s="87">
        <v>6</v>
      </c>
    </row>
    <row r="2707" spans="1:9" ht="15" customHeight="1" x14ac:dyDescent="0.25">
      <c r="A2707" s="87" t="s">
        <v>38</v>
      </c>
      <c r="B2707" s="87" t="s">
        <v>347</v>
      </c>
      <c r="C2707" s="87">
        <v>1992</v>
      </c>
      <c r="D2707" s="87" t="s">
        <v>15</v>
      </c>
      <c r="E2707" s="116">
        <v>15</v>
      </c>
      <c r="F2707" s="87" t="s">
        <v>508</v>
      </c>
      <c r="G2707" s="87" t="s">
        <v>967</v>
      </c>
      <c r="H2707" s="87" t="s">
        <v>508</v>
      </c>
      <c r="I2707" s="87">
        <v>6</v>
      </c>
    </row>
    <row r="2708" spans="1:9" ht="15" customHeight="1" x14ac:dyDescent="0.25">
      <c r="A2708" s="87" t="s">
        <v>38</v>
      </c>
      <c r="B2708" s="87" t="s">
        <v>347</v>
      </c>
      <c r="C2708" s="87">
        <v>1993</v>
      </c>
      <c r="D2708" s="87" t="s">
        <v>15</v>
      </c>
      <c r="E2708" s="116">
        <v>-1</v>
      </c>
      <c r="F2708" s="87" t="s">
        <v>900</v>
      </c>
      <c r="G2708" s="87" t="s">
        <v>272</v>
      </c>
      <c r="H2708" s="87" t="s">
        <v>900</v>
      </c>
      <c r="I2708" s="87">
        <v>6</v>
      </c>
    </row>
    <row r="2709" spans="1:9" ht="15" customHeight="1" x14ac:dyDescent="0.25">
      <c r="A2709" s="87" t="s">
        <v>38</v>
      </c>
      <c r="B2709" s="87" t="s">
        <v>347</v>
      </c>
      <c r="C2709" s="87">
        <v>1994</v>
      </c>
      <c r="D2709" s="87" t="s">
        <v>15</v>
      </c>
      <c r="E2709" s="116">
        <v>-1</v>
      </c>
      <c r="F2709" s="87" t="s">
        <v>900</v>
      </c>
      <c r="G2709" s="87" t="s">
        <v>272</v>
      </c>
      <c r="H2709" s="87" t="s">
        <v>900</v>
      </c>
      <c r="I2709" s="87">
        <v>6</v>
      </c>
    </row>
    <row r="2710" spans="1:9" ht="15" customHeight="1" x14ac:dyDescent="0.25">
      <c r="A2710" s="87" t="s">
        <v>38</v>
      </c>
      <c r="B2710" s="87" t="s">
        <v>347</v>
      </c>
      <c r="C2710" s="87">
        <v>1995</v>
      </c>
      <c r="D2710" s="87" t="s">
        <v>15</v>
      </c>
      <c r="E2710" s="116">
        <v>23</v>
      </c>
      <c r="F2710" s="87" t="s">
        <v>967</v>
      </c>
      <c r="G2710" s="87" t="s">
        <v>967</v>
      </c>
      <c r="H2710" s="87" t="s">
        <v>967</v>
      </c>
      <c r="I2710" s="87">
        <v>6</v>
      </c>
    </row>
    <row r="2711" spans="1:9" ht="15" customHeight="1" x14ac:dyDescent="0.25">
      <c r="A2711" s="87" t="s">
        <v>38</v>
      </c>
      <c r="B2711" s="87" t="s">
        <v>347</v>
      </c>
      <c r="C2711" s="87">
        <v>1996</v>
      </c>
      <c r="D2711" s="87" t="s">
        <v>15</v>
      </c>
      <c r="E2711" s="116">
        <v>0</v>
      </c>
      <c r="F2711" s="87" t="s">
        <v>531</v>
      </c>
      <c r="G2711" s="87" t="s">
        <v>967</v>
      </c>
      <c r="H2711" s="87" t="s">
        <v>967</v>
      </c>
      <c r="I2711" s="87">
        <v>6</v>
      </c>
    </row>
    <row r="2712" spans="1:9" ht="15" customHeight="1" x14ac:dyDescent="0.25">
      <c r="A2712" s="87" t="s">
        <v>38</v>
      </c>
      <c r="B2712" s="87" t="s">
        <v>347</v>
      </c>
      <c r="C2712" s="87">
        <v>1997</v>
      </c>
      <c r="D2712" s="87" t="s">
        <v>15</v>
      </c>
      <c r="E2712" s="116">
        <v>-1</v>
      </c>
      <c r="F2712" s="87" t="s">
        <v>900</v>
      </c>
      <c r="G2712" s="87" t="s">
        <v>272</v>
      </c>
      <c r="H2712" s="87" t="s">
        <v>899</v>
      </c>
      <c r="I2712" s="87">
        <v>6</v>
      </c>
    </row>
    <row r="2713" spans="1:9" ht="15" customHeight="1" x14ac:dyDescent="0.25">
      <c r="A2713" s="87" t="s">
        <v>38</v>
      </c>
      <c r="B2713" s="87" t="s">
        <v>347</v>
      </c>
      <c r="C2713" s="87">
        <v>1998</v>
      </c>
      <c r="D2713" s="87" t="s">
        <v>15</v>
      </c>
      <c r="E2713" s="116">
        <v>20</v>
      </c>
      <c r="F2713" s="87" t="s">
        <v>967</v>
      </c>
      <c r="G2713" s="87" t="s">
        <v>272</v>
      </c>
      <c r="H2713" s="87" t="s">
        <v>708</v>
      </c>
      <c r="I2713" s="87">
        <v>6</v>
      </c>
    </row>
    <row r="2714" spans="1:9" ht="15" customHeight="1" x14ac:dyDescent="0.25">
      <c r="A2714" s="87" t="s">
        <v>38</v>
      </c>
      <c r="B2714" s="87" t="s">
        <v>347</v>
      </c>
      <c r="C2714" s="87">
        <v>1999</v>
      </c>
      <c r="D2714" s="87" t="s">
        <v>15</v>
      </c>
      <c r="E2714" s="116">
        <v>-1</v>
      </c>
      <c r="F2714" s="87" t="s">
        <v>911</v>
      </c>
      <c r="G2714" s="87" t="s">
        <v>272</v>
      </c>
      <c r="H2714" s="87" t="s">
        <v>911</v>
      </c>
      <c r="I2714" s="87">
        <v>6</v>
      </c>
    </row>
    <row r="2715" spans="1:9" ht="15" customHeight="1" x14ac:dyDescent="0.25">
      <c r="A2715" s="87" t="s">
        <v>38</v>
      </c>
      <c r="B2715" s="87" t="s">
        <v>347</v>
      </c>
      <c r="C2715" s="87">
        <v>2000</v>
      </c>
      <c r="D2715" s="87" t="s">
        <v>15</v>
      </c>
      <c r="E2715" s="116">
        <v>32</v>
      </c>
      <c r="F2715" s="87" t="s">
        <v>967</v>
      </c>
      <c r="G2715" s="87" t="s">
        <v>272</v>
      </c>
      <c r="H2715" s="87" t="s">
        <v>967</v>
      </c>
      <c r="I2715" s="87">
        <v>6</v>
      </c>
    </row>
    <row r="2716" spans="1:9" ht="15" customHeight="1" x14ac:dyDescent="0.25">
      <c r="A2716" s="87" t="s">
        <v>38</v>
      </c>
      <c r="B2716" s="87" t="s">
        <v>347</v>
      </c>
      <c r="C2716" s="87">
        <v>2001</v>
      </c>
      <c r="D2716" s="87" t="s">
        <v>15</v>
      </c>
      <c r="E2716" s="116">
        <v>9</v>
      </c>
      <c r="F2716" s="87" t="s">
        <v>967</v>
      </c>
      <c r="G2716" s="87" t="s">
        <v>272</v>
      </c>
      <c r="H2716" s="87" t="s">
        <v>967</v>
      </c>
      <c r="I2716" s="87">
        <v>6</v>
      </c>
    </row>
    <row r="2717" spans="1:9" ht="15" customHeight="1" x14ac:dyDescent="0.25">
      <c r="A2717" s="87" t="s">
        <v>38</v>
      </c>
      <c r="B2717" s="87" t="s">
        <v>347</v>
      </c>
      <c r="C2717" s="87">
        <v>2002</v>
      </c>
      <c r="D2717" s="87" t="s">
        <v>15</v>
      </c>
      <c r="E2717" s="116">
        <v>122</v>
      </c>
      <c r="F2717" s="87" t="s">
        <v>967</v>
      </c>
      <c r="G2717" s="87" t="s">
        <v>967</v>
      </c>
      <c r="H2717" s="87" t="s">
        <v>967</v>
      </c>
      <c r="I2717" s="87">
        <v>6</v>
      </c>
    </row>
    <row r="2718" spans="1:9" ht="15" customHeight="1" x14ac:dyDescent="0.25">
      <c r="A2718" s="87" t="s">
        <v>38</v>
      </c>
      <c r="B2718" s="87" t="s">
        <v>347</v>
      </c>
      <c r="C2718" s="87">
        <v>2003</v>
      </c>
      <c r="D2718" s="87" t="s">
        <v>15</v>
      </c>
      <c r="E2718" s="116">
        <v>49</v>
      </c>
      <c r="F2718" s="87" t="s">
        <v>967</v>
      </c>
      <c r="G2718" s="87" t="s">
        <v>272</v>
      </c>
      <c r="H2718" s="87" t="s">
        <v>967</v>
      </c>
      <c r="I2718" s="87">
        <v>6</v>
      </c>
    </row>
    <row r="2719" spans="1:9" ht="15" customHeight="1" x14ac:dyDescent="0.25">
      <c r="A2719" s="87" t="s">
        <v>38</v>
      </c>
      <c r="B2719" s="87" t="s">
        <v>347</v>
      </c>
      <c r="C2719" s="87">
        <v>2004</v>
      </c>
      <c r="D2719" s="87" t="s">
        <v>15</v>
      </c>
      <c r="E2719" s="116">
        <v>68</v>
      </c>
      <c r="F2719" s="87" t="s">
        <v>967</v>
      </c>
      <c r="G2719" s="87" t="s">
        <v>272</v>
      </c>
      <c r="H2719" s="87" t="s">
        <v>967</v>
      </c>
      <c r="I2719" s="87">
        <v>6</v>
      </c>
    </row>
    <row r="2720" spans="1:9" ht="15" customHeight="1" x14ac:dyDescent="0.25">
      <c r="A2720" s="87" t="s">
        <v>38</v>
      </c>
      <c r="B2720" s="87" t="s">
        <v>347</v>
      </c>
      <c r="C2720" s="87">
        <v>2005</v>
      </c>
      <c r="D2720" s="87" t="s">
        <v>15</v>
      </c>
      <c r="E2720" s="116">
        <v>78</v>
      </c>
      <c r="F2720" s="87" t="s">
        <v>967</v>
      </c>
      <c r="G2720" s="87" t="s">
        <v>272</v>
      </c>
      <c r="H2720" s="87" t="s">
        <v>967</v>
      </c>
      <c r="I2720" s="87">
        <v>6</v>
      </c>
    </row>
    <row r="2721" spans="1:9" ht="15" customHeight="1" x14ac:dyDescent="0.25">
      <c r="A2721" s="87" t="s">
        <v>38</v>
      </c>
      <c r="B2721" s="87" t="s">
        <v>347</v>
      </c>
      <c r="C2721" s="87">
        <v>2006</v>
      </c>
      <c r="D2721" s="87" t="s">
        <v>15</v>
      </c>
      <c r="E2721" s="116">
        <v>11</v>
      </c>
      <c r="F2721" s="87" t="s">
        <v>967</v>
      </c>
      <c r="G2721" s="87" t="s">
        <v>272</v>
      </c>
      <c r="H2721" s="87" t="s">
        <v>967</v>
      </c>
      <c r="I2721" s="87">
        <v>6</v>
      </c>
    </row>
    <row r="2722" spans="1:9" ht="15" customHeight="1" x14ac:dyDescent="0.25">
      <c r="A2722" s="87" t="s">
        <v>38</v>
      </c>
      <c r="B2722" s="87" t="s">
        <v>347</v>
      </c>
      <c r="C2722" s="87">
        <v>2007</v>
      </c>
      <c r="D2722" s="87" t="s">
        <v>15</v>
      </c>
      <c r="E2722" s="116">
        <v>17</v>
      </c>
      <c r="F2722" s="87" t="s">
        <v>967</v>
      </c>
      <c r="G2722" s="87" t="s">
        <v>272</v>
      </c>
      <c r="H2722" s="87" t="s">
        <v>967</v>
      </c>
      <c r="I2722" s="87">
        <v>6</v>
      </c>
    </row>
    <row r="2723" spans="1:9" ht="15" customHeight="1" x14ac:dyDescent="0.25">
      <c r="A2723" s="87" t="s">
        <v>38</v>
      </c>
      <c r="B2723" s="87" t="s">
        <v>347</v>
      </c>
      <c r="C2723" s="87">
        <v>2008</v>
      </c>
      <c r="D2723" s="87" t="s">
        <v>15</v>
      </c>
      <c r="E2723" s="116">
        <v>18</v>
      </c>
      <c r="F2723" s="87" t="s">
        <v>967</v>
      </c>
      <c r="G2723" s="87" t="s">
        <v>272</v>
      </c>
      <c r="H2723" s="87" t="s">
        <v>967</v>
      </c>
      <c r="I2723" s="87">
        <v>6</v>
      </c>
    </row>
    <row r="2724" spans="1:9" ht="15" customHeight="1" x14ac:dyDescent="0.25">
      <c r="A2724" s="87" t="s">
        <v>38</v>
      </c>
      <c r="B2724" s="87" t="s">
        <v>347</v>
      </c>
      <c r="C2724" s="87">
        <v>2009</v>
      </c>
      <c r="D2724" s="87" t="s">
        <v>15</v>
      </c>
      <c r="E2724" s="116">
        <v>118</v>
      </c>
      <c r="F2724" s="87" t="s">
        <v>967</v>
      </c>
      <c r="G2724" s="87" t="s">
        <v>272</v>
      </c>
      <c r="H2724" s="87" t="s">
        <v>967</v>
      </c>
      <c r="I2724" s="87">
        <v>6</v>
      </c>
    </row>
    <row r="2725" spans="1:9" ht="15" customHeight="1" x14ac:dyDescent="0.25">
      <c r="A2725" s="87" t="s">
        <v>38</v>
      </c>
      <c r="B2725" s="87" t="s">
        <v>347</v>
      </c>
      <c r="C2725" s="87">
        <v>2010</v>
      </c>
      <c r="D2725" s="87" t="s">
        <v>15</v>
      </c>
      <c r="E2725" s="116">
        <v>29</v>
      </c>
      <c r="F2725" s="87" t="s">
        <v>967</v>
      </c>
      <c r="G2725" s="87" t="s">
        <v>272</v>
      </c>
      <c r="H2725" s="87" t="s">
        <v>967</v>
      </c>
      <c r="I2725" s="87">
        <v>6</v>
      </c>
    </row>
    <row r="2726" spans="1:9" ht="15" customHeight="1" x14ac:dyDescent="0.25">
      <c r="A2726" s="87" t="s">
        <v>38</v>
      </c>
      <c r="B2726" s="87" t="s">
        <v>347</v>
      </c>
      <c r="C2726" s="87">
        <v>2011</v>
      </c>
      <c r="D2726" s="87" t="s">
        <v>15</v>
      </c>
      <c r="E2726" s="116">
        <v>35</v>
      </c>
      <c r="F2726" s="87" t="s">
        <v>967</v>
      </c>
      <c r="G2726" s="87" t="s">
        <v>272</v>
      </c>
      <c r="H2726" s="87" t="s">
        <v>967</v>
      </c>
      <c r="I2726" s="87">
        <v>6</v>
      </c>
    </row>
    <row r="2727" spans="1:9" ht="15" customHeight="1" x14ac:dyDescent="0.25">
      <c r="A2727" s="87" t="s">
        <v>38</v>
      </c>
      <c r="B2727" s="87" t="s">
        <v>347</v>
      </c>
      <c r="C2727" s="87">
        <v>2012</v>
      </c>
      <c r="D2727" s="87" t="s">
        <v>15</v>
      </c>
      <c r="E2727" s="116">
        <v>5</v>
      </c>
      <c r="F2727" s="87" t="s">
        <v>967</v>
      </c>
      <c r="G2727" s="87" t="s">
        <v>272</v>
      </c>
      <c r="H2727" s="87" t="s">
        <v>967</v>
      </c>
      <c r="I2727" s="87">
        <v>6</v>
      </c>
    </row>
    <row r="2728" spans="1:9" ht="15" customHeight="1" x14ac:dyDescent="0.25">
      <c r="A2728" s="87" t="s">
        <v>38</v>
      </c>
      <c r="B2728" s="87" t="s">
        <v>347</v>
      </c>
      <c r="C2728" s="87">
        <v>2013</v>
      </c>
      <c r="D2728" s="87" t="s">
        <v>15</v>
      </c>
      <c r="E2728" s="116">
        <v>25</v>
      </c>
      <c r="F2728" s="87" t="s">
        <v>967</v>
      </c>
      <c r="G2728" s="87" t="s">
        <v>272</v>
      </c>
      <c r="H2728" s="87" t="s">
        <v>967</v>
      </c>
      <c r="I2728" s="87">
        <v>6</v>
      </c>
    </row>
    <row r="2729" spans="1:9" ht="15" customHeight="1" x14ac:dyDescent="0.25">
      <c r="A2729" s="87" t="s">
        <v>38</v>
      </c>
      <c r="B2729" s="87" t="s">
        <v>347</v>
      </c>
      <c r="C2729" s="87">
        <v>2014</v>
      </c>
      <c r="D2729" s="87" t="s">
        <v>15</v>
      </c>
      <c r="E2729" s="116">
        <v>23</v>
      </c>
      <c r="F2729" s="87" t="s">
        <v>967</v>
      </c>
      <c r="G2729" s="87" t="s">
        <v>274</v>
      </c>
      <c r="H2729" s="87" t="s">
        <v>967</v>
      </c>
      <c r="I2729" s="87">
        <v>6</v>
      </c>
    </row>
    <row r="2730" spans="1:9" ht="15" customHeight="1" x14ac:dyDescent="0.25">
      <c r="A2730" s="87" t="s">
        <v>38</v>
      </c>
      <c r="B2730" s="87" t="s">
        <v>347</v>
      </c>
      <c r="C2730" s="87">
        <v>2015</v>
      </c>
      <c r="D2730" s="87" t="s">
        <v>15</v>
      </c>
      <c r="E2730" s="116">
        <v>28</v>
      </c>
      <c r="F2730" s="87" t="s">
        <v>967</v>
      </c>
      <c r="G2730" s="87" t="s">
        <v>272</v>
      </c>
      <c r="H2730" s="87" t="s">
        <v>709</v>
      </c>
      <c r="I2730" s="87">
        <v>6</v>
      </c>
    </row>
    <row r="2731" spans="1:9" ht="15" customHeight="1" x14ac:dyDescent="0.25">
      <c r="A2731" s="87" t="s">
        <v>38</v>
      </c>
      <c r="B2731" s="87" t="s">
        <v>347</v>
      </c>
      <c r="C2731" s="87">
        <v>2016</v>
      </c>
      <c r="D2731" s="87" t="s">
        <v>15</v>
      </c>
      <c r="E2731" s="116">
        <v>8</v>
      </c>
      <c r="F2731" s="87" t="s">
        <v>967</v>
      </c>
      <c r="G2731" s="87" t="s">
        <v>272</v>
      </c>
      <c r="H2731" s="87" t="s">
        <v>967</v>
      </c>
      <c r="I2731" s="87">
        <v>6</v>
      </c>
    </row>
    <row r="2732" spans="1:9" ht="15" customHeight="1" x14ac:dyDescent="0.25">
      <c r="A2732" s="87" t="s">
        <v>38</v>
      </c>
      <c r="B2732" s="87" t="s">
        <v>347</v>
      </c>
      <c r="C2732" s="87">
        <v>2017</v>
      </c>
      <c r="D2732" s="87" t="s">
        <v>15</v>
      </c>
      <c r="E2732" s="116">
        <v>6</v>
      </c>
      <c r="F2732" s="87" t="s">
        <v>967</v>
      </c>
      <c r="G2732" s="87" t="s">
        <v>272</v>
      </c>
      <c r="H2732" s="87" t="s">
        <v>967</v>
      </c>
      <c r="I2732" s="87">
        <v>6</v>
      </c>
    </row>
    <row r="2733" spans="1:9" ht="15" customHeight="1" x14ac:dyDescent="0.25">
      <c r="A2733" s="87" t="s">
        <v>38</v>
      </c>
      <c r="B2733" s="87" t="s">
        <v>347</v>
      </c>
      <c r="C2733" s="87">
        <v>2018</v>
      </c>
      <c r="D2733" s="87" t="s">
        <v>15</v>
      </c>
      <c r="E2733" s="116">
        <v>0</v>
      </c>
      <c r="F2733" s="87" t="s">
        <v>967</v>
      </c>
      <c r="G2733" s="87" t="s">
        <v>272</v>
      </c>
      <c r="H2733" s="87" t="s">
        <v>967</v>
      </c>
      <c r="I2733" s="87">
        <v>6</v>
      </c>
    </row>
    <row r="2734" spans="1:9" ht="15" customHeight="1" x14ac:dyDescent="0.25">
      <c r="A2734" s="87" t="s">
        <v>38</v>
      </c>
      <c r="B2734" s="87" t="s">
        <v>347</v>
      </c>
      <c r="C2734" s="87">
        <v>2019</v>
      </c>
      <c r="D2734" s="87" t="s">
        <v>15</v>
      </c>
      <c r="E2734" s="116">
        <v>-1</v>
      </c>
      <c r="F2734" s="87" t="s">
        <v>967</v>
      </c>
      <c r="G2734" s="87" t="s">
        <v>277</v>
      </c>
      <c r="H2734" s="87" t="s">
        <v>987</v>
      </c>
      <c r="I2734" s="87">
        <v>6</v>
      </c>
    </row>
    <row r="2735" spans="1:9" ht="15" customHeight="1" x14ac:dyDescent="0.25">
      <c r="A2735" s="87" t="s">
        <v>38</v>
      </c>
      <c r="B2735" s="87" t="s">
        <v>347</v>
      </c>
      <c r="C2735" s="87">
        <v>2020</v>
      </c>
      <c r="D2735" s="87" t="s">
        <v>15</v>
      </c>
      <c r="E2735" s="116">
        <v>29</v>
      </c>
      <c r="F2735" s="87" t="s">
        <v>967</v>
      </c>
      <c r="G2735" s="87" t="s">
        <v>272</v>
      </c>
      <c r="H2735" s="87" t="s">
        <v>967</v>
      </c>
      <c r="I2735" s="87">
        <v>6</v>
      </c>
    </row>
    <row r="2736" spans="1:9" ht="15" customHeight="1" x14ac:dyDescent="0.25">
      <c r="A2736" s="87" t="s">
        <v>38</v>
      </c>
      <c r="B2736" s="87" t="s">
        <v>347</v>
      </c>
      <c r="C2736" s="87">
        <v>2021</v>
      </c>
      <c r="D2736" s="87" t="s">
        <v>15</v>
      </c>
      <c r="E2736" s="116">
        <v>15</v>
      </c>
      <c r="F2736" s="87" t="s">
        <v>967</v>
      </c>
      <c r="G2736" s="87" t="s">
        <v>272</v>
      </c>
      <c r="H2736" s="87" t="s">
        <v>967</v>
      </c>
      <c r="I2736" s="87">
        <v>6</v>
      </c>
    </row>
    <row r="2737" spans="1:9" ht="15" customHeight="1" x14ac:dyDescent="0.25">
      <c r="A2737" s="87" t="s">
        <v>38</v>
      </c>
      <c r="B2737" s="87" t="s">
        <v>347</v>
      </c>
      <c r="C2737" s="87">
        <v>2022</v>
      </c>
      <c r="D2737" s="87" t="s">
        <v>15</v>
      </c>
      <c r="E2737" s="116">
        <v>43</v>
      </c>
      <c r="F2737" s="87" t="s">
        <v>967</v>
      </c>
      <c r="G2737" s="87" t="s">
        <v>272</v>
      </c>
      <c r="H2737" s="87" t="s">
        <v>967</v>
      </c>
      <c r="I2737" s="87">
        <v>6</v>
      </c>
    </row>
    <row r="2738" spans="1:9" ht="15" customHeight="1" x14ac:dyDescent="0.25">
      <c r="A2738" s="87" t="s">
        <v>38</v>
      </c>
      <c r="B2738" s="87" t="s">
        <v>348</v>
      </c>
      <c r="C2738" s="87">
        <v>1975</v>
      </c>
      <c r="D2738" s="87" t="s">
        <v>15</v>
      </c>
      <c r="E2738" s="116">
        <v>200</v>
      </c>
      <c r="F2738" s="87" t="s">
        <v>508</v>
      </c>
      <c r="G2738" s="87" t="s">
        <v>967</v>
      </c>
      <c r="H2738" s="87" t="s">
        <v>508</v>
      </c>
      <c r="I2738" s="87">
        <v>9</v>
      </c>
    </row>
    <row r="2739" spans="1:9" ht="15" customHeight="1" x14ac:dyDescent="0.25">
      <c r="A2739" s="87" t="s">
        <v>38</v>
      </c>
      <c r="B2739" s="87" t="s">
        <v>348</v>
      </c>
      <c r="C2739" s="87">
        <v>1976</v>
      </c>
      <c r="D2739" s="87" t="s">
        <v>15</v>
      </c>
      <c r="E2739" s="116">
        <v>200</v>
      </c>
      <c r="F2739" s="87" t="s">
        <v>508</v>
      </c>
      <c r="G2739" s="87" t="s">
        <v>967</v>
      </c>
      <c r="H2739" s="87" t="s">
        <v>508</v>
      </c>
      <c r="I2739" s="87">
        <v>9</v>
      </c>
    </row>
    <row r="2740" spans="1:9" ht="15" customHeight="1" x14ac:dyDescent="0.25">
      <c r="A2740" s="87" t="s">
        <v>38</v>
      </c>
      <c r="B2740" s="87" t="s">
        <v>348</v>
      </c>
      <c r="C2740" s="87">
        <v>1977</v>
      </c>
      <c r="D2740" s="87" t="s">
        <v>15</v>
      </c>
      <c r="E2740" s="116">
        <v>225</v>
      </c>
      <c r="F2740" s="87" t="s">
        <v>508</v>
      </c>
      <c r="G2740" s="87" t="s">
        <v>967</v>
      </c>
      <c r="H2740" s="87" t="s">
        <v>508</v>
      </c>
      <c r="I2740" s="87">
        <v>9</v>
      </c>
    </row>
    <row r="2741" spans="1:9" ht="15" customHeight="1" x14ac:dyDescent="0.25">
      <c r="A2741" s="87" t="s">
        <v>38</v>
      </c>
      <c r="B2741" s="87" t="s">
        <v>348</v>
      </c>
      <c r="C2741" s="87">
        <v>1978</v>
      </c>
      <c r="D2741" s="87" t="s">
        <v>15</v>
      </c>
      <c r="E2741" s="116">
        <v>200</v>
      </c>
      <c r="F2741" s="87" t="s">
        <v>508</v>
      </c>
      <c r="G2741" s="87" t="s">
        <v>967</v>
      </c>
      <c r="H2741" s="87" t="s">
        <v>508</v>
      </c>
      <c r="I2741" s="87">
        <v>9</v>
      </c>
    </row>
    <row r="2742" spans="1:9" ht="15" customHeight="1" x14ac:dyDescent="0.25">
      <c r="A2742" s="87" t="s">
        <v>38</v>
      </c>
      <c r="B2742" s="87" t="s">
        <v>348</v>
      </c>
      <c r="C2742" s="87">
        <v>1979</v>
      </c>
      <c r="D2742" s="87" t="s">
        <v>15</v>
      </c>
      <c r="E2742" s="116">
        <v>200</v>
      </c>
      <c r="F2742" s="87" t="s">
        <v>508</v>
      </c>
      <c r="G2742" s="87" t="s">
        <v>967</v>
      </c>
      <c r="H2742" s="87" t="s">
        <v>508</v>
      </c>
      <c r="I2742" s="87">
        <v>9</v>
      </c>
    </row>
    <row r="2743" spans="1:9" ht="15" customHeight="1" x14ac:dyDescent="0.25">
      <c r="A2743" s="87" t="s">
        <v>38</v>
      </c>
      <c r="B2743" s="87" t="s">
        <v>348</v>
      </c>
      <c r="C2743" s="87">
        <v>1980</v>
      </c>
      <c r="D2743" s="87" t="s">
        <v>15</v>
      </c>
      <c r="E2743" s="116">
        <v>-1</v>
      </c>
      <c r="F2743" s="87" t="s">
        <v>508</v>
      </c>
      <c r="G2743" s="87" t="s">
        <v>967</v>
      </c>
      <c r="H2743" s="87" t="s">
        <v>508</v>
      </c>
      <c r="I2743" s="87">
        <v>9</v>
      </c>
    </row>
    <row r="2744" spans="1:9" ht="15" customHeight="1" x14ac:dyDescent="0.25">
      <c r="A2744" s="87" t="s">
        <v>38</v>
      </c>
      <c r="B2744" s="87" t="s">
        <v>348</v>
      </c>
      <c r="C2744" s="87">
        <v>1981</v>
      </c>
      <c r="D2744" s="87" t="s">
        <v>15</v>
      </c>
      <c r="E2744" s="116">
        <v>150</v>
      </c>
      <c r="F2744" s="87" t="s">
        <v>508</v>
      </c>
      <c r="G2744" s="87" t="s">
        <v>967</v>
      </c>
      <c r="H2744" s="87" t="s">
        <v>508</v>
      </c>
      <c r="I2744" s="87">
        <v>9</v>
      </c>
    </row>
    <row r="2745" spans="1:9" ht="15" customHeight="1" x14ac:dyDescent="0.25">
      <c r="A2745" s="87" t="s">
        <v>38</v>
      </c>
      <c r="B2745" s="87" t="s">
        <v>348</v>
      </c>
      <c r="C2745" s="87">
        <v>1982</v>
      </c>
      <c r="D2745" s="87" t="s">
        <v>15</v>
      </c>
      <c r="E2745" s="116">
        <v>-1</v>
      </c>
      <c r="F2745" s="87" t="s">
        <v>508</v>
      </c>
      <c r="G2745" s="87" t="s">
        <v>967</v>
      </c>
      <c r="H2745" s="87" t="s">
        <v>508</v>
      </c>
      <c r="I2745" s="87">
        <v>9</v>
      </c>
    </row>
    <row r="2746" spans="1:9" ht="15" customHeight="1" x14ac:dyDescent="0.25">
      <c r="A2746" s="87" t="s">
        <v>38</v>
      </c>
      <c r="B2746" s="87" t="s">
        <v>348</v>
      </c>
      <c r="C2746" s="87">
        <v>1983</v>
      </c>
      <c r="D2746" s="87" t="s">
        <v>15</v>
      </c>
      <c r="E2746" s="116">
        <v>-1</v>
      </c>
      <c r="F2746" s="87" t="s">
        <v>508</v>
      </c>
      <c r="G2746" s="87" t="s">
        <v>967</v>
      </c>
      <c r="H2746" s="87" t="s">
        <v>508</v>
      </c>
      <c r="I2746" s="87">
        <v>9</v>
      </c>
    </row>
    <row r="2747" spans="1:9" ht="15" customHeight="1" x14ac:dyDescent="0.25">
      <c r="A2747" s="87" t="s">
        <v>38</v>
      </c>
      <c r="B2747" s="87" t="s">
        <v>348</v>
      </c>
      <c r="C2747" s="87">
        <v>1984</v>
      </c>
      <c r="D2747" s="87" t="s">
        <v>15</v>
      </c>
      <c r="E2747" s="116">
        <v>150</v>
      </c>
      <c r="F2747" s="87" t="s">
        <v>508</v>
      </c>
      <c r="G2747" s="87" t="s">
        <v>967</v>
      </c>
      <c r="H2747" s="87" t="s">
        <v>508</v>
      </c>
      <c r="I2747" s="87">
        <v>9</v>
      </c>
    </row>
    <row r="2748" spans="1:9" ht="15" customHeight="1" x14ac:dyDescent="0.25">
      <c r="A2748" s="87" t="s">
        <v>38</v>
      </c>
      <c r="B2748" s="87" t="s">
        <v>348</v>
      </c>
      <c r="C2748" s="87">
        <v>1985</v>
      </c>
      <c r="D2748" s="87" t="s">
        <v>15</v>
      </c>
      <c r="E2748" s="116">
        <v>400</v>
      </c>
      <c r="F2748" s="87" t="s">
        <v>508</v>
      </c>
      <c r="G2748" s="87" t="s">
        <v>967</v>
      </c>
      <c r="H2748" s="87" t="s">
        <v>508</v>
      </c>
      <c r="I2748" s="87">
        <v>9</v>
      </c>
    </row>
    <row r="2749" spans="1:9" ht="15" customHeight="1" x14ac:dyDescent="0.25">
      <c r="A2749" s="87" t="s">
        <v>38</v>
      </c>
      <c r="B2749" s="87" t="s">
        <v>348</v>
      </c>
      <c r="C2749" s="87">
        <v>1986</v>
      </c>
      <c r="D2749" s="87" t="s">
        <v>15</v>
      </c>
      <c r="E2749" s="116">
        <v>1000</v>
      </c>
      <c r="F2749" s="87" t="s">
        <v>508</v>
      </c>
      <c r="G2749" s="87" t="s">
        <v>967</v>
      </c>
      <c r="H2749" s="87" t="s">
        <v>508</v>
      </c>
      <c r="I2749" s="87">
        <v>9</v>
      </c>
    </row>
    <row r="2750" spans="1:9" ht="15" customHeight="1" x14ac:dyDescent="0.25">
      <c r="A2750" s="87" t="s">
        <v>38</v>
      </c>
      <c r="B2750" s="87" t="s">
        <v>348</v>
      </c>
      <c r="C2750" s="87">
        <v>1987</v>
      </c>
      <c r="D2750" s="87" t="s">
        <v>15</v>
      </c>
      <c r="E2750" s="116">
        <v>2000</v>
      </c>
      <c r="F2750" s="87" t="s">
        <v>508</v>
      </c>
      <c r="G2750" s="87" t="s">
        <v>967</v>
      </c>
      <c r="H2750" s="87" t="s">
        <v>508</v>
      </c>
      <c r="I2750" s="87">
        <v>9</v>
      </c>
    </row>
    <row r="2751" spans="1:9" ht="15" customHeight="1" x14ac:dyDescent="0.25">
      <c r="A2751" s="87" t="s">
        <v>38</v>
      </c>
      <c r="B2751" s="87" t="s">
        <v>348</v>
      </c>
      <c r="C2751" s="87">
        <v>1988</v>
      </c>
      <c r="D2751" s="87" t="s">
        <v>15</v>
      </c>
      <c r="E2751" s="116">
        <v>1800</v>
      </c>
      <c r="F2751" s="87" t="s">
        <v>508</v>
      </c>
      <c r="G2751" s="87" t="s">
        <v>967</v>
      </c>
      <c r="H2751" s="87" t="s">
        <v>508</v>
      </c>
      <c r="I2751" s="87">
        <v>9</v>
      </c>
    </row>
    <row r="2752" spans="1:9" ht="15" customHeight="1" x14ac:dyDescent="0.25">
      <c r="A2752" s="87" t="s">
        <v>38</v>
      </c>
      <c r="B2752" s="87" t="s">
        <v>348</v>
      </c>
      <c r="C2752" s="87">
        <v>1989</v>
      </c>
      <c r="D2752" s="87" t="s">
        <v>15</v>
      </c>
      <c r="E2752" s="116">
        <v>400</v>
      </c>
      <c r="F2752" s="87" t="s">
        <v>508</v>
      </c>
      <c r="G2752" s="87" t="s">
        <v>967</v>
      </c>
      <c r="H2752" s="87" t="s">
        <v>508</v>
      </c>
      <c r="I2752" s="87">
        <v>9</v>
      </c>
    </row>
    <row r="2753" spans="1:9" ht="15" customHeight="1" x14ac:dyDescent="0.25">
      <c r="A2753" s="87" t="s">
        <v>38</v>
      </c>
      <c r="B2753" s="87" t="s">
        <v>348</v>
      </c>
      <c r="C2753" s="87">
        <v>1990</v>
      </c>
      <c r="D2753" s="87" t="s">
        <v>15</v>
      </c>
      <c r="E2753" s="116">
        <v>1000</v>
      </c>
      <c r="F2753" s="87" t="s">
        <v>508</v>
      </c>
      <c r="G2753" s="87" t="s">
        <v>967</v>
      </c>
      <c r="H2753" s="87" t="s">
        <v>508</v>
      </c>
      <c r="I2753" s="87">
        <v>9</v>
      </c>
    </row>
    <row r="2754" spans="1:9" ht="15" customHeight="1" x14ac:dyDescent="0.25">
      <c r="A2754" s="87" t="s">
        <v>38</v>
      </c>
      <c r="B2754" s="87" t="s">
        <v>348</v>
      </c>
      <c r="C2754" s="87">
        <v>1991</v>
      </c>
      <c r="D2754" s="87" t="s">
        <v>15</v>
      </c>
      <c r="E2754" s="116">
        <v>1000</v>
      </c>
      <c r="F2754" s="87" t="s">
        <v>508</v>
      </c>
      <c r="G2754" s="87" t="s">
        <v>967</v>
      </c>
      <c r="H2754" s="87" t="s">
        <v>508</v>
      </c>
      <c r="I2754" s="87">
        <v>9</v>
      </c>
    </row>
    <row r="2755" spans="1:9" ht="15" customHeight="1" x14ac:dyDescent="0.25">
      <c r="A2755" s="87" t="s">
        <v>38</v>
      </c>
      <c r="B2755" s="87" t="s">
        <v>348</v>
      </c>
      <c r="C2755" s="87">
        <v>1992</v>
      </c>
      <c r="D2755" s="87" t="s">
        <v>15</v>
      </c>
      <c r="E2755" s="116">
        <v>1800</v>
      </c>
      <c r="F2755" s="87" t="s">
        <v>508</v>
      </c>
      <c r="G2755" s="87" t="s">
        <v>967</v>
      </c>
      <c r="H2755" s="87" t="s">
        <v>508</v>
      </c>
      <c r="I2755" s="87">
        <v>9</v>
      </c>
    </row>
    <row r="2756" spans="1:9" ht="15" customHeight="1" x14ac:dyDescent="0.25">
      <c r="A2756" s="87" t="s">
        <v>38</v>
      </c>
      <c r="B2756" s="87" t="s">
        <v>348</v>
      </c>
      <c r="C2756" s="87">
        <v>1993</v>
      </c>
      <c r="D2756" s="87" t="s">
        <v>15</v>
      </c>
      <c r="E2756" s="116">
        <v>-1</v>
      </c>
      <c r="F2756" s="87" t="s">
        <v>508</v>
      </c>
      <c r="G2756" s="87" t="s">
        <v>967</v>
      </c>
      <c r="H2756" s="87" t="s">
        <v>508</v>
      </c>
      <c r="I2756" s="87">
        <v>9</v>
      </c>
    </row>
    <row r="2757" spans="1:9" ht="15" customHeight="1" x14ac:dyDescent="0.25">
      <c r="A2757" s="87" t="s">
        <v>38</v>
      </c>
      <c r="B2757" s="87" t="s">
        <v>348</v>
      </c>
      <c r="C2757" s="87">
        <v>1994</v>
      </c>
      <c r="D2757" s="87" t="s">
        <v>15</v>
      </c>
      <c r="E2757" s="116">
        <v>1231</v>
      </c>
      <c r="F2757" s="87" t="s">
        <v>508</v>
      </c>
      <c r="G2757" s="87" t="s">
        <v>967</v>
      </c>
      <c r="H2757" s="87" t="s">
        <v>508</v>
      </c>
      <c r="I2757" s="87">
        <v>9</v>
      </c>
    </row>
    <row r="2758" spans="1:9" ht="15" customHeight="1" x14ac:dyDescent="0.25">
      <c r="A2758" s="87" t="s">
        <v>38</v>
      </c>
      <c r="B2758" s="87" t="s">
        <v>348</v>
      </c>
      <c r="C2758" s="87">
        <v>1995</v>
      </c>
      <c r="D2758" s="87" t="s">
        <v>15</v>
      </c>
      <c r="E2758" s="116">
        <v>314</v>
      </c>
      <c r="F2758" s="87" t="s">
        <v>967</v>
      </c>
      <c r="G2758" s="87" t="s">
        <v>967</v>
      </c>
      <c r="H2758" s="87" t="s">
        <v>967</v>
      </c>
      <c r="I2758" s="87">
        <v>9</v>
      </c>
    </row>
    <row r="2759" spans="1:9" ht="15" customHeight="1" x14ac:dyDescent="0.25">
      <c r="A2759" s="87" t="s">
        <v>38</v>
      </c>
      <c r="B2759" s="87" t="s">
        <v>348</v>
      </c>
      <c r="C2759" s="87">
        <v>1996</v>
      </c>
      <c r="D2759" s="87" t="s">
        <v>15</v>
      </c>
      <c r="E2759" s="116">
        <v>500</v>
      </c>
      <c r="F2759" s="87" t="s">
        <v>967</v>
      </c>
      <c r="G2759" s="87" t="s">
        <v>967</v>
      </c>
      <c r="H2759" s="87" t="s">
        <v>967</v>
      </c>
      <c r="I2759" s="87">
        <v>9</v>
      </c>
    </row>
    <row r="2760" spans="1:9" ht="15" customHeight="1" x14ac:dyDescent="0.25">
      <c r="A2760" s="87" t="s">
        <v>38</v>
      </c>
      <c r="B2760" s="87" t="s">
        <v>348</v>
      </c>
      <c r="C2760" s="87">
        <v>1997</v>
      </c>
      <c r="D2760" s="87" t="s">
        <v>15</v>
      </c>
      <c r="E2760" s="116">
        <v>549</v>
      </c>
      <c r="F2760" s="87" t="s">
        <v>967</v>
      </c>
      <c r="G2760" s="87" t="s">
        <v>967</v>
      </c>
      <c r="H2760" s="87" t="s">
        <v>967</v>
      </c>
      <c r="I2760" s="87">
        <v>9</v>
      </c>
    </row>
    <row r="2761" spans="1:9" ht="15" customHeight="1" x14ac:dyDescent="0.25">
      <c r="A2761" s="87" t="s">
        <v>38</v>
      </c>
      <c r="B2761" s="87" t="s">
        <v>348</v>
      </c>
      <c r="C2761" s="87">
        <v>1998</v>
      </c>
      <c r="D2761" s="87" t="s">
        <v>15</v>
      </c>
      <c r="E2761" s="116">
        <v>1788</v>
      </c>
      <c r="F2761" s="87" t="s">
        <v>967</v>
      </c>
      <c r="G2761" s="87" t="s">
        <v>272</v>
      </c>
      <c r="H2761" s="87" t="s">
        <v>712</v>
      </c>
      <c r="I2761" s="87">
        <v>9</v>
      </c>
    </row>
    <row r="2762" spans="1:9" ht="15" customHeight="1" x14ac:dyDescent="0.25">
      <c r="A2762" s="87" t="s">
        <v>38</v>
      </c>
      <c r="B2762" s="87" t="s">
        <v>348</v>
      </c>
      <c r="C2762" s="87">
        <v>1999</v>
      </c>
      <c r="D2762" s="87" t="s">
        <v>15</v>
      </c>
      <c r="E2762" s="116">
        <v>591</v>
      </c>
      <c r="F2762" s="87" t="s">
        <v>967</v>
      </c>
      <c r="G2762" s="87" t="s">
        <v>272</v>
      </c>
      <c r="H2762" s="87" t="s">
        <v>967</v>
      </c>
      <c r="I2762" s="87">
        <v>9</v>
      </c>
    </row>
    <row r="2763" spans="1:9" ht="15" customHeight="1" x14ac:dyDescent="0.25">
      <c r="A2763" s="87" t="s">
        <v>38</v>
      </c>
      <c r="B2763" s="87" t="s">
        <v>348</v>
      </c>
      <c r="C2763" s="87">
        <v>2000</v>
      </c>
      <c r="D2763" s="87" t="s">
        <v>15</v>
      </c>
      <c r="E2763" s="116">
        <v>694</v>
      </c>
      <c r="F2763" s="87" t="s">
        <v>349</v>
      </c>
      <c r="G2763" s="87" t="s">
        <v>272</v>
      </c>
      <c r="H2763" s="87" t="s">
        <v>967</v>
      </c>
      <c r="I2763" s="87">
        <v>9</v>
      </c>
    </row>
    <row r="2764" spans="1:9" ht="15" customHeight="1" x14ac:dyDescent="0.25">
      <c r="A2764" s="87" t="s">
        <v>38</v>
      </c>
      <c r="B2764" s="87" t="s">
        <v>348</v>
      </c>
      <c r="C2764" s="87">
        <v>2001</v>
      </c>
      <c r="D2764" s="87" t="s">
        <v>15</v>
      </c>
      <c r="E2764" s="116">
        <v>-1</v>
      </c>
      <c r="F2764" s="87" t="s">
        <v>967</v>
      </c>
      <c r="G2764" s="87" t="s">
        <v>272</v>
      </c>
      <c r="H2764" s="87" t="s">
        <v>713</v>
      </c>
      <c r="I2764" s="87">
        <v>9</v>
      </c>
    </row>
    <row r="2765" spans="1:9" ht="15" customHeight="1" x14ac:dyDescent="0.25">
      <c r="A2765" s="87" t="s">
        <v>38</v>
      </c>
      <c r="B2765" s="87" t="s">
        <v>348</v>
      </c>
      <c r="C2765" s="87">
        <v>2002</v>
      </c>
      <c r="D2765" s="87" t="s">
        <v>15</v>
      </c>
      <c r="E2765" s="116">
        <v>0.01</v>
      </c>
      <c r="F2765" s="87" t="s">
        <v>967</v>
      </c>
      <c r="G2765" s="87" t="s">
        <v>272</v>
      </c>
      <c r="H2765" s="87" t="s">
        <v>714</v>
      </c>
      <c r="I2765" s="87">
        <v>9</v>
      </c>
    </row>
    <row r="2766" spans="1:9" ht="15" customHeight="1" x14ac:dyDescent="0.25">
      <c r="A2766" s="87" t="s">
        <v>38</v>
      </c>
      <c r="B2766" s="87" t="s">
        <v>348</v>
      </c>
      <c r="C2766" s="87">
        <v>2003</v>
      </c>
      <c r="D2766" s="87" t="s">
        <v>15</v>
      </c>
      <c r="E2766" s="116">
        <v>241</v>
      </c>
      <c r="F2766" s="87" t="s">
        <v>350</v>
      </c>
      <c r="G2766" s="87" t="s">
        <v>272</v>
      </c>
      <c r="H2766" s="87" t="s">
        <v>715</v>
      </c>
      <c r="I2766" s="87">
        <v>9</v>
      </c>
    </row>
    <row r="2767" spans="1:9" ht="15" customHeight="1" x14ac:dyDescent="0.25">
      <c r="A2767" s="87" t="s">
        <v>38</v>
      </c>
      <c r="B2767" s="87" t="s">
        <v>348</v>
      </c>
      <c r="C2767" s="87">
        <v>2004</v>
      </c>
      <c r="D2767" s="87" t="s">
        <v>15</v>
      </c>
      <c r="E2767" s="116">
        <v>1044</v>
      </c>
      <c r="F2767" s="87" t="s">
        <v>351</v>
      </c>
      <c r="G2767" s="87" t="s">
        <v>272</v>
      </c>
      <c r="H2767" s="87" t="s">
        <v>716</v>
      </c>
      <c r="I2767" s="87">
        <v>9</v>
      </c>
    </row>
    <row r="2768" spans="1:9" ht="15" customHeight="1" x14ac:dyDescent="0.25">
      <c r="A2768" s="87" t="s">
        <v>38</v>
      </c>
      <c r="B2768" s="87" t="s">
        <v>348</v>
      </c>
      <c r="C2768" s="87">
        <v>2005</v>
      </c>
      <c r="D2768" s="87" t="s">
        <v>15</v>
      </c>
      <c r="E2768" s="116">
        <v>386</v>
      </c>
      <c r="F2768" s="87" t="s">
        <v>967</v>
      </c>
      <c r="G2768" s="87" t="s">
        <v>272</v>
      </c>
      <c r="H2768" s="87" t="s">
        <v>717</v>
      </c>
      <c r="I2768" s="87">
        <v>9</v>
      </c>
    </row>
    <row r="2769" spans="1:9" ht="15" customHeight="1" x14ac:dyDescent="0.25">
      <c r="A2769" s="87" t="s">
        <v>38</v>
      </c>
      <c r="B2769" s="87" t="s">
        <v>348</v>
      </c>
      <c r="C2769" s="87">
        <v>2006</v>
      </c>
      <c r="D2769" s="87" t="s">
        <v>15</v>
      </c>
      <c r="E2769" s="116">
        <v>549</v>
      </c>
      <c r="F2769" s="87" t="s">
        <v>967</v>
      </c>
      <c r="G2769" s="87" t="s">
        <v>272</v>
      </c>
      <c r="H2769" s="87" t="s">
        <v>967</v>
      </c>
      <c r="I2769" s="87">
        <v>9</v>
      </c>
    </row>
    <row r="2770" spans="1:9" ht="15" customHeight="1" x14ac:dyDescent="0.25">
      <c r="A2770" s="87" t="s">
        <v>38</v>
      </c>
      <c r="B2770" s="87" t="s">
        <v>348</v>
      </c>
      <c r="C2770" s="87">
        <v>2007</v>
      </c>
      <c r="D2770" s="87" t="s">
        <v>15</v>
      </c>
      <c r="E2770" s="116">
        <v>410</v>
      </c>
      <c r="F2770" s="87" t="s">
        <v>967</v>
      </c>
      <c r="G2770" s="87" t="s">
        <v>272</v>
      </c>
      <c r="H2770" s="87" t="s">
        <v>967</v>
      </c>
      <c r="I2770" s="87">
        <v>9</v>
      </c>
    </row>
    <row r="2771" spans="1:9" ht="15" customHeight="1" x14ac:dyDescent="0.25">
      <c r="A2771" s="87" t="s">
        <v>38</v>
      </c>
      <c r="B2771" s="87" t="s">
        <v>348</v>
      </c>
      <c r="C2771" s="87">
        <v>2008</v>
      </c>
      <c r="D2771" s="87" t="s">
        <v>15</v>
      </c>
      <c r="E2771" s="116">
        <v>185</v>
      </c>
      <c r="F2771" s="87" t="s">
        <v>967</v>
      </c>
      <c r="G2771" s="87" t="s">
        <v>272</v>
      </c>
      <c r="H2771" s="87" t="s">
        <v>718</v>
      </c>
      <c r="I2771" s="87">
        <v>9</v>
      </c>
    </row>
    <row r="2772" spans="1:9" ht="15" customHeight="1" x14ac:dyDescent="0.25">
      <c r="A2772" s="87" t="s">
        <v>38</v>
      </c>
      <c r="B2772" s="87" t="s">
        <v>348</v>
      </c>
      <c r="C2772" s="87">
        <v>2009</v>
      </c>
      <c r="D2772" s="87" t="s">
        <v>15</v>
      </c>
      <c r="E2772" s="116">
        <v>1309</v>
      </c>
      <c r="F2772" s="87" t="s">
        <v>967</v>
      </c>
      <c r="G2772" s="87" t="s">
        <v>272</v>
      </c>
      <c r="H2772" s="87" t="s">
        <v>967</v>
      </c>
      <c r="I2772" s="87">
        <v>9</v>
      </c>
    </row>
    <row r="2773" spans="1:9" ht="15" customHeight="1" x14ac:dyDescent="0.25">
      <c r="A2773" s="87" t="s">
        <v>38</v>
      </c>
      <c r="B2773" s="87" t="s">
        <v>348</v>
      </c>
      <c r="C2773" s="87">
        <v>2010</v>
      </c>
      <c r="D2773" s="87" t="s">
        <v>15</v>
      </c>
      <c r="E2773" s="116">
        <v>482</v>
      </c>
      <c r="F2773" s="87" t="s">
        <v>967</v>
      </c>
      <c r="G2773" s="87" t="s">
        <v>272</v>
      </c>
      <c r="H2773" s="87" t="s">
        <v>967</v>
      </c>
      <c r="I2773" s="87">
        <v>9</v>
      </c>
    </row>
    <row r="2774" spans="1:9" ht="15" customHeight="1" x14ac:dyDescent="0.25">
      <c r="A2774" s="87" t="s">
        <v>38</v>
      </c>
      <c r="B2774" s="87" t="s">
        <v>348</v>
      </c>
      <c r="C2774" s="87">
        <v>2011</v>
      </c>
      <c r="D2774" s="87" t="s">
        <v>15</v>
      </c>
      <c r="E2774" s="116">
        <v>71</v>
      </c>
      <c r="F2774" s="87" t="s">
        <v>967</v>
      </c>
      <c r="G2774" s="87" t="s">
        <v>272</v>
      </c>
      <c r="H2774" s="87" t="s">
        <v>967</v>
      </c>
      <c r="I2774" s="87">
        <v>9</v>
      </c>
    </row>
    <row r="2775" spans="1:9" ht="15" customHeight="1" x14ac:dyDescent="0.25">
      <c r="A2775" s="87" t="s">
        <v>38</v>
      </c>
      <c r="B2775" s="87" t="s">
        <v>348</v>
      </c>
      <c r="C2775" s="87">
        <v>2012</v>
      </c>
      <c r="D2775" s="87" t="s">
        <v>15</v>
      </c>
      <c r="E2775" s="116">
        <v>6</v>
      </c>
      <c r="F2775" s="87" t="s">
        <v>967</v>
      </c>
      <c r="G2775" s="87" t="s">
        <v>272</v>
      </c>
      <c r="H2775" s="87" t="s">
        <v>717</v>
      </c>
      <c r="I2775" s="87">
        <v>9</v>
      </c>
    </row>
    <row r="2776" spans="1:9" ht="15" customHeight="1" x14ac:dyDescent="0.25">
      <c r="A2776" s="87" t="s">
        <v>38</v>
      </c>
      <c r="B2776" s="87" t="s">
        <v>348</v>
      </c>
      <c r="C2776" s="87">
        <v>2013</v>
      </c>
      <c r="D2776" s="87" t="s">
        <v>15</v>
      </c>
      <c r="E2776" s="116">
        <v>300</v>
      </c>
      <c r="F2776" s="87" t="s">
        <v>967</v>
      </c>
      <c r="G2776" s="87" t="s">
        <v>272</v>
      </c>
      <c r="H2776" s="87" t="s">
        <v>967</v>
      </c>
      <c r="I2776" s="87">
        <v>9</v>
      </c>
    </row>
    <row r="2777" spans="1:9" ht="15" customHeight="1" x14ac:dyDescent="0.25">
      <c r="A2777" s="87" t="s">
        <v>38</v>
      </c>
      <c r="B2777" s="87" t="s">
        <v>348</v>
      </c>
      <c r="C2777" s="87">
        <v>2014</v>
      </c>
      <c r="D2777" s="87" t="s">
        <v>15</v>
      </c>
      <c r="E2777" s="116">
        <v>466</v>
      </c>
      <c r="F2777" s="87" t="s">
        <v>967</v>
      </c>
      <c r="G2777" s="87" t="s">
        <v>272</v>
      </c>
      <c r="H2777" s="87" t="s">
        <v>967</v>
      </c>
      <c r="I2777" s="87">
        <v>9</v>
      </c>
    </row>
    <row r="2778" spans="1:9" ht="15" customHeight="1" x14ac:dyDescent="0.25">
      <c r="A2778" s="87" t="s">
        <v>38</v>
      </c>
      <c r="B2778" s="87" t="s">
        <v>348</v>
      </c>
      <c r="C2778" s="87">
        <v>2015</v>
      </c>
      <c r="D2778" s="87" t="s">
        <v>15</v>
      </c>
      <c r="E2778" s="116">
        <v>828</v>
      </c>
      <c r="F2778" s="87" t="s">
        <v>967</v>
      </c>
      <c r="G2778" s="87" t="s">
        <v>272</v>
      </c>
      <c r="H2778" s="87" t="s">
        <v>719</v>
      </c>
      <c r="I2778" s="87">
        <v>9</v>
      </c>
    </row>
    <row r="2779" spans="1:9" ht="15" customHeight="1" x14ac:dyDescent="0.25">
      <c r="A2779" s="87" t="s">
        <v>38</v>
      </c>
      <c r="B2779" s="87" t="s">
        <v>348</v>
      </c>
      <c r="C2779" s="87">
        <v>2016</v>
      </c>
      <c r="D2779" s="87" t="s">
        <v>15</v>
      </c>
      <c r="E2779" s="116">
        <v>-1</v>
      </c>
      <c r="F2779" s="87" t="s">
        <v>967</v>
      </c>
      <c r="G2779" s="87" t="s">
        <v>967</v>
      </c>
      <c r="H2779" s="87" t="s">
        <v>967</v>
      </c>
      <c r="I2779" s="87">
        <v>9</v>
      </c>
    </row>
    <row r="2780" spans="1:9" ht="15" customHeight="1" x14ac:dyDescent="0.25">
      <c r="A2780" s="87" t="s">
        <v>38</v>
      </c>
      <c r="B2780" s="87" t="s">
        <v>348</v>
      </c>
      <c r="C2780" s="87">
        <v>2017</v>
      </c>
      <c r="D2780" s="87" t="s">
        <v>15</v>
      </c>
      <c r="E2780" s="116">
        <v>-1</v>
      </c>
      <c r="F2780" s="87" t="s">
        <v>967</v>
      </c>
      <c r="G2780" s="87" t="s">
        <v>967</v>
      </c>
      <c r="H2780" s="87" t="s">
        <v>967</v>
      </c>
      <c r="I2780" s="87">
        <v>9</v>
      </c>
    </row>
    <row r="2781" spans="1:9" ht="15" customHeight="1" x14ac:dyDescent="0.25">
      <c r="A2781" s="87" t="s">
        <v>38</v>
      </c>
      <c r="B2781" s="87" t="s">
        <v>348</v>
      </c>
      <c r="C2781" s="87">
        <v>2018</v>
      </c>
      <c r="D2781" s="87" t="s">
        <v>15</v>
      </c>
      <c r="E2781" s="116">
        <v>-1</v>
      </c>
      <c r="F2781" s="87" t="s">
        <v>967</v>
      </c>
      <c r="G2781" s="87" t="s">
        <v>967</v>
      </c>
      <c r="H2781" s="87" t="s">
        <v>967</v>
      </c>
      <c r="I2781" s="87">
        <v>9</v>
      </c>
    </row>
    <row r="2782" spans="1:9" ht="15" customHeight="1" x14ac:dyDescent="0.25">
      <c r="A2782" s="87" t="s">
        <v>38</v>
      </c>
      <c r="B2782" s="87" t="s">
        <v>348</v>
      </c>
      <c r="C2782" s="87">
        <v>2019</v>
      </c>
      <c r="D2782" s="87" t="s">
        <v>15</v>
      </c>
      <c r="E2782" s="116">
        <v>-1</v>
      </c>
      <c r="F2782" s="87" t="s">
        <v>967</v>
      </c>
      <c r="G2782" s="87" t="s">
        <v>967</v>
      </c>
      <c r="H2782" s="87" t="s">
        <v>967</v>
      </c>
      <c r="I2782" s="87">
        <v>9</v>
      </c>
    </row>
    <row r="2783" spans="1:9" ht="15" customHeight="1" x14ac:dyDescent="0.25">
      <c r="A2783" s="87" t="s">
        <v>38</v>
      </c>
      <c r="B2783" s="87" t="s">
        <v>348</v>
      </c>
      <c r="C2783" s="87">
        <v>2020</v>
      </c>
      <c r="D2783" s="87" t="s">
        <v>15</v>
      </c>
      <c r="E2783" s="116">
        <v>-1</v>
      </c>
      <c r="F2783" s="87" t="s">
        <v>967</v>
      </c>
      <c r="G2783" s="87" t="s">
        <v>967</v>
      </c>
      <c r="H2783" s="87" t="s">
        <v>967</v>
      </c>
      <c r="I2783" s="87">
        <v>9</v>
      </c>
    </row>
    <row r="2784" spans="1:9" ht="15" customHeight="1" x14ac:dyDescent="0.25">
      <c r="A2784" s="87" t="s">
        <v>38</v>
      </c>
      <c r="B2784" s="87" t="s">
        <v>348</v>
      </c>
      <c r="C2784" s="87">
        <v>2021</v>
      </c>
      <c r="D2784" s="87" t="s">
        <v>15</v>
      </c>
      <c r="E2784" s="116">
        <v>-1</v>
      </c>
      <c r="F2784" s="87" t="s">
        <v>967</v>
      </c>
      <c r="G2784" s="87" t="s">
        <v>967</v>
      </c>
      <c r="H2784" s="87" t="s">
        <v>967</v>
      </c>
      <c r="I2784" s="87">
        <v>9</v>
      </c>
    </row>
    <row r="2785" spans="1:9" ht="15" customHeight="1" x14ac:dyDescent="0.25">
      <c r="A2785" s="87" t="s">
        <v>38</v>
      </c>
      <c r="B2785" s="87" t="s">
        <v>348</v>
      </c>
      <c r="C2785" s="87">
        <v>2022</v>
      </c>
      <c r="D2785" s="87" t="s">
        <v>15</v>
      </c>
      <c r="E2785" s="116">
        <v>-1</v>
      </c>
      <c r="F2785" s="87" t="s">
        <v>967</v>
      </c>
      <c r="G2785" s="87" t="s">
        <v>967</v>
      </c>
      <c r="H2785" s="87" t="s">
        <v>967</v>
      </c>
      <c r="I2785" s="87">
        <v>9</v>
      </c>
    </row>
    <row r="2786" spans="1:9" ht="15" customHeight="1" x14ac:dyDescent="0.25">
      <c r="A2786" s="87" t="s">
        <v>38</v>
      </c>
      <c r="B2786" s="87" t="s">
        <v>352</v>
      </c>
      <c r="C2786" s="87">
        <v>1975</v>
      </c>
      <c r="D2786" s="87" t="s">
        <v>15</v>
      </c>
      <c r="E2786" s="116">
        <v>11</v>
      </c>
      <c r="F2786" s="87" t="s">
        <v>508</v>
      </c>
      <c r="G2786" s="87" t="s">
        <v>967</v>
      </c>
      <c r="H2786" s="87" t="s">
        <v>508</v>
      </c>
      <c r="I2786" s="87">
        <v>4</v>
      </c>
    </row>
    <row r="2787" spans="1:9" ht="15" customHeight="1" x14ac:dyDescent="0.25">
      <c r="A2787" s="87" t="s">
        <v>38</v>
      </c>
      <c r="B2787" s="87" t="s">
        <v>352</v>
      </c>
      <c r="C2787" s="87">
        <v>1976</v>
      </c>
      <c r="D2787" s="87" t="s">
        <v>15</v>
      </c>
      <c r="E2787" s="116">
        <v>25</v>
      </c>
      <c r="F2787" s="87" t="s">
        <v>508</v>
      </c>
      <c r="G2787" s="87" t="s">
        <v>967</v>
      </c>
      <c r="H2787" s="87" t="s">
        <v>508</v>
      </c>
      <c r="I2787" s="87">
        <v>4</v>
      </c>
    </row>
    <row r="2788" spans="1:9" ht="15" customHeight="1" x14ac:dyDescent="0.25">
      <c r="A2788" s="87" t="s">
        <v>38</v>
      </c>
      <c r="B2788" s="87" t="s">
        <v>352</v>
      </c>
      <c r="C2788" s="87">
        <v>1977</v>
      </c>
      <c r="D2788" s="87" t="s">
        <v>15</v>
      </c>
      <c r="E2788" s="116">
        <v>5</v>
      </c>
      <c r="F2788" s="87" t="s">
        <v>508</v>
      </c>
      <c r="G2788" s="87" t="s">
        <v>967</v>
      </c>
      <c r="H2788" s="87" t="s">
        <v>508</v>
      </c>
      <c r="I2788" s="87">
        <v>4</v>
      </c>
    </row>
    <row r="2789" spans="1:9" ht="15" customHeight="1" x14ac:dyDescent="0.25">
      <c r="A2789" s="87" t="s">
        <v>38</v>
      </c>
      <c r="B2789" s="87" t="s">
        <v>352</v>
      </c>
      <c r="C2789" s="87">
        <v>1978</v>
      </c>
      <c r="D2789" s="87" t="s">
        <v>15</v>
      </c>
      <c r="E2789" s="116">
        <v>30</v>
      </c>
      <c r="F2789" s="87" t="s">
        <v>508</v>
      </c>
      <c r="G2789" s="87" t="s">
        <v>967</v>
      </c>
      <c r="H2789" s="87" t="s">
        <v>508</v>
      </c>
      <c r="I2789" s="87">
        <v>4</v>
      </c>
    </row>
    <row r="2790" spans="1:9" ht="15" customHeight="1" x14ac:dyDescent="0.25">
      <c r="A2790" s="87" t="s">
        <v>38</v>
      </c>
      <c r="B2790" s="87" t="s">
        <v>352</v>
      </c>
      <c r="C2790" s="87">
        <v>1979</v>
      </c>
      <c r="D2790" s="87" t="s">
        <v>15</v>
      </c>
      <c r="E2790" s="116">
        <v>20</v>
      </c>
      <c r="F2790" s="87" t="s">
        <v>508</v>
      </c>
      <c r="G2790" s="87" t="s">
        <v>967</v>
      </c>
      <c r="H2790" s="87" t="s">
        <v>508</v>
      </c>
      <c r="I2790" s="87">
        <v>4</v>
      </c>
    </row>
    <row r="2791" spans="1:9" ht="15" customHeight="1" x14ac:dyDescent="0.25">
      <c r="A2791" s="87" t="s">
        <v>38</v>
      </c>
      <c r="B2791" s="87" t="s">
        <v>352</v>
      </c>
      <c r="C2791" s="87">
        <v>1980</v>
      </c>
      <c r="D2791" s="87" t="s">
        <v>15</v>
      </c>
      <c r="E2791" s="116">
        <v>12</v>
      </c>
      <c r="F2791" s="87" t="s">
        <v>508</v>
      </c>
      <c r="G2791" s="87" t="s">
        <v>967</v>
      </c>
      <c r="H2791" s="87" t="s">
        <v>508</v>
      </c>
      <c r="I2791" s="87">
        <v>4</v>
      </c>
    </row>
    <row r="2792" spans="1:9" ht="15" customHeight="1" x14ac:dyDescent="0.25">
      <c r="A2792" s="87" t="s">
        <v>38</v>
      </c>
      <c r="B2792" s="87" t="s">
        <v>352</v>
      </c>
      <c r="C2792" s="87">
        <v>1981</v>
      </c>
      <c r="D2792" s="87" t="s">
        <v>15</v>
      </c>
      <c r="E2792" s="116">
        <v>5</v>
      </c>
      <c r="F2792" s="87" t="s">
        <v>508</v>
      </c>
      <c r="G2792" s="87" t="s">
        <v>967</v>
      </c>
      <c r="H2792" s="87" t="s">
        <v>508</v>
      </c>
      <c r="I2792" s="87">
        <v>4</v>
      </c>
    </row>
    <row r="2793" spans="1:9" ht="15" customHeight="1" x14ac:dyDescent="0.25">
      <c r="A2793" s="87" t="s">
        <v>38</v>
      </c>
      <c r="B2793" s="87" t="s">
        <v>352</v>
      </c>
      <c r="C2793" s="87">
        <v>1982</v>
      </c>
      <c r="D2793" s="87" t="s">
        <v>15</v>
      </c>
      <c r="E2793" s="116">
        <v>40</v>
      </c>
      <c r="F2793" s="87" t="s">
        <v>508</v>
      </c>
      <c r="G2793" s="87" t="s">
        <v>967</v>
      </c>
      <c r="H2793" s="87" t="s">
        <v>508</v>
      </c>
      <c r="I2793" s="87">
        <v>4</v>
      </c>
    </row>
    <row r="2794" spans="1:9" ht="15" customHeight="1" x14ac:dyDescent="0.25">
      <c r="A2794" s="87" t="s">
        <v>38</v>
      </c>
      <c r="B2794" s="87" t="s">
        <v>352</v>
      </c>
      <c r="C2794" s="87">
        <v>1983</v>
      </c>
      <c r="D2794" s="87" t="s">
        <v>15</v>
      </c>
      <c r="E2794" s="116">
        <v>45</v>
      </c>
      <c r="F2794" s="87" t="s">
        <v>508</v>
      </c>
      <c r="G2794" s="87" t="s">
        <v>967</v>
      </c>
      <c r="H2794" s="87" t="s">
        <v>508</v>
      </c>
      <c r="I2794" s="87">
        <v>4</v>
      </c>
    </row>
    <row r="2795" spans="1:9" ht="15" customHeight="1" x14ac:dyDescent="0.25">
      <c r="A2795" s="87" t="s">
        <v>38</v>
      </c>
      <c r="B2795" s="87" t="s">
        <v>352</v>
      </c>
      <c r="C2795" s="87">
        <v>1984</v>
      </c>
      <c r="D2795" s="87" t="s">
        <v>15</v>
      </c>
      <c r="E2795" s="116">
        <v>60</v>
      </c>
      <c r="F2795" s="87" t="s">
        <v>508</v>
      </c>
      <c r="G2795" s="87" t="s">
        <v>967</v>
      </c>
      <c r="H2795" s="87" t="s">
        <v>508</v>
      </c>
      <c r="I2795" s="87">
        <v>4</v>
      </c>
    </row>
    <row r="2796" spans="1:9" ht="15" customHeight="1" x14ac:dyDescent="0.25">
      <c r="A2796" s="87" t="s">
        <v>38</v>
      </c>
      <c r="B2796" s="87" t="s">
        <v>352</v>
      </c>
      <c r="C2796" s="87">
        <v>1985</v>
      </c>
      <c r="D2796" s="87" t="s">
        <v>15</v>
      </c>
      <c r="E2796" s="116">
        <v>100</v>
      </c>
      <c r="F2796" s="87" t="s">
        <v>508</v>
      </c>
      <c r="G2796" s="87" t="s">
        <v>967</v>
      </c>
      <c r="H2796" s="87" t="s">
        <v>508</v>
      </c>
      <c r="I2796" s="87">
        <v>4</v>
      </c>
    </row>
    <row r="2797" spans="1:9" ht="15" customHeight="1" x14ac:dyDescent="0.25">
      <c r="A2797" s="87" t="s">
        <v>38</v>
      </c>
      <c r="B2797" s="87" t="s">
        <v>352</v>
      </c>
      <c r="C2797" s="87">
        <v>1986</v>
      </c>
      <c r="D2797" s="87" t="s">
        <v>15</v>
      </c>
      <c r="E2797" s="116">
        <v>125</v>
      </c>
      <c r="F2797" s="87" t="s">
        <v>508</v>
      </c>
      <c r="G2797" s="87" t="s">
        <v>967</v>
      </c>
      <c r="H2797" s="87" t="s">
        <v>508</v>
      </c>
      <c r="I2797" s="87">
        <v>4</v>
      </c>
    </row>
    <row r="2798" spans="1:9" ht="15" customHeight="1" x14ac:dyDescent="0.25">
      <c r="A2798" s="87" t="s">
        <v>38</v>
      </c>
      <c r="B2798" s="87" t="s">
        <v>352</v>
      </c>
      <c r="C2798" s="87">
        <v>1987</v>
      </c>
      <c r="D2798" s="87" t="s">
        <v>15</v>
      </c>
      <c r="E2798" s="116">
        <v>110</v>
      </c>
      <c r="F2798" s="87" t="s">
        <v>508</v>
      </c>
      <c r="G2798" s="87" t="s">
        <v>967</v>
      </c>
      <c r="H2798" s="87" t="s">
        <v>508</v>
      </c>
      <c r="I2798" s="87">
        <v>4</v>
      </c>
    </row>
    <row r="2799" spans="1:9" ht="15" customHeight="1" x14ac:dyDescent="0.25">
      <c r="A2799" s="87" t="s">
        <v>38</v>
      </c>
      <c r="B2799" s="87" t="s">
        <v>352</v>
      </c>
      <c r="C2799" s="87">
        <v>1988</v>
      </c>
      <c r="D2799" s="87" t="s">
        <v>15</v>
      </c>
      <c r="E2799" s="116">
        <v>140</v>
      </c>
      <c r="F2799" s="87" t="s">
        <v>508</v>
      </c>
      <c r="G2799" s="87" t="s">
        <v>967</v>
      </c>
      <c r="H2799" s="87" t="s">
        <v>508</v>
      </c>
      <c r="I2799" s="87">
        <v>4</v>
      </c>
    </row>
    <row r="2800" spans="1:9" ht="15" customHeight="1" x14ac:dyDescent="0.25">
      <c r="A2800" s="87" t="s">
        <v>38</v>
      </c>
      <c r="B2800" s="87" t="s">
        <v>352</v>
      </c>
      <c r="C2800" s="87">
        <v>1989</v>
      </c>
      <c r="D2800" s="87" t="s">
        <v>15</v>
      </c>
      <c r="E2800" s="116">
        <v>60</v>
      </c>
      <c r="F2800" s="87" t="s">
        <v>508</v>
      </c>
      <c r="G2800" s="87" t="s">
        <v>967</v>
      </c>
      <c r="H2800" s="87" t="s">
        <v>508</v>
      </c>
      <c r="I2800" s="87">
        <v>4</v>
      </c>
    </row>
    <row r="2801" spans="1:9" ht="15" customHeight="1" x14ac:dyDescent="0.25">
      <c r="A2801" s="87" t="s">
        <v>38</v>
      </c>
      <c r="B2801" s="87" t="s">
        <v>352</v>
      </c>
      <c r="C2801" s="87">
        <v>1990</v>
      </c>
      <c r="D2801" s="87" t="s">
        <v>15</v>
      </c>
      <c r="E2801" s="116">
        <v>20</v>
      </c>
      <c r="F2801" s="87" t="s">
        <v>508</v>
      </c>
      <c r="G2801" s="87" t="s">
        <v>967</v>
      </c>
      <c r="H2801" s="87" t="s">
        <v>508</v>
      </c>
      <c r="I2801" s="87">
        <v>4</v>
      </c>
    </row>
    <row r="2802" spans="1:9" ht="15" customHeight="1" x14ac:dyDescent="0.25">
      <c r="A2802" s="87" t="s">
        <v>38</v>
      </c>
      <c r="B2802" s="87" t="s">
        <v>352</v>
      </c>
      <c r="C2802" s="87">
        <v>1991</v>
      </c>
      <c r="D2802" s="87" t="s">
        <v>15</v>
      </c>
      <c r="E2802" s="116">
        <v>55</v>
      </c>
      <c r="F2802" s="87" t="s">
        <v>508</v>
      </c>
      <c r="G2802" s="87" t="s">
        <v>967</v>
      </c>
      <c r="H2802" s="87" t="s">
        <v>508</v>
      </c>
      <c r="I2802" s="87">
        <v>4</v>
      </c>
    </row>
    <row r="2803" spans="1:9" ht="15" customHeight="1" x14ac:dyDescent="0.25">
      <c r="A2803" s="87" t="s">
        <v>38</v>
      </c>
      <c r="B2803" s="87" t="s">
        <v>352</v>
      </c>
      <c r="C2803" s="87">
        <v>1992</v>
      </c>
      <c r="D2803" s="87" t="s">
        <v>15</v>
      </c>
      <c r="E2803" s="116">
        <v>74</v>
      </c>
      <c r="F2803" s="87" t="s">
        <v>508</v>
      </c>
      <c r="G2803" s="87" t="s">
        <v>967</v>
      </c>
      <c r="H2803" s="87" t="s">
        <v>508</v>
      </c>
      <c r="I2803" s="87">
        <v>4</v>
      </c>
    </row>
    <row r="2804" spans="1:9" ht="15" customHeight="1" x14ac:dyDescent="0.25">
      <c r="A2804" s="87" t="s">
        <v>38</v>
      </c>
      <c r="B2804" s="87" t="s">
        <v>352</v>
      </c>
      <c r="C2804" s="87">
        <v>1993</v>
      </c>
      <c r="D2804" s="87" t="s">
        <v>15</v>
      </c>
      <c r="E2804" s="116">
        <v>80</v>
      </c>
      <c r="F2804" s="87" t="s">
        <v>508</v>
      </c>
      <c r="G2804" s="87" t="s">
        <v>967</v>
      </c>
      <c r="H2804" s="87" t="s">
        <v>508</v>
      </c>
      <c r="I2804" s="87">
        <v>4</v>
      </c>
    </row>
    <row r="2805" spans="1:9" ht="15" customHeight="1" x14ac:dyDescent="0.25">
      <c r="A2805" s="87" t="s">
        <v>38</v>
      </c>
      <c r="B2805" s="87" t="s">
        <v>352</v>
      </c>
      <c r="C2805" s="87">
        <v>1994</v>
      </c>
      <c r="D2805" s="87" t="s">
        <v>15</v>
      </c>
      <c r="E2805" s="116">
        <v>90</v>
      </c>
      <c r="F2805" s="87" t="s">
        <v>508</v>
      </c>
      <c r="G2805" s="87" t="s">
        <v>967</v>
      </c>
      <c r="H2805" s="87" t="s">
        <v>508</v>
      </c>
      <c r="I2805" s="87">
        <v>4</v>
      </c>
    </row>
    <row r="2806" spans="1:9" ht="15" customHeight="1" x14ac:dyDescent="0.25">
      <c r="A2806" s="87" t="s">
        <v>38</v>
      </c>
      <c r="B2806" s="87" t="s">
        <v>352</v>
      </c>
      <c r="C2806" s="87">
        <v>1995</v>
      </c>
      <c r="D2806" s="87" t="s">
        <v>15</v>
      </c>
      <c r="E2806" s="116">
        <v>131</v>
      </c>
      <c r="F2806" s="87" t="s">
        <v>967</v>
      </c>
      <c r="G2806" s="87" t="s">
        <v>967</v>
      </c>
      <c r="H2806" s="87" t="s">
        <v>967</v>
      </c>
      <c r="I2806" s="87">
        <v>4</v>
      </c>
    </row>
    <row r="2807" spans="1:9" ht="15" customHeight="1" x14ac:dyDescent="0.25">
      <c r="A2807" s="87" t="s">
        <v>38</v>
      </c>
      <c r="B2807" s="87" t="s">
        <v>352</v>
      </c>
      <c r="C2807" s="87">
        <v>1996</v>
      </c>
      <c r="D2807" s="87" t="s">
        <v>15</v>
      </c>
      <c r="E2807" s="116">
        <v>29</v>
      </c>
      <c r="F2807" s="87" t="s">
        <v>967</v>
      </c>
      <c r="G2807" s="87" t="s">
        <v>967</v>
      </c>
      <c r="H2807" s="87" t="s">
        <v>967</v>
      </c>
      <c r="I2807" s="87">
        <v>4</v>
      </c>
    </row>
    <row r="2808" spans="1:9" ht="15" customHeight="1" x14ac:dyDescent="0.25">
      <c r="A2808" s="87" t="s">
        <v>38</v>
      </c>
      <c r="B2808" s="87" t="s">
        <v>352</v>
      </c>
      <c r="C2808" s="87">
        <v>1997</v>
      </c>
      <c r="D2808" s="87" t="s">
        <v>15</v>
      </c>
      <c r="E2808" s="116">
        <v>45</v>
      </c>
      <c r="F2808" s="87" t="s">
        <v>967</v>
      </c>
      <c r="G2808" s="87" t="s">
        <v>967</v>
      </c>
      <c r="H2808" s="87" t="s">
        <v>967</v>
      </c>
      <c r="I2808" s="87">
        <v>4</v>
      </c>
    </row>
    <row r="2809" spans="1:9" ht="15" customHeight="1" x14ac:dyDescent="0.25">
      <c r="A2809" s="87" t="s">
        <v>38</v>
      </c>
      <c r="B2809" s="87" t="s">
        <v>352</v>
      </c>
      <c r="C2809" s="87">
        <v>1998</v>
      </c>
      <c r="D2809" s="87" t="s">
        <v>15</v>
      </c>
      <c r="E2809" s="116">
        <v>161</v>
      </c>
      <c r="F2809" s="87" t="s">
        <v>967</v>
      </c>
      <c r="G2809" s="87" t="s">
        <v>272</v>
      </c>
      <c r="H2809" s="87" t="s">
        <v>967</v>
      </c>
      <c r="I2809" s="87">
        <v>4</v>
      </c>
    </row>
    <row r="2810" spans="1:9" ht="15" customHeight="1" x14ac:dyDescent="0.25">
      <c r="A2810" s="87" t="s">
        <v>38</v>
      </c>
      <c r="B2810" s="87" t="s">
        <v>352</v>
      </c>
      <c r="C2810" s="87">
        <v>1999</v>
      </c>
      <c r="D2810" s="87" t="s">
        <v>15</v>
      </c>
      <c r="E2810" s="116">
        <v>46</v>
      </c>
      <c r="F2810" s="87" t="s">
        <v>967</v>
      </c>
      <c r="G2810" s="87" t="s">
        <v>272</v>
      </c>
      <c r="H2810" s="87" t="s">
        <v>514</v>
      </c>
      <c r="I2810" s="87">
        <v>4</v>
      </c>
    </row>
    <row r="2811" spans="1:9" ht="15" customHeight="1" x14ac:dyDescent="0.25">
      <c r="A2811" s="87" t="s">
        <v>38</v>
      </c>
      <c r="B2811" s="87" t="s">
        <v>352</v>
      </c>
      <c r="C2811" s="87">
        <v>2000</v>
      </c>
      <c r="D2811" s="87" t="s">
        <v>15</v>
      </c>
      <c r="E2811" s="116">
        <v>62</v>
      </c>
      <c r="F2811" s="87" t="s">
        <v>967</v>
      </c>
      <c r="G2811" s="87" t="s">
        <v>272</v>
      </c>
      <c r="H2811" s="87" t="s">
        <v>967</v>
      </c>
      <c r="I2811" s="87">
        <v>4</v>
      </c>
    </row>
    <row r="2812" spans="1:9" ht="15" customHeight="1" x14ac:dyDescent="0.25">
      <c r="A2812" s="87" t="s">
        <v>38</v>
      </c>
      <c r="B2812" s="87" t="s">
        <v>352</v>
      </c>
      <c r="C2812" s="87">
        <v>2001</v>
      </c>
      <c r="D2812" s="87" t="s">
        <v>15</v>
      </c>
      <c r="E2812" s="116">
        <v>57</v>
      </c>
      <c r="F2812" s="87" t="s">
        <v>967</v>
      </c>
      <c r="G2812" s="87" t="s">
        <v>272</v>
      </c>
      <c r="H2812" s="87" t="s">
        <v>967</v>
      </c>
      <c r="I2812" s="87">
        <v>4</v>
      </c>
    </row>
    <row r="2813" spans="1:9" ht="15" customHeight="1" x14ac:dyDescent="0.25">
      <c r="A2813" s="87" t="s">
        <v>38</v>
      </c>
      <c r="B2813" s="87" t="s">
        <v>352</v>
      </c>
      <c r="C2813" s="87">
        <v>2002</v>
      </c>
      <c r="D2813" s="87" t="s">
        <v>15</v>
      </c>
      <c r="E2813" s="116">
        <v>132</v>
      </c>
      <c r="F2813" s="87" t="s">
        <v>967</v>
      </c>
      <c r="G2813" s="87" t="s">
        <v>967</v>
      </c>
      <c r="H2813" s="87" t="s">
        <v>967</v>
      </c>
      <c r="I2813" s="87">
        <v>4</v>
      </c>
    </row>
    <row r="2814" spans="1:9" ht="15" customHeight="1" x14ac:dyDescent="0.25">
      <c r="A2814" s="87" t="s">
        <v>38</v>
      </c>
      <c r="B2814" s="87" t="s">
        <v>352</v>
      </c>
      <c r="C2814" s="87">
        <v>2003</v>
      </c>
      <c r="D2814" s="87" t="s">
        <v>15</v>
      </c>
      <c r="E2814" s="116">
        <v>385</v>
      </c>
      <c r="F2814" s="87" t="s">
        <v>967</v>
      </c>
      <c r="G2814" s="87" t="s">
        <v>967</v>
      </c>
      <c r="H2814" s="87" t="s">
        <v>967</v>
      </c>
      <c r="I2814" s="87">
        <v>4</v>
      </c>
    </row>
    <row r="2815" spans="1:9" ht="15" customHeight="1" x14ac:dyDescent="0.25">
      <c r="A2815" s="87" t="s">
        <v>38</v>
      </c>
      <c r="B2815" s="87" t="s">
        <v>352</v>
      </c>
      <c r="C2815" s="87">
        <v>2004</v>
      </c>
      <c r="D2815" s="87" t="s">
        <v>15</v>
      </c>
      <c r="E2815" s="116">
        <v>238</v>
      </c>
      <c r="F2815" s="87" t="s">
        <v>967</v>
      </c>
      <c r="G2815" s="87" t="s">
        <v>272</v>
      </c>
      <c r="H2815" s="87" t="s">
        <v>967</v>
      </c>
      <c r="I2815" s="87">
        <v>4</v>
      </c>
    </row>
    <row r="2816" spans="1:9" ht="15" customHeight="1" x14ac:dyDescent="0.25">
      <c r="A2816" s="87" t="s">
        <v>38</v>
      </c>
      <c r="B2816" s="87" t="s">
        <v>352</v>
      </c>
      <c r="C2816" s="87">
        <v>2005</v>
      </c>
      <c r="D2816" s="87" t="s">
        <v>15</v>
      </c>
      <c r="E2816" s="116">
        <v>77</v>
      </c>
      <c r="F2816" s="87" t="s">
        <v>967</v>
      </c>
      <c r="G2816" s="87" t="s">
        <v>272</v>
      </c>
      <c r="H2816" s="87" t="s">
        <v>967</v>
      </c>
      <c r="I2816" s="87">
        <v>4</v>
      </c>
    </row>
    <row r="2817" spans="1:9" ht="15" customHeight="1" x14ac:dyDescent="0.25">
      <c r="A2817" s="87" t="s">
        <v>38</v>
      </c>
      <c r="B2817" s="87" t="s">
        <v>352</v>
      </c>
      <c r="C2817" s="87">
        <v>2006</v>
      </c>
      <c r="D2817" s="87" t="s">
        <v>15</v>
      </c>
      <c r="E2817" s="116">
        <v>174</v>
      </c>
      <c r="F2817" s="87" t="s">
        <v>967</v>
      </c>
      <c r="G2817" s="87" t="s">
        <v>272</v>
      </c>
      <c r="H2817" s="87" t="s">
        <v>967</v>
      </c>
      <c r="I2817" s="87">
        <v>4</v>
      </c>
    </row>
    <row r="2818" spans="1:9" ht="15" customHeight="1" x14ac:dyDescent="0.25">
      <c r="A2818" s="87" t="s">
        <v>38</v>
      </c>
      <c r="B2818" s="87" t="s">
        <v>352</v>
      </c>
      <c r="C2818" s="87">
        <v>2007</v>
      </c>
      <c r="D2818" s="87" t="s">
        <v>15</v>
      </c>
      <c r="E2818" s="116">
        <v>42</v>
      </c>
      <c r="F2818" s="87" t="s">
        <v>967</v>
      </c>
      <c r="G2818" s="87" t="s">
        <v>272</v>
      </c>
      <c r="H2818" s="87" t="s">
        <v>967</v>
      </c>
      <c r="I2818" s="87">
        <v>4</v>
      </c>
    </row>
    <row r="2819" spans="1:9" ht="15" customHeight="1" x14ac:dyDescent="0.25">
      <c r="A2819" s="87" t="s">
        <v>38</v>
      </c>
      <c r="B2819" s="87" t="s">
        <v>352</v>
      </c>
      <c r="C2819" s="87">
        <v>2008</v>
      </c>
      <c r="D2819" s="87" t="s">
        <v>15</v>
      </c>
      <c r="E2819" s="116">
        <v>20</v>
      </c>
      <c r="F2819" s="87" t="s">
        <v>967</v>
      </c>
      <c r="G2819" s="87" t="s">
        <v>272</v>
      </c>
      <c r="H2819" s="87" t="s">
        <v>967</v>
      </c>
      <c r="I2819" s="87">
        <v>4</v>
      </c>
    </row>
    <row r="2820" spans="1:9" ht="15" customHeight="1" x14ac:dyDescent="0.25">
      <c r="A2820" s="87" t="s">
        <v>38</v>
      </c>
      <c r="B2820" s="87" t="s">
        <v>352</v>
      </c>
      <c r="C2820" s="87">
        <v>2009</v>
      </c>
      <c r="D2820" s="87" t="s">
        <v>15</v>
      </c>
      <c r="E2820" s="116">
        <v>174</v>
      </c>
      <c r="F2820" s="87" t="s">
        <v>967</v>
      </c>
      <c r="G2820" s="87" t="s">
        <v>272</v>
      </c>
      <c r="H2820" s="87" t="s">
        <v>967</v>
      </c>
      <c r="I2820" s="87">
        <v>4</v>
      </c>
    </row>
    <row r="2821" spans="1:9" ht="15" customHeight="1" x14ac:dyDescent="0.25">
      <c r="A2821" s="87" t="s">
        <v>38</v>
      </c>
      <c r="B2821" s="87" t="s">
        <v>352</v>
      </c>
      <c r="C2821" s="87">
        <v>2010</v>
      </c>
      <c r="D2821" s="87" t="s">
        <v>15</v>
      </c>
      <c r="E2821" s="116">
        <v>58</v>
      </c>
      <c r="F2821" s="87" t="s">
        <v>967</v>
      </c>
      <c r="G2821" s="87" t="s">
        <v>272</v>
      </c>
      <c r="H2821" s="87" t="s">
        <v>967</v>
      </c>
      <c r="I2821" s="87">
        <v>4</v>
      </c>
    </row>
    <row r="2822" spans="1:9" ht="15" customHeight="1" x14ac:dyDescent="0.25">
      <c r="A2822" s="87" t="s">
        <v>38</v>
      </c>
      <c r="B2822" s="87" t="s">
        <v>352</v>
      </c>
      <c r="C2822" s="87">
        <v>2011</v>
      </c>
      <c r="D2822" s="87" t="s">
        <v>15</v>
      </c>
      <c r="E2822" s="116">
        <v>86</v>
      </c>
      <c r="F2822" s="87" t="s">
        <v>967</v>
      </c>
      <c r="G2822" s="87" t="s">
        <v>272</v>
      </c>
      <c r="H2822" s="87" t="s">
        <v>967</v>
      </c>
      <c r="I2822" s="87">
        <v>4</v>
      </c>
    </row>
    <row r="2823" spans="1:9" ht="15" customHeight="1" x14ac:dyDescent="0.25">
      <c r="A2823" s="87" t="s">
        <v>38</v>
      </c>
      <c r="B2823" s="87" t="s">
        <v>352</v>
      </c>
      <c r="C2823" s="87">
        <v>2012</v>
      </c>
      <c r="D2823" s="87" t="s">
        <v>15</v>
      </c>
      <c r="E2823" s="116">
        <v>38</v>
      </c>
      <c r="F2823" s="87" t="s">
        <v>967</v>
      </c>
      <c r="G2823" s="87" t="s">
        <v>272</v>
      </c>
      <c r="H2823" s="87" t="s">
        <v>967</v>
      </c>
      <c r="I2823" s="87">
        <v>4</v>
      </c>
    </row>
    <row r="2824" spans="1:9" ht="15" customHeight="1" x14ac:dyDescent="0.25">
      <c r="A2824" s="87" t="s">
        <v>38</v>
      </c>
      <c r="B2824" s="87" t="s">
        <v>352</v>
      </c>
      <c r="C2824" s="87">
        <v>2013</v>
      </c>
      <c r="D2824" s="87" t="s">
        <v>15</v>
      </c>
      <c r="E2824" s="116">
        <v>66</v>
      </c>
      <c r="F2824" s="87" t="s">
        <v>967</v>
      </c>
      <c r="G2824" s="87" t="s">
        <v>272</v>
      </c>
      <c r="H2824" s="87" t="s">
        <v>967</v>
      </c>
      <c r="I2824" s="87">
        <v>4</v>
      </c>
    </row>
    <row r="2825" spans="1:9" ht="15" customHeight="1" x14ac:dyDescent="0.25">
      <c r="A2825" s="87" t="s">
        <v>38</v>
      </c>
      <c r="B2825" s="87" t="s">
        <v>352</v>
      </c>
      <c r="C2825" s="87">
        <v>2014</v>
      </c>
      <c r="D2825" s="87" t="s">
        <v>15</v>
      </c>
      <c r="E2825" s="116">
        <v>145</v>
      </c>
      <c r="F2825" s="87" t="s">
        <v>967</v>
      </c>
      <c r="G2825" s="87" t="s">
        <v>274</v>
      </c>
      <c r="H2825" s="87" t="s">
        <v>967</v>
      </c>
      <c r="I2825" s="87">
        <v>4</v>
      </c>
    </row>
    <row r="2826" spans="1:9" ht="15" customHeight="1" x14ac:dyDescent="0.25">
      <c r="A2826" s="87" t="s">
        <v>38</v>
      </c>
      <c r="B2826" s="87" t="s">
        <v>352</v>
      </c>
      <c r="C2826" s="87">
        <v>2015</v>
      </c>
      <c r="D2826" s="87" t="s">
        <v>15</v>
      </c>
      <c r="E2826" s="116">
        <v>71</v>
      </c>
      <c r="F2826" s="87" t="s">
        <v>967</v>
      </c>
      <c r="G2826" s="87" t="s">
        <v>272</v>
      </c>
      <c r="H2826" s="87" t="s">
        <v>967</v>
      </c>
      <c r="I2826" s="87">
        <v>4</v>
      </c>
    </row>
    <row r="2827" spans="1:9" ht="15" customHeight="1" x14ac:dyDescent="0.25">
      <c r="A2827" s="87" t="s">
        <v>38</v>
      </c>
      <c r="B2827" s="87" t="s">
        <v>352</v>
      </c>
      <c r="C2827" s="87">
        <v>2016</v>
      </c>
      <c r="D2827" s="87" t="s">
        <v>15</v>
      </c>
      <c r="E2827" s="116">
        <v>51</v>
      </c>
      <c r="F2827" s="87" t="s">
        <v>967</v>
      </c>
      <c r="G2827" s="87" t="s">
        <v>272</v>
      </c>
      <c r="H2827" s="87" t="s">
        <v>967</v>
      </c>
      <c r="I2827" s="87">
        <v>4</v>
      </c>
    </row>
    <row r="2828" spans="1:9" ht="15" customHeight="1" x14ac:dyDescent="0.25">
      <c r="A2828" s="87" t="s">
        <v>38</v>
      </c>
      <c r="B2828" s="87" t="s">
        <v>352</v>
      </c>
      <c r="C2828" s="87">
        <v>2017</v>
      </c>
      <c r="D2828" s="87" t="s">
        <v>15</v>
      </c>
      <c r="E2828" s="116">
        <v>68</v>
      </c>
      <c r="F2828" s="87" t="s">
        <v>967</v>
      </c>
      <c r="G2828" s="87" t="s">
        <v>272</v>
      </c>
      <c r="H2828" s="87" t="s">
        <v>967</v>
      </c>
      <c r="I2828" s="87">
        <v>4</v>
      </c>
    </row>
    <row r="2829" spans="1:9" ht="15" customHeight="1" x14ac:dyDescent="0.25">
      <c r="A2829" s="87" t="s">
        <v>38</v>
      </c>
      <c r="B2829" s="87" t="s">
        <v>352</v>
      </c>
      <c r="C2829" s="87">
        <v>2018</v>
      </c>
      <c r="D2829" s="87" t="s">
        <v>15</v>
      </c>
      <c r="E2829" s="116">
        <v>23</v>
      </c>
      <c r="F2829" s="87" t="s">
        <v>967</v>
      </c>
      <c r="G2829" s="87" t="s">
        <v>272</v>
      </c>
      <c r="H2829" s="87" t="s">
        <v>967</v>
      </c>
      <c r="I2829" s="87">
        <v>4</v>
      </c>
    </row>
    <row r="2830" spans="1:9" ht="15" customHeight="1" x14ac:dyDescent="0.25">
      <c r="A2830" s="87" t="s">
        <v>38</v>
      </c>
      <c r="B2830" s="87" t="s">
        <v>352</v>
      </c>
      <c r="C2830" s="87">
        <v>2019</v>
      </c>
      <c r="D2830" s="87" t="s">
        <v>15</v>
      </c>
      <c r="E2830" s="116">
        <v>0</v>
      </c>
      <c r="F2830" s="87" t="s">
        <v>967</v>
      </c>
      <c r="G2830" s="87" t="s">
        <v>272</v>
      </c>
      <c r="H2830" s="87" t="s">
        <v>967</v>
      </c>
      <c r="I2830" s="87">
        <v>4</v>
      </c>
    </row>
    <row r="2831" spans="1:9" ht="15" customHeight="1" x14ac:dyDescent="0.25">
      <c r="A2831" s="87" t="s">
        <v>38</v>
      </c>
      <c r="B2831" s="87" t="s">
        <v>352</v>
      </c>
      <c r="C2831" s="87">
        <v>2020</v>
      </c>
      <c r="D2831" s="87" t="s">
        <v>15</v>
      </c>
      <c r="E2831" s="116">
        <v>15</v>
      </c>
      <c r="F2831" s="87" t="s">
        <v>967</v>
      </c>
      <c r="G2831" s="87" t="s">
        <v>272</v>
      </c>
      <c r="H2831" s="87" t="s">
        <v>967</v>
      </c>
      <c r="I2831" s="87">
        <v>4</v>
      </c>
    </row>
    <row r="2832" spans="1:9" ht="15" customHeight="1" x14ac:dyDescent="0.25">
      <c r="A2832" s="87" t="s">
        <v>38</v>
      </c>
      <c r="B2832" s="87" t="s">
        <v>352</v>
      </c>
      <c r="C2832" s="87">
        <v>2021</v>
      </c>
      <c r="D2832" s="87" t="s">
        <v>15</v>
      </c>
      <c r="E2832" s="116">
        <v>74</v>
      </c>
      <c r="F2832" s="87" t="s">
        <v>967</v>
      </c>
      <c r="G2832" s="87" t="s">
        <v>272</v>
      </c>
      <c r="H2832" s="87" t="s">
        <v>967</v>
      </c>
      <c r="I2832" s="87">
        <v>4</v>
      </c>
    </row>
    <row r="2833" spans="1:9" ht="15" customHeight="1" x14ac:dyDescent="0.25">
      <c r="A2833" s="87" t="s">
        <v>38</v>
      </c>
      <c r="B2833" s="87" t="s">
        <v>352</v>
      </c>
      <c r="C2833" s="87">
        <v>2022</v>
      </c>
      <c r="D2833" s="87" t="s">
        <v>15</v>
      </c>
      <c r="E2833" s="116">
        <v>132</v>
      </c>
      <c r="F2833" s="87" t="s">
        <v>967</v>
      </c>
      <c r="G2833" s="87" t="s">
        <v>967</v>
      </c>
      <c r="H2833" s="87" t="s">
        <v>967</v>
      </c>
      <c r="I2833" s="87">
        <v>4</v>
      </c>
    </row>
    <row r="2834" spans="1:9" ht="15" customHeight="1" x14ac:dyDescent="0.25">
      <c r="A2834" s="87" t="s">
        <v>38</v>
      </c>
      <c r="B2834" s="87" t="s">
        <v>354</v>
      </c>
      <c r="C2834" s="87">
        <v>1975</v>
      </c>
      <c r="D2834" s="87" t="s">
        <v>15</v>
      </c>
      <c r="E2834" s="116">
        <v>200</v>
      </c>
      <c r="F2834" s="87" t="s">
        <v>508</v>
      </c>
      <c r="G2834" s="87" t="s">
        <v>967</v>
      </c>
      <c r="H2834" s="87" t="s">
        <v>508</v>
      </c>
      <c r="I2834" s="87">
        <v>17</v>
      </c>
    </row>
    <row r="2835" spans="1:9" ht="15" customHeight="1" x14ac:dyDescent="0.25">
      <c r="A2835" s="87" t="s">
        <v>38</v>
      </c>
      <c r="B2835" s="87" t="s">
        <v>354</v>
      </c>
      <c r="C2835" s="87">
        <v>1976</v>
      </c>
      <c r="D2835" s="87" t="s">
        <v>15</v>
      </c>
      <c r="E2835" s="116">
        <v>200</v>
      </c>
      <c r="F2835" s="87" t="s">
        <v>508</v>
      </c>
      <c r="G2835" s="87" t="s">
        <v>967</v>
      </c>
      <c r="H2835" s="87" t="s">
        <v>508</v>
      </c>
      <c r="I2835" s="87">
        <v>17</v>
      </c>
    </row>
    <row r="2836" spans="1:9" ht="15" customHeight="1" x14ac:dyDescent="0.25">
      <c r="A2836" s="87" t="s">
        <v>38</v>
      </c>
      <c r="B2836" s="87" t="s">
        <v>354</v>
      </c>
      <c r="C2836" s="87">
        <v>1977</v>
      </c>
      <c r="D2836" s="87" t="s">
        <v>15</v>
      </c>
      <c r="E2836" s="116">
        <v>200</v>
      </c>
      <c r="F2836" s="87" t="s">
        <v>508</v>
      </c>
      <c r="G2836" s="87" t="s">
        <v>967</v>
      </c>
      <c r="H2836" s="87" t="s">
        <v>508</v>
      </c>
      <c r="I2836" s="87">
        <v>17</v>
      </c>
    </row>
    <row r="2837" spans="1:9" ht="15" customHeight="1" x14ac:dyDescent="0.25">
      <c r="A2837" s="87" t="s">
        <v>38</v>
      </c>
      <c r="B2837" s="87" t="s">
        <v>354</v>
      </c>
      <c r="C2837" s="87">
        <v>1978</v>
      </c>
      <c r="D2837" s="87" t="s">
        <v>15</v>
      </c>
      <c r="E2837" s="116">
        <v>400</v>
      </c>
      <c r="F2837" s="87" t="s">
        <v>508</v>
      </c>
      <c r="G2837" s="87" t="s">
        <v>967</v>
      </c>
      <c r="H2837" s="87" t="s">
        <v>508</v>
      </c>
      <c r="I2837" s="87">
        <v>17</v>
      </c>
    </row>
    <row r="2838" spans="1:9" ht="15" customHeight="1" x14ac:dyDescent="0.25">
      <c r="A2838" s="87" t="s">
        <v>38</v>
      </c>
      <c r="B2838" s="87" t="s">
        <v>354</v>
      </c>
      <c r="C2838" s="87">
        <v>1979</v>
      </c>
      <c r="D2838" s="87" t="s">
        <v>15</v>
      </c>
      <c r="E2838" s="116">
        <v>750</v>
      </c>
      <c r="F2838" s="87" t="s">
        <v>508</v>
      </c>
      <c r="G2838" s="87" t="s">
        <v>967</v>
      </c>
      <c r="H2838" s="87" t="s">
        <v>508</v>
      </c>
      <c r="I2838" s="87">
        <v>17</v>
      </c>
    </row>
    <row r="2839" spans="1:9" ht="15" customHeight="1" x14ac:dyDescent="0.25">
      <c r="A2839" s="87" t="s">
        <v>38</v>
      </c>
      <c r="B2839" s="87" t="s">
        <v>354</v>
      </c>
      <c r="C2839" s="87">
        <v>1980</v>
      </c>
      <c r="D2839" s="87" t="s">
        <v>15</v>
      </c>
      <c r="E2839" s="116">
        <v>500</v>
      </c>
      <c r="F2839" s="87" t="s">
        <v>508</v>
      </c>
      <c r="G2839" s="87" t="s">
        <v>967</v>
      </c>
      <c r="H2839" s="87" t="s">
        <v>508</v>
      </c>
      <c r="I2839" s="87">
        <v>17</v>
      </c>
    </row>
    <row r="2840" spans="1:9" ht="15" customHeight="1" x14ac:dyDescent="0.25">
      <c r="A2840" s="87" t="s">
        <v>38</v>
      </c>
      <c r="B2840" s="87" t="s">
        <v>354</v>
      </c>
      <c r="C2840" s="87">
        <v>1981</v>
      </c>
      <c r="D2840" s="87" t="s">
        <v>15</v>
      </c>
      <c r="E2840" s="116">
        <v>175</v>
      </c>
      <c r="F2840" s="87" t="s">
        <v>508</v>
      </c>
      <c r="G2840" s="87" t="s">
        <v>967</v>
      </c>
      <c r="H2840" s="87" t="s">
        <v>508</v>
      </c>
      <c r="I2840" s="87">
        <v>17</v>
      </c>
    </row>
    <row r="2841" spans="1:9" ht="15" customHeight="1" x14ac:dyDescent="0.25">
      <c r="A2841" s="87" t="s">
        <v>38</v>
      </c>
      <c r="B2841" s="87" t="s">
        <v>354</v>
      </c>
      <c r="C2841" s="87">
        <v>1982</v>
      </c>
      <c r="D2841" s="87" t="s">
        <v>15</v>
      </c>
      <c r="E2841" s="116">
        <v>300</v>
      </c>
      <c r="F2841" s="87" t="s">
        <v>508</v>
      </c>
      <c r="G2841" s="87" t="s">
        <v>967</v>
      </c>
      <c r="H2841" s="87" t="s">
        <v>508</v>
      </c>
      <c r="I2841" s="87">
        <v>17</v>
      </c>
    </row>
    <row r="2842" spans="1:9" ht="15" customHeight="1" x14ac:dyDescent="0.25">
      <c r="A2842" s="87" t="s">
        <v>38</v>
      </c>
      <c r="B2842" s="87" t="s">
        <v>354</v>
      </c>
      <c r="C2842" s="87">
        <v>1983</v>
      </c>
      <c r="D2842" s="87" t="s">
        <v>15</v>
      </c>
      <c r="E2842" s="116">
        <v>250</v>
      </c>
      <c r="F2842" s="87" t="s">
        <v>508</v>
      </c>
      <c r="G2842" s="87" t="s">
        <v>967</v>
      </c>
      <c r="H2842" s="87" t="s">
        <v>508</v>
      </c>
      <c r="I2842" s="87">
        <v>17</v>
      </c>
    </row>
    <row r="2843" spans="1:9" ht="15" customHeight="1" x14ac:dyDescent="0.25">
      <c r="A2843" s="87" t="s">
        <v>38</v>
      </c>
      <c r="B2843" s="87" t="s">
        <v>354</v>
      </c>
      <c r="C2843" s="87">
        <v>1984</v>
      </c>
      <c r="D2843" s="87" t="s">
        <v>15</v>
      </c>
      <c r="E2843" s="116">
        <v>-1</v>
      </c>
      <c r="F2843" s="87" t="s">
        <v>508</v>
      </c>
      <c r="G2843" s="87" t="s">
        <v>967</v>
      </c>
      <c r="H2843" s="87" t="s">
        <v>508</v>
      </c>
      <c r="I2843" s="87">
        <v>17</v>
      </c>
    </row>
    <row r="2844" spans="1:9" ht="15" customHeight="1" x14ac:dyDescent="0.25">
      <c r="A2844" s="87" t="s">
        <v>38</v>
      </c>
      <c r="B2844" s="87" t="s">
        <v>354</v>
      </c>
      <c r="C2844" s="87">
        <v>1985</v>
      </c>
      <c r="D2844" s="87" t="s">
        <v>15</v>
      </c>
      <c r="E2844" s="116">
        <v>350</v>
      </c>
      <c r="F2844" s="87" t="s">
        <v>508</v>
      </c>
      <c r="G2844" s="87" t="s">
        <v>967</v>
      </c>
      <c r="H2844" s="87" t="s">
        <v>508</v>
      </c>
      <c r="I2844" s="87">
        <v>17</v>
      </c>
    </row>
    <row r="2845" spans="1:9" ht="15" customHeight="1" x14ac:dyDescent="0.25">
      <c r="A2845" s="87" t="s">
        <v>38</v>
      </c>
      <c r="B2845" s="87" t="s">
        <v>354</v>
      </c>
      <c r="C2845" s="87">
        <v>1986</v>
      </c>
      <c r="D2845" s="87" t="s">
        <v>15</v>
      </c>
      <c r="E2845" s="116">
        <v>450</v>
      </c>
      <c r="F2845" s="87" t="s">
        <v>508</v>
      </c>
      <c r="G2845" s="87" t="s">
        <v>967</v>
      </c>
      <c r="H2845" s="87" t="s">
        <v>508</v>
      </c>
      <c r="I2845" s="87">
        <v>17</v>
      </c>
    </row>
    <row r="2846" spans="1:9" ht="15" customHeight="1" x14ac:dyDescent="0.25">
      <c r="A2846" s="87" t="s">
        <v>38</v>
      </c>
      <c r="B2846" s="87" t="s">
        <v>354</v>
      </c>
      <c r="C2846" s="87">
        <v>1987</v>
      </c>
      <c r="D2846" s="87" t="s">
        <v>15</v>
      </c>
      <c r="E2846" s="116">
        <v>700</v>
      </c>
      <c r="F2846" s="87" t="s">
        <v>508</v>
      </c>
      <c r="G2846" s="87" t="s">
        <v>967</v>
      </c>
      <c r="H2846" s="87" t="s">
        <v>508</v>
      </c>
      <c r="I2846" s="87">
        <v>17</v>
      </c>
    </row>
    <row r="2847" spans="1:9" ht="15" customHeight="1" x14ac:dyDescent="0.25">
      <c r="A2847" s="87" t="s">
        <v>38</v>
      </c>
      <c r="B2847" s="87" t="s">
        <v>354</v>
      </c>
      <c r="C2847" s="87">
        <v>1988</v>
      </c>
      <c r="D2847" s="87" t="s">
        <v>15</v>
      </c>
      <c r="E2847" s="116">
        <v>1200</v>
      </c>
      <c r="F2847" s="87" t="s">
        <v>508</v>
      </c>
      <c r="G2847" s="87" t="s">
        <v>967</v>
      </c>
      <c r="H2847" s="87" t="s">
        <v>508</v>
      </c>
      <c r="I2847" s="87">
        <v>17</v>
      </c>
    </row>
    <row r="2848" spans="1:9" ht="15" customHeight="1" x14ac:dyDescent="0.25">
      <c r="A2848" s="87" t="s">
        <v>38</v>
      </c>
      <c r="B2848" s="87" t="s">
        <v>354</v>
      </c>
      <c r="C2848" s="87">
        <v>1989</v>
      </c>
      <c r="D2848" s="87" t="s">
        <v>15</v>
      </c>
      <c r="E2848" s="116">
        <v>450</v>
      </c>
      <c r="F2848" s="87" t="s">
        <v>508</v>
      </c>
      <c r="G2848" s="87" t="s">
        <v>967</v>
      </c>
      <c r="H2848" s="87" t="s">
        <v>508</v>
      </c>
      <c r="I2848" s="87">
        <v>17</v>
      </c>
    </row>
    <row r="2849" spans="1:9" ht="15" customHeight="1" x14ac:dyDescent="0.25">
      <c r="A2849" s="87" t="s">
        <v>38</v>
      </c>
      <c r="B2849" s="87" t="s">
        <v>354</v>
      </c>
      <c r="C2849" s="87">
        <v>1990</v>
      </c>
      <c r="D2849" s="87" t="s">
        <v>15</v>
      </c>
      <c r="E2849" s="116">
        <v>700</v>
      </c>
      <c r="F2849" s="87" t="s">
        <v>508</v>
      </c>
      <c r="G2849" s="87" t="s">
        <v>967</v>
      </c>
      <c r="H2849" s="87" t="s">
        <v>508</v>
      </c>
      <c r="I2849" s="87">
        <v>17</v>
      </c>
    </row>
    <row r="2850" spans="1:9" ht="15" customHeight="1" x14ac:dyDescent="0.25">
      <c r="A2850" s="87" t="s">
        <v>38</v>
      </c>
      <c r="B2850" s="87" t="s">
        <v>354</v>
      </c>
      <c r="C2850" s="87">
        <v>1991</v>
      </c>
      <c r="D2850" s="87" t="s">
        <v>15</v>
      </c>
      <c r="E2850" s="116">
        <v>300</v>
      </c>
      <c r="F2850" s="87" t="s">
        <v>508</v>
      </c>
      <c r="G2850" s="87" t="s">
        <v>967</v>
      </c>
      <c r="H2850" s="87" t="s">
        <v>508</v>
      </c>
      <c r="I2850" s="87">
        <v>17</v>
      </c>
    </row>
    <row r="2851" spans="1:9" ht="15" customHeight="1" x14ac:dyDescent="0.25">
      <c r="A2851" s="87" t="s">
        <v>38</v>
      </c>
      <c r="B2851" s="87" t="s">
        <v>354</v>
      </c>
      <c r="C2851" s="87">
        <v>1992</v>
      </c>
      <c r="D2851" s="87" t="s">
        <v>15</v>
      </c>
      <c r="E2851" s="116">
        <v>300</v>
      </c>
      <c r="F2851" s="87" t="s">
        <v>508</v>
      </c>
      <c r="G2851" s="87" t="s">
        <v>967</v>
      </c>
      <c r="H2851" s="87" t="s">
        <v>508</v>
      </c>
      <c r="I2851" s="87">
        <v>17</v>
      </c>
    </row>
    <row r="2852" spans="1:9" ht="15" customHeight="1" x14ac:dyDescent="0.25">
      <c r="A2852" s="87" t="s">
        <v>38</v>
      </c>
      <c r="B2852" s="87" t="s">
        <v>354</v>
      </c>
      <c r="C2852" s="87">
        <v>1993</v>
      </c>
      <c r="D2852" s="87" t="s">
        <v>15</v>
      </c>
      <c r="E2852" s="116">
        <v>50</v>
      </c>
      <c r="F2852" s="87" t="s">
        <v>508</v>
      </c>
      <c r="G2852" s="87" t="s">
        <v>967</v>
      </c>
      <c r="H2852" s="87" t="s">
        <v>508</v>
      </c>
      <c r="I2852" s="87">
        <v>17</v>
      </c>
    </row>
    <row r="2853" spans="1:9" ht="15" customHeight="1" x14ac:dyDescent="0.25">
      <c r="A2853" s="87" t="s">
        <v>38</v>
      </c>
      <c r="B2853" s="87" t="s">
        <v>354</v>
      </c>
      <c r="C2853" s="87">
        <v>1994</v>
      </c>
      <c r="D2853" s="87" t="s">
        <v>15</v>
      </c>
      <c r="E2853" s="116">
        <v>729</v>
      </c>
      <c r="F2853" s="87" t="s">
        <v>508</v>
      </c>
      <c r="G2853" s="87" t="s">
        <v>967</v>
      </c>
      <c r="H2853" s="87" t="s">
        <v>508</v>
      </c>
      <c r="I2853" s="87">
        <v>17</v>
      </c>
    </row>
    <row r="2854" spans="1:9" ht="15" customHeight="1" x14ac:dyDescent="0.25">
      <c r="A2854" s="87" t="s">
        <v>38</v>
      </c>
      <c r="B2854" s="87" t="s">
        <v>354</v>
      </c>
      <c r="C2854" s="87">
        <v>1995</v>
      </c>
      <c r="D2854" s="87" t="s">
        <v>15</v>
      </c>
      <c r="E2854" s="116">
        <v>901</v>
      </c>
      <c r="F2854" s="87" t="s">
        <v>967</v>
      </c>
      <c r="G2854" s="87" t="s">
        <v>967</v>
      </c>
      <c r="H2854" s="87" t="s">
        <v>967</v>
      </c>
      <c r="I2854" s="87">
        <v>17</v>
      </c>
    </row>
    <row r="2855" spans="1:9" ht="15" customHeight="1" x14ac:dyDescent="0.25">
      <c r="A2855" s="87" t="s">
        <v>38</v>
      </c>
      <c r="B2855" s="87" t="s">
        <v>354</v>
      </c>
      <c r="C2855" s="87">
        <v>1996</v>
      </c>
      <c r="D2855" s="87" t="s">
        <v>15</v>
      </c>
      <c r="E2855" s="116">
        <v>1020</v>
      </c>
      <c r="F2855" s="87" t="s">
        <v>967</v>
      </c>
      <c r="G2855" s="87" t="s">
        <v>967</v>
      </c>
      <c r="H2855" s="87" t="s">
        <v>755</v>
      </c>
      <c r="I2855" s="87">
        <v>17</v>
      </c>
    </row>
    <row r="2856" spans="1:9" ht="15" customHeight="1" x14ac:dyDescent="0.25">
      <c r="A2856" s="87" t="s">
        <v>38</v>
      </c>
      <c r="B2856" s="87" t="s">
        <v>354</v>
      </c>
      <c r="C2856" s="87">
        <v>1997</v>
      </c>
      <c r="D2856" s="87" t="s">
        <v>15</v>
      </c>
      <c r="E2856" s="116">
        <v>560</v>
      </c>
      <c r="F2856" s="87" t="s">
        <v>967</v>
      </c>
      <c r="G2856" s="87" t="s">
        <v>967</v>
      </c>
      <c r="H2856" s="87" t="s">
        <v>967</v>
      </c>
      <c r="I2856" s="87">
        <v>17</v>
      </c>
    </row>
    <row r="2857" spans="1:9" ht="15" customHeight="1" x14ac:dyDescent="0.25">
      <c r="A2857" s="87" t="s">
        <v>38</v>
      </c>
      <c r="B2857" s="87" t="s">
        <v>354</v>
      </c>
      <c r="C2857" s="87">
        <v>1998</v>
      </c>
      <c r="D2857" s="87" t="s">
        <v>15</v>
      </c>
      <c r="E2857" s="116">
        <v>1197</v>
      </c>
      <c r="F2857" s="87" t="s">
        <v>967</v>
      </c>
      <c r="G2857" s="87" t="s">
        <v>272</v>
      </c>
      <c r="H2857" s="87" t="s">
        <v>967</v>
      </c>
      <c r="I2857" s="87">
        <v>17</v>
      </c>
    </row>
    <row r="2858" spans="1:9" ht="15" customHeight="1" x14ac:dyDescent="0.25">
      <c r="A2858" s="87" t="s">
        <v>38</v>
      </c>
      <c r="B2858" s="87" t="s">
        <v>354</v>
      </c>
      <c r="C2858" s="87">
        <v>1999</v>
      </c>
      <c r="D2858" s="87" t="s">
        <v>15</v>
      </c>
      <c r="E2858" s="116">
        <v>858</v>
      </c>
      <c r="F2858" s="87" t="s">
        <v>756</v>
      </c>
      <c r="G2858" s="87" t="s">
        <v>272</v>
      </c>
      <c r="H2858" s="87" t="s">
        <v>967</v>
      </c>
      <c r="I2858" s="87">
        <v>17</v>
      </c>
    </row>
    <row r="2859" spans="1:9" ht="15" customHeight="1" x14ac:dyDescent="0.25">
      <c r="A2859" s="87" t="s">
        <v>38</v>
      </c>
      <c r="B2859" s="87" t="s">
        <v>354</v>
      </c>
      <c r="C2859" s="87">
        <v>2000</v>
      </c>
      <c r="D2859" s="87" t="s">
        <v>15</v>
      </c>
      <c r="E2859" s="116">
        <v>704</v>
      </c>
      <c r="F2859" s="87" t="s">
        <v>967</v>
      </c>
      <c r="G2859" s="87" t="s">
        <v>272</v>
      </c>
      <c r="H2859" s="87" t="s">
        <v>470</v>
      </c>
      <c r="I2859" s="87">
        <v>17</v>
      </c>
    </row>
    <row r="2860" spans="1:9" ht="15" customHeight="1" x14ac:dyDescent="0.25">
      <c r="A2860" s="87" t="s">
        <v>38</v>
      </c>
      <c r="B2860" s="87" t="s">
        <v>354</v>
      </c>
      <c r="C2860" s="87">
        <v>2001</v>
      </c>
      <c r="D2860" s="87" t="s">
        <v>15</v>
      </c>
      <c r="E2860" s="116">
        <v>480</v>
      </c>
      <c r="F2860" s="87" t="s">
        <v>967</v>
      </c>
      <c r="G2860" s="87" t="s">
        <v>272</v>
      </c>
      <c r="H2860" s="87" t="s">
        <v>967</v>
      </c>
      <c r="I2860" s="87">
        <v>17</v>
      </c>
    </row>
    <row r="2861" spans="1:9" ht="15" customHeight="1" x14ac:dyDescent="0.25">
      <c r="A2861" s="87" t="s">
        <v>38</v>
      </c>
      <c r="B2861" s="87" t="s">
        <v>354</v>
      </c>
      <c r="C2861" s="87">
        <v>2002</v>
      </c>
      <c r="D2861" s="87" t="s">
        <v>15</v>
      </c>
      <c r="E2861" s="116">
        <v>587</v>
      </c>
      <c r="F2861" s="87" t="s">
        <v>967</v>
      </c>
      <c r="G2861" s="87" t="s">
        <v>272</v>
      </c>
      <c r="H2861" s="87" t="s">
        <v>757</v>
      </c>
      <c r="I2861" s="87">
        <v>17</v>
      </c>
    </row>
    <row r="2862" spans="1:9" ht="15" customHeight="1" x14ac:dyDescent="0.25">
      <c r="A2862" s="87" t="s">
        <v>38</v>
      </c>
      <c r="B2862" s="87" t="s">
        <v>354</v>
      </c>
      <c r="C2862" s="87">
        <v>2003</v>
      </c>
      <c r="D2862" s="87" t="s">
        <v>15</v>
      </c>
      <c r="E2862" s="116">
        <v>2448</v>
      </c>
      <c r="F2862" s="87" t="s">
        <v>967</v>
      </c>
      <c r="G2862" s="87" t="s">
        <v>272</v>
      </c>
      <c r="H2862" s="87" t="s">
        <v>758</v>
      </c>
      <c r="I2862" s="87">
        <v>17</v>
      </c>
    </row>
    <row r="2863" spans="1:9" ht="15" customHeight="1" x14ac:dyDescent="0.25">
      <c r="A2863" s="87" t="s">
        <v>38</v>
      </c>
      <c r="B2863" s="87" t="s">
        <v>354</v>
      </c>
      <c r="C2863" s="87">
        <v>2004</v>
      </c>
      <c r="D2863" s="87" t="s">
        <v>15</v>
      </c>
      <c r="E2863" s="116">
        <v>1684</v>
      </c>
      <c r="F2863" s="87" t="s">
        <v>967</v>
      </c>
      <c r="G2863" s="87" t="s">
        <v>272</v>
      </c>
      <c r="H2863" s="87" t="s">
        <v>759</v>
      </c>
      <c r="I2863" s="87">
        <v>17</v>
      </c>
    </row>
    <row r="2864" spans="1:9" ht="15" customHeight="1" x14ac:dyDescent="0.25">
      <c r="A2864" s="87" t="s">
        <v>38</v>
      </c>
      <c r="B2864" s="87" t="s">
        <v>354</v>
      </c>
      <c r="C2864" s="87">
        <v>2005</v>
      </c>
      <c r="D2864" s="87" t="s">
        <v>15</v>
      </c>
      <c r="E2864" s="116">
        <v>666</v>
      </c>
      <c r="F2864" s="87" t="s">
        <v>967</v>
      </c>
      <c r="G2864" s="87" t="s">
        <v>272</v>
      </c>
      <c r="H2864" s="87" t="s">
        <v>760</v>
      </c>
      <c r="I2864" s="87">
        <v>17</v>
      </c>
    </row>
    <row r="2865" spans="1:9" ht="15" customHeight="1" x14ac:dyDescent="0.25">
      <c r="A2865" s="87" t="s">
        <v>38</v>
      </c>
      <c r="B2865" s="87" t="s">
        <v>354</v>
      </c>
      <c r="C2865" s="87">
        <v>2006</v>
      </c>
      <c r="D2865" s="87" t="s">
        <v>15</v>
      </c>
      <c r="E2865" s="116">
        <v>547</v>
      </c>
      <c r="F2865" s="87" t="s">
        <v>967</v>
      </c>
      <c r="G2865" s="87" t="s">
        <v>272</v>
      </c>
      <c r="H2865" s="87" t="s">
        <v>988</v>
      </c>
      <c r="I2865" s="87">
        <v>17</v>
      </c>
    </row>
    <row r="2866" spans="1:9" ht="15" customHeight="1" x14ac:dyDescent="0.25">
      <c r="A2866" s="87" t="s">
        <v>38</v>
      </c>
      <c r="B2866" s="87" t="s">
        <v>354</v>
      </c>
      <c r="C2866" s="87">
        <v>2007</v>
      </c>
      <c r="D2866" s="87" t="s">
        <v>15</v>
      </c>
      <c r="E2866" s="116">
        <v>269</v>
      </c>
      <c r="F2866" s="87" t="s">
        <v>967</v>
      </c>
      <c r="G2866" s="87" t="s">
        <v>272</v>
      </c>
      <c r="H2866" s="87" t="s">
        <v>761</v>
      </c>
      <c r="I2866" s="87">
        <v>17</v>
      </c>
    </row>
    <row r="2867" spans="1:9" ht="15" customHeight="1" x14ac:dyDescent="0.25">
      <c r="A2867" s="87" t="s">
        <v>38</v>
      </c>
      <c r="B2867" s="87" t="s">
        <v>354</v>
      </c>
      <c r="C2867" s="87">
        <v>2008</v>
      </c>
      <c r="D2867" s="87" t="s">
        <v>15</v>
      </c>
      <c r="E2867" s="116">
        <v>530</v>
      </c>
      <c r="F2867" s="87" t="s">
        <v>967</v>
      </c>
      <c r="G2867" s="87" t="s">
        <v>272</v>
      </c>
      <c r="H2867" s="87" t="s">
        <v>762</v>
      </c>
      <c r="I2867" s="87">
        <v>17</v>
      </c>
    </row>
    <row r="2868" spans="1:9" ht="15" customHeight="1" x14ac:dyDescent="0.25">
      <c r="A2868" s="87" t="s">
        <v>38</v>
      </c>
      <c r="B2868" s="87" t="s">
        <v>354</v>
      </c>
      <c r="C2868" s="87">
        <v>2009</v>
      </c>
      <c r="D2868" s="87" t="s">
        <v>15</v>
      </c>
      <c r="E2868" s="116">
        <v>731</v>
      </c>
      <c r="F2868" s="87" t="s">
        <v>967</v>
      </c>
      <c r="G2868" s="87" t="s">
        <v>272</v>
      </c>
      <c r="H2868" s="87" t="s">
        <v>763</v>
      </c>
      <c r="I2868" s="87">
        <v>17</v>
      </c>
    </row>
    <row r="2869" spans="1:9" ht="15" customHeight="1" x14ac:dyDescent="0.25">
      <c r="A2869" s="87" t="s">
        <v>38</v>
      </c>
      <c r="B2869" s="87" t="s">
        <v>354</v>
      </c>
      <c r="C2869" s="87">
        <v>2010</v>
      </c>
      <c r="D2869" s="87" t="s">
        <v>15</v>
      </c>
      <c r="E2869" s="116">
        <v>308</v>
      </c>
      <c r="F2869" s="87" t="s">
        <v>967</v>
      </c>
      <c r="G2869" s="87" t="s">
        <v>272</v>
      </c>
      <c r="H2869" s="87" t="s">
        <v>764</v>
      </c>
      <c r="I2869" s="87">
        <v>17</v>
      </c>
    </row>
    <row r="2870" spans="1:9" ht="15" customHeight="1" x14ac:dyDescent="0.25">
      <c r="A2870" s="87" t="s">
        <v>38</v>
      </c>
      <c r="B2870" s="87" t="s">
        <v>354</v>
      </c>
      <c r="C2870" s="87">
        <v>2011</v>
      </c>
      <c r="D2870" s="87" t="s">
        <v>15</v>
      </c>
      <c r="E2870" s="116">
        <v>509</v>
      </c>
      <c r="F2870" s="87" t="s">
        <v>967</v>
      </c>
      <c r="G2870" s="87" t="s">
        <v>272</v>
      </c>
      <c r="H2870" s="87" t="s">
        <v>765</v>
      </c>
      <c r="I2870" s="87">
        <v>17</v>
      </c>
    </row>
    <row r="2871" spans="1:9" ht="15" customHeight="1" x14ac:dyDescent="0.25">
      <c r="A2871" s="87" t="s">
        <v>38</v>
      </c>
      <c r="B2871" s="87" t="s">
        <v>354</v>
      </c>
      <c r="C2871" s="87">
        <v>2012</v>
      </c>
      <c r="D2871" s="87" t="s">
        <v>15</v>
      </c>
      <c r="E2871" s="116">
        <v>125</v>
      </c>
      <c r="F2871" s="87" t="s">
        <v>967</v>
      </c>
      <c r="G2871" s="87" t="s">
        <v>272</v>
      </c>
      <c r="H2871" s="87" t="s">
        <v>516</v>
      </c>
      <c r="I2871" s="87">
        <v>17</v>
      </c>
    </row>
    <row r="2872" spans="1:9" ht="15" customHeight="1" x14ac:dyDescent="0.25">
      <c r="A2872" s="87" t="s">
        <v>38</v>
      </c>
      <c r="B2872" s="87" t="s">
        <v>354</v>
      </c>
      <c r="C2872" s="87">
        <v>2013</v>
      </c>
      <c r="D2872" s="87" t="s">
        <v>15</v>
      </c>
      <c r="E2872" s="116">
        <v>313</v>
      </c>
      <c r="F2872" s="87" t="s">
        <v>967</v>
      </c>
      <c r="G2872" s="87" t="s">
        <v>272</v>
      </c>
      <c r="H2872" s="87" t="s">
        <v>766</v>
      </c>
      <c r="I2872" s="87">
        <v>17</v>
      </c>
    </row>
    <row r="2873" spans="1:9" ht="15" customHeight="1" x14ac:dyDescent="0.25">
      <c r="A2873" s="87" t="s">
        <v>38</v>
      </c>
      <c r="B2873" s="87" t="s">
        <v>354</v>
      </c>
      <c r="C2873" s="87">
        <v>2014</v>
      </c>
      <c r="D2873" s="87" t="s">
        <v>15</v>
      </c>
      <c r="E2873" s="116">
        <v>1651</v>
      </c>
      <c r="F2873" s="87" t="s">
        <v>967</v>
      </c>
      <c r="G2873" s="87" t="s">
        <v>272</v>
      </c>
      <c r="H2873" s="87" t="s">
        <v>967</v>
      </c>
      <c r="I2873" s="87">
        <v>17</v>
      </c>
    </row>
    <row r="2874" spans="1:9" ht="15" customHeight="1" x14ac:dyDescent="0.25">
      <c r="A2874" s="87" t="s">
        <v>38</v>
      </c>
      <c r="B2874" s="87" t="s">
        <v>354</v>
      </c>
      <c r="C2874" s="87">
        <v>2015</v>
      </c>
      <c r="D2874" s="87" t="s">
        <v>15</v>
      </c>
      <c r="E2874" s="116">
        <v>585</v>
      </c>
      <c r="F2874" s="87" t="s">
        <v>967</v>
      </c>
      <c r="G2874" s="87" t="s">
        <v>272</v>
      </c>
      <c r="H2874" s="87" t="s">
        <v>767</v>
      </c>
      <c r="I2874" s="87">
        <v>17</v>
      </c>
    </row>
    <row r="2875" spans="1:9" ht="15" customHeight="1" x14ac:dyDescent="0.25">
      <c r="A2875" s="87" t="s">
        <v>38</v>
      </c>
      <c r="B2875" s="87" t="s">
        <v>354</v>
      </c>
      <c r="C2875" s="87">
        <v>2016</v>
      </c>
      <c r="D2875" s="87" t="s">
        <v>15</v>
      </c>
      <c r="E2875" s="116">
        <v>-1</v>
      </c>
      <c r="F2875" s="87" t="s">
        <v>967</v>
      </c>
      <c r="G2875" s="87" t="s">
        <v>967</v>
      </c>
      <c r="H2875" s="87" t="s">
        <v>967</v>
      </c>
      <c r="I2875" s="87">
        <v>17</v>
      </c>
    </row>
    <row r="2876" spans="1:9" ht="15" customHeight="1" x14ac:dyDescent="0.25">
      <c r="A2876" s="87" t="s">
        <v>38</v>
      </c>
      <c r="B2876" s="87" t="s">
        <v>354</v>
      </c>
      <c r="C2876" s="87">
        <v>2017</v>
      </c>
      <c r="D2876" s="87" t="s">
        <v>15</v>
      </c>
      <c r="E2876" s="116">
        <v>-1</v>
      </c>
      <c r="F2876" s="87" t="s">
        <v>967</v>
      </c>
      <c r="G2876" s="87" t="s">
        <v>967</v>
      </c>
      <c r="H2876" s="87" t="s">
        <v>967</v>
      </c>
      <c r="I2876" s="87">
        <v>17</v>
      </c>
    </row>
    <row r="2877" spans="1:9" ht="15" customHeight="1" x14ac:dyDescent="0.25">
      <c r="A2877" s="87" t="s">
        <v>38</v>
      </c>
      <c r="B2877" s="87" t="s">
        <v>354</v>
      </c>
      <c r="C2877" s="87">
        <v>2018</v>
      </c>
      <c r="D2877" s="87" t="s">
        <v>15</v>
      </c>
      <c r="E2877" s="116">
        <v>-1</v>
      </c>
      <c r="F2877" s="87" t="s">
        <v>967</v>
      </c>
      <c r="G2877" s="87" t="s">
        <v>967</v>
      </c>
      <c r="H2877" s="87" t="s">
        <v>967</v>
      </c>
      <c r="I2877" s="87">
        <v>17</v>
      </c>
    </row>
    <row r="2878" spans="1:9" ht="15" customHeight="1" x14ac:dyDescent="0.25">
      <c r="A2878" s="87" t="s">
        <v>38</v>
      </c>
      <c r="B2878" s="87" t="s">
        <v>354</v>
      </c>
      <c r="C2878" s="87">
        <v>2019</v>
      </c>
      <c r="D2878" s="87" t="s">
        <v>15</v>
      </c>
      <c r="E2878" s="116">
        <v>-1</v>
      </c>
      <c r="F2878" s="87" t="s">
        <v>967</v>
      </c>
      <c r="G2878" s="87" t="s">
        <v>967</v>
      </c>
      <c r="H2878" s="87" t="s">
        <v>967</v>
      </c>
      <c r="I2878" s="87">
        <v>17</v>
      </c>
    </row>
    <row r="2879" spans="1:9" ht="15" customHeight="1" x14ac:dyDescent="0.25">
      <c r="A2879" s="87" t="s">
        <v>38</v>
      </c>
      <c r="B2879" s="87" t="s">
        <v>354</v>
      </c>
      <c r="C2879" s="87">
        <v>2020</v>
      </c>
      <c r="D2879" s="87" t="s">
        <v>15</v>
      </c>
      <c r="E2879" s="116">
        <v>-1</v>
      </c>
      <c r="F2879" s="87" t="s">
        <v>967</v>
      </c>
      <c r="G2879" s="87" t="s">
        <v>967</v>
      </c>
      <c r="H2879" s="87" t="s">
        <v>967</v>
      </c>
      <c r="I2879" s="87">
        <v>17</v>
      </c>
    </row>
    <row r="2880" spans="1:9" ht="15" customHeight="1" x14ac:dyDescent="0.25">
      <c r="A2880" s="87" t="s">
        <v>38</v>
      </c>
      <c r="B2880" s="87" t="s">
        <v>354</v>
      </c>
      <c r="C2880" s="87">
        <v>2021</v>
      </c>
      <c r="D2880" s="87" t="s">
        <v>15</v>
      </c>
      <c r="E2880" s="116">
        <v>-1</v>
      </c>
      <c r="F2880" s="87" t="s">
        <v>967</v>
      </c>
      <c r="G2880" s="87" t="s">
        <v>967</v>
      </c>
      <c r="H2880" s="87" t="s">
        <v>967</v>
      </c>
      <c r="I2880" s="87">
        <v>17</v>
      </c>
    </row>
    <row r="2881" spans="1:9" ht="15" customHeight="1" x14ac:dyDescent="0.25">
      <c r="A2881" s="87" t="s">
        <v>38</v>
      </c>
      <c r="B2881" s="87" t="s">
        <v>354</v>
      </c>
      <c r="C2881" s="87">
        <v>2022</v>
      </c>
      <c r="D2881" s="87" t="s">
        <v>15</v>
      </c>
      <c r="E2881" s="116">
        <v>-1</v>
      </c>
      <c r="F2881" s="87" t="s">
        <v>967</v>
      </c>
      <c r="G2881" s="87" t="s">
        <v>967</v>
      </c>
      <c r="H2881" s="87" t="s">
        <v>967</v>
      </c>
      <c r="I2881" s="87">
        <v>17</v>
      </c>
    </row>
    <row r="2882" spans="1:9" ht="15" customHeight="1" x14ac:dyDescent="0.25">
      <c r="A2882" s="87" t="s">
        <v>38</v>
      </c>
      <c r="B2882" s="87" t="s">
        <v>355</v>
      </c>
      <c r="C2882" s="87">
        <v>1975</v>
      </c>
      <c r="D2882" s="87" t="s">
        <v>15</v>
      </c>
      <c r="E2882" s="116">
        <v>-1</v>
      </c>
      <c r="F2882" s="87" t="s">
        <v>900</v>
      </c>
      <c r="G2882" s="87" t="s">
        <v>272</v>
      </c>
      <c r="H2882" s="87" t="s">
        <v>900</v>
      </c>
      <c r="I2882" s="87">
        <v>15</v>
      </c>
    </row>
    <row r="2883" spans="1:9" ht="15" customHeight="1" x14ac:dyDescent="0.25">
      <c r="A2883" s="87" t="s">
        <v>38</v>
      </c>
      <c r="B2883" s="87" t="s">
        <v>355</v>
      </c>
      <c r="C2883" s="87">
        <v>1976</v>
      </c>
      <c r="D2883" s="87" t="s">
        <v>15</v>
      </c>
      <c r="E2883" s="116">
        <v>-1</v>
      </c>
      <c r="F2883" s="87" t="s">
        <v>900</v>
      </c>
      <c r="G2883" s="87" t="s">
        <v>272</v>
      </c>
      <c r="H2883" s="87" t="s">
        <v>900</v>
      </c>
      <c r="I2883" s="87">
        <v>15</v>
      </c>
    </row>
    <row r="2884" spans="1:9" ht="15" customHeight="1" x14ac:dyDescent="0.25">
      <c r="A2884" s="87" t="s">
        <v>38</v>
      </c>
      <c r="B2884" s="87" t="s">
        <v>355</v>
      </c>
      <c r="C2884" s="87">
        <v>1977</v>
      </c>
      <c r="D2884" s="87" t="s">
        <v>15</v>
      </c>
      <c r="E2884" s="116">
        <v>-1</v>
      </c>
      <c r="F2884" s="87" t="s">
        <v>900</v>
      </c>
      <c r="G2884" s="87" t="s">
        <v>272</v>
      </c>
      <c r="H2884" s="87" t="s">
        <v>900</v>
      </c>
      <c r="I2884" s="87">
        <v>15</v>
      </c>
    </row>
    <row r="2885" spans="1:9" ht="15" customHeight="1" x14ac:dyDescent="0.25">
      <c r="A2885" s="87" t="s">
        <v>38</v>
      </c>
      <c r="B2885" s="87" t="s">
        <v>355</v>
      </c>
      <c r="C2885" s="87">
        <v>1978</v>
      </c>
      <c r="D2885" s="87" t="s">
        <v>15</v>
      </c>
      <c r="E2885" s="116">
        <v>-1</v>
      </c>
      <c r="F2885" s="87" t="s">
        <v>900</v>
      </c>
      <c r="G2885" s="87" t="s">
        <v>272</v>
      </c>
      <c r="H2885" s="87" t="s">
        <v>900</v>
      </c>
      <c r="I2885" s="87">
        <v>15</v>
      </c>
    </row>
    <row r="2886" spans="1:9" ht="15" customHeight="1" x14ac:dyDescent="0.25">
      <c r="A2886" s="87" t="s">
        <v>38</v>
      </c>
      <c r="B2886" s="87" t="s">
        <v>355</v>
      </c>
      <c r="C2886" s="87">
        <v>1979</v>
      </c>
      <c r="D2886" s="87" t="s">
        <v>15</v>
      </c>
      <c r="E2886" s="116">
        <v>800</v>
      </c>
      <c r="F2886" s="87" t="s">
        <v>768</v>
      </c>
      <c r="G2886" s="87" t="s">
        <v>967</v>
      </c>
      <c r="H2886" s="87" t="s">
        <v>768</v>
      </c>
      <c r="I2886" s="87">
        <v>15</v>
      </c>
    </row>
    <row r="2887" spans="1:9" ht="15" customHeight="1" x14ac:dyDescent="0.25">
      <c r="A2887" s="87" t="s">
        <v>38</v>
      </c>
      <c r="B2887" s="87" t="s">
        <v>355</v>
      </c>
      <c r="C2887" s="87">
        <v>1980</v>
      </c>
      <c r="D2887" s="87" t="s">
        <v>15</v>
      </c>
      <c r="E2887" s="116">
        <v>450</v>
      </c>
      <c r="F2887" s="87" t="s">
        <v>768</v>
      </c>
      <c r="G2887" s="87" t="s">
        <v>967</v>
      </c>
      <c r="H2887" s="87" t="s">
        <v>768</v>
      </c>
      <c r="I2887" s="87">
        <v>15</v>
      </c>
    </row>
    <row r="2888" spans="1:9" ht="15" customHeight="1" x14ac:dyDescent="0.25">
      <c r="A2888" s="87" t="s">
        <v>38</v>
      </c>
      <c r="B2888" s="87" t="s">
        <v>355</v>
      </c>
      <c r="C2888" s="87">
        <v>1981</v>
      </c>
      <c r="D2888" s="87" t="s">
        <v>15</v>
      </c>
      <c r="E2888" s="116">
        <v>400</v>
      </c>
      <c r="F2888" s="87" t="s">
        <v>768</v>
      </c>
      <c r="G2888" s="87" t="s">
        <v>967</v>
      </c>
      <c r="H2888" s="87" t="s">
        <v>768</v>
      </c>
      <c r="I2888" s="87">
        <v>15</v>
      </c>
    </row>
    <row r="2889" spans="1:9" ht="15" customHeight="1" x14ac:dyDescent="0.25">
      <c r="A2889" s="87" t="s">
        <v>38</v>
      </c>
      <c r="B2889" s="87" t="s">
        <v>355</v>
      </c>
      <c r="C2889" s="87">
        <v>1982</v>
      </c>
      <c r="D2889" s="87" t="s">
        <v>15</v>
      </c>
      <c r="E2889" s="116">
        <v>200</v>
      </c>
      <c r="F2889" s="87" t="s">
        <v>768</v>
      </c>
      <c r="G2889" s="87" t="s">
        <v>967</v>
      </c>
      <c r="H2889" s="87" t="s">
        <v>768</v>
      </c>
      <c r="I2889" s="87">
        <v>15</v>
      </c>
    </row>
    <row r="2890" spans="1:9" ht="15" customHeight="1" x14ac:dyDescent="0.25">
      <c r="A2890" s="87" t="s">
        <v>38</v>
      </c>
      <c r="B2890" s="87" t="s">
        <v>355</v>
      </c>
      <c r="C2890" s="87">
        <v>1983</v>
      </c>
      <c r="D2890" s="87" t="s">
        <v>15</v>
      </c>
      <c r="E2890" s="116">
        <v>175</v>
      </c>
      <c r="F2890" s="87" t="s">
        <v>768</v>
      </c>
      <c r="G2890" s="87" t="s">
        <v>967</v>
      </c>
      <c r="H2890" s="87" t="s">
        <v>768</v>
      </c>
      <c r="I2890" s="87">
        <v>15</v>
      </c>
    </row>
    <row r="2891" spans="1:9" ht="15" customHeight="1" x14ac:dyDescent="0.25">
      <c r="A2891" s="87" t="s">
        <v>38</v>
      </c>
      <c r="B2891" s="87" t="s">
        <v>355</v>
      </c>
      <c r="C2891" s="87">
        <v>1984</v>
      </c>
      <c r="D2891" s="87" t="s">
        <v>15</v>
      </c>
      <c r="E2891" s="116">
        <v>800</v>
      </c>
      <c r="F2891" s="87" t="s">
        <v>768</v>
      </c>
      <c r="G2891" s="87" t="s">
        <v>967</v>
      </c>
      <c r="H2891" s="87" t="s">
        <v>768</v>
      </c>
      <c r="I2891" s="87">
        <v>15</v>
      </c>
    </row>
    <row r="2892" spans="1:9" ht="15" customHeight="1" x14ac:dyDescent="0.25">
      <c r="A2892" s="87" t="s">
        <v>38</v>
      </c>
      <c r="B2892" s="87" t="s">
        <v>355</v>
      </c>
      <c r="C2892" s="87">
        <v>1985</v>
      </c>
      <c r="D2892" s="87" t="s">
        <v>15</v>
      </c>
      <c r="E2892" s="116">
        <v>2500</v>
      </c>
      <c r="F2892" s="87" t="s">
        <v>768</v>
      </c>
      <c r="G2892" s="87" t="s">
        <v>967</v>
      </c>
      <c r="H2892" s="87" t="s">
        <v>768</v>
      </c>
      <c r="I2892" s="87">
        <v>15</v>
      </c>
    </row>
    <row r="2893" spans="1:9" ht="15" customHeight="1" x14ac:dyDescent="0.25">
      <c r="A2893" s="87" t="s">
        <v>38</v>
      </c>
      <c r="B2893" s="87" t="s">
        <v>355</v>
      </c>
      <c r="C2893" s="87">
        <v>1986</v>
      </c>
      <c r="D2893" s="87" t="s">
        <v>15</v>
      </c>
      <c r="E2893" s="116">
        <v>2500</v>
      </c>
      <c r="F2893" s="87" t="s">
        <v>768</v>
      </c>
      <c r="G2893" s="87" t="s">
        <v>967</v>
      </c>
      <c r="H2893" s="87" t="s">
        <v>768</v>
      </c>
      <c r="I2893" s="87">
        <v>15</v>
      </c>
    </row>
    <row r="2894" spans="1:9" ht="15" customHeight="1" x14ac:dyDescent="0.25">
      <c r="A2894" s="87" t="s">
        <v>38</v>
      </c>
      <c r="B2894" s="87" t="s">
        <v>355</v>
      </c>
      <c r="C2894" s="87">
        <v>1987</v>
      </c>
      <c r="D2894" s="87" t="s">
        <v>15</v>
      </c>
      <c r="E2894" s="116">
        <v>1800</v>
      </c>
      <c r="F2894" s="87" t="s">
        <v>768</v>
      </c>
      <c r="G2894" s="87" t="s">
        <v>967</v>
      </c>
      <c r="H2894" s="87" t="s">
        <v>768</v>
      </c>
      <c r="I2894" s="87">
        <v>15</v>
      </c>
    </row>
    <row r="2895" spans="1:9" ht="15" customHeight="1" x14ac:dyDescent="0.25">
      <c r="A2895" s="87" t="s">
        <v>38</v>
      </c>
      <c r="B2895" s="87" t="s">
        <v>355</v>
      </c>
      <c r="C2895" s="87">
        <v>1988</v>
      </c>
      <c r="D2895" s="87" t="s">
        <v>15</v>
      </c>
      <c r="E2895" s="116">
        <v>1000</v>
      </c>
      <c r="F2895" s="87" t="s">
        <v>768</v>
      </c>
      <c r="G2895" s="87" t="s">
        <v>967</v>
      </c>
      <c r="H2895" s="87" t="s">
        <v>768</v>
      </c>
      <c r="I2895" s="87">
        <v>15</v>
      </c>
    </row>
    <row r="2896" spans="1:9" ht="15" customHeight="1" x14ac:dyDescent="0.25">
      <c r="A2896" s="87" t="s">
        <v>38</v>
      </c>
      <c r="B2896" s="87" t="s">
        <v>355</v>
      </c>
      <c r="C2896" s="87">
        <v>1989</v>
      </c>
      <c r="D2896" s="87" t="s">
        <v>15</v>
      </c>
      <c r="E2896" s="116">
        <v>450</v>
      </c>
      <c r="F2896" s="87" t="s">
        <v>768</v>
      </c>
      <c r="G2896" s="87" t="s">
        <v>967</v>
      </c>
      <c r="H2896" s="87" t="s">
        <v>768</v>
      </c>
      <c r="I2896" s="87">
        <v>15</v>
      </c>
    </row>
    <row r="2897" spans="1:9" ht="15" customHeight="1" x14ac:dyDescent="0.25">
      <c r="A2897" s="87" t="s">
        <v>38</v>
      </c>
      <c r="B2897" s="87" t="s">
        <v>355</v>
      </c>
      <c r="C2897" s="87">
        <v>1990</v>
      </c>
      <c r="D2897" s="87" t="s">
        <v>15</v>
      </c>
      <c r="E2897" s="116">
        <v>650</v>
      </c>
      <c r="F2897" s="87" t="s">
        <v>768</v>
      </c>
      <c r="G2897" s="87" t="s">
        <v>967</v>
      </c>
      <c r="H2897" s="87" t="s">
        <v>768</v>
      </c>
      <c r="I2897" s="87">
        <v>15</v>
      </c>
    </row>
    <row r="2898" spans="1:9" ht="15" customHeight="1" x14ac:dyDescent="0.25">
      <c r="A2898" s="87" t="s">
        <v>38</v>
      </c>
      <c r="B2898" s="87" t="s">
        <v>355</v>
      </c>
      <c r="C2898" s="87">
        <v>1991</v>
      </c>
      <c r="D2898" s="87" t="s">
        <v>15</v>
      </c>
      <c r="E2898" s="116">
        <v>400</v>
      </c>
      <c r="F2898" s="87" t="s">
        <v>768</v>
      </c>
      <c r="G2898" s="87" t="s">
        <v>967</v>
      </c>
      <c r="H2898" s="87" t="s">
        <v>768</v>
      </c>
      <c r="I2898" s="87">
        <v>15</v>
      </c>
    </row>
    <row r="2899" spans="1:9" ht="15" customHeight="1" x14ac:dyDescent="0.25">
      <c r="A2899" s="87" t="s">
        <v>38</v>
      </c>
      <c r="B2899" s="87" t="s">
        <v>355</v>
      </c>
      <c r="C2899" s="87">
        <v>1992</v>
      </c>
      <c r="D2899" s="87" t="s">
        <v>15</v>
      </c>
      <c r="E2899" s="116">
        <v>800</v>
      </c>
      <c r="F2899" s="87" t="s">
        <v>768</v>
      </c>
      <c r="G2899" s="87" t="s">
        <v>967</v>
      </c>
      <c r="H2899" s="87" t="s">
        <v>768</v>
      </c>
      <c r="I2899" s="87">
        <v>15</v>
      </c>
    </row>
    <row r="2900" spans="1:9" ht="15" customHeight="1" x14ac:dyDescent="0.25">
      <c r="A2900" s="87" t="s">
        <v>38</v>
      </c>
      <c r="B2900" s="87" t="s">
        <v>355</v>
      </c>
      <c r="C2900" s="87">
        <v>1993</v>
      </c>
      <c r="D2900" s="87" t="s">
        <v>15</v>
      </c>
      <c r="E2900" s="116">
        <v>-1</v>
      </c>
      <c r="F2900" s="87" t="s">
        <v>900</v>
      </c>
      <c r="G2900" s="87" t="s">
        <v>272</v>
      </c>
      <c r="H2900" s="87" t="s">
        <v>900</v>
      </c>
      <c r="I2900" s="87">
        <v>15</v>
      </c>
    </row>
    <row r="2901" spans="1:9" ht="15" customHeight="1" x14ac:dyDescent="0.25">
      <c r="A2901" s="87" t="s">
        <v>38</v>
      </c>
      <c r="B2901" s="87" t="s">
        <v>355</v>
      </c>
      <c r="C2901" s="87">
        <v>1994</v>
      </c>
      <c r="D2901" s="87" t="s">
        <v>15</v>
      </c>
      <c r="E2901" s="116">
        <v>878</v>
      </c>
      <c r="F2901" s="87" t="s">
        <v>768</v>
      </c>
      <c r="G2901" s="87" t="s">
        <v>967</v>
      </c>
      <c r="H2901" s="87" t="s">
        <v>768</v>
      </c>
      <c r="I2901" s="87">
        <v>15</v>
      </c>
    </row>
    <row r="2902" spans="1:9" ht="15" customHeight="1" x14ac:dyDescent="0.25">
      <c r="A2902" s="87" t="s">
        <v>38</v>
      </c>
      <c r="B2902" s="87" t="s">
        <v>355</v>
      </c>
      <c r="C2902" s="87">
        <v>1995</v>
      </c>
      <c r="D2902" s="87" t="s">
        <v>15</v>
      </c>
      <c r="E2902" s="116">
        <v>464</v>
      </c>
      <c r="F2902" s="87" t="s">
        <v>967</v>
      </c>
      <c r="G2902" s="87" t="s">
        <v>967</v>
      </c>
      <c r="H2902" s="87" t="s">
        <v>967</v>
      </c>
      <c r="I2902" s="87">
        <v>15</v>
      </c>
    </row>
    <row r="2903" spans="1:9" ht="15" customHeight="1" x14ac:dyDescent="0.25">
      <c r="A2903" s="87" t="s">
        <v>38</v>
      </c>
      <c r="B2903" s="87" t="s">
        <v>355</v>
      </c>
      <c r="C2903" s="87">
        <v>1996</v>
      </c>
      <c r="D2903" s="87" t="s">
        <v>15</v>
      </c>
      <c r="E2903" s="116">
        <v>932</v>
      </c>
      <c r="F2903" s="87" t="s">
        <v>967</v>
      </c>
      <c r="G2903" s="87" t="s">
        <v>967</v>
      </c>
      <c r="H2903" s="87" t="s">
        <v>967</v>
      </c>
      <c r="I2903" s="87">
        <v>15</v>
      </c>
    </row>
    <row r="2904" spans="1:9" ht="15" customHeight="1" x14ac:dyDescent="0.25">
      <c r="A2904" s="87" t="s">
        <v>38</v>
      </c>
      <c r="B2904" s="87" t="s">
        <v>355</v>
      </c>
      <c r="C2904" s="87">
        <v>1997</v>
      </c>
      <c r="D2904" s="87" t="s">
        <v>15</v>
      </c>
      <c r="E2904" s="116">
        <v>942</v>
      </c>
      <c r="F2904" s="87" t="s">
        <v>967</v>
      </c>
      <c r="G2904" s="87" t="s">
        <v>967</v>
      </c>
      <c r="H2904" s="87" t="s">
        <v>967</v>
      </c>
      <c r="I2904" s="87">
        <v>15</v>
      </c>
    </row>
    <row r="2905" spans="1:9" ht="15" customHeight="1" x14ac:dyDescent="0.25">
      <c r="A2905" s="87" t="s">
        <v>38</v>
      </c>
      <c r="B2905" s="87" t="s">
        <v>355</v>
      </c>
      <c r="C2905" s="87">
        <v>1998</v>
      </c>
      <c r="D2905" s="87" t="s">
        <v>15</v>
      </c>
      <c r="E2905" s="116">
        <v>1026</v>
      </c>
      <c r="F2905" s="87" t="s">
        <v>967</v>
      </c>
      <c r="G2905" s="87" t="s">
        <v>272</v>
      </c>
      <c r="H2905" s="87" t="s">
        <v>967</v>
      </c>
      <c r="I2905" s="87">
        <v>15</v>
      </c>
    </row>
    <row r="2906" spans="1:9" ht="15" customHeight="1" x14ac:dyDescent="0.25">
      <c r="A2906" s="87" t="s">
        <v>38</v>
      </c>
      <c r="B2906" s="87" t="s">
        <v>355</v>
      </c>
      <c r="C2906" s="87">
        <v>1999</v>
      </c>
      <c r="D2906" s="87" t="s">
        <v>15</v>
      </c>
      <c r="E2906" s="116">
        <v>737</v>
      </c>
      <c r="F2906" s="87" t="s">
        <v>967</v>
      </c>
      <c r="G2906" s="87" t="s">
        <v>272</v>
      </c>
      <c r="H2906" s="87" t="s">
        <v>967</v>
      </c>
      <c r="I2906" s="87">
        <v>15</v>
      </c>
    </row>
    <row r="2907" spans="1:9" ht="15" customHeight="1" x14ac:dyDescent="0.25">
      <c r="A2907" s="87" t="s">
        <v>38</v>
      </c>
      <c r="B2907" s="87" t="s">
        <v>355</v>
      </c>
      <c r="C2907" s="87">
        <v>2000</v>
      </c>
      <c r="D2907" s="87" t="s">
        <v>15</v>
      </c>
      <c r="E2907" s="116">
        <v>920</v>
      </c>
      <c r="F2907" s="87" t="s">
        <v>967</v>
      </c>
      <c r="G2907" s="87" t="s">
        <v>272</v>
      </c>
      <c r="H2907" s="87" t="s">
        <v>967</v>
      </c>
      <c r="I2907" s="87">
        <v>15</v>
      </c>
    </row>
    <row r="2908" spans="1:9" ht="15" customHeight="1" x14ac:dyDescent="0.25">
      <c r="A2908" s="87" t="s">
        <v>38</v>
      </c>
      <c r="B2908" s="87" t="s">
        <v>355</v>
      </c>
      <c r="C2908" s="87">
        <v>2001</v>
      </c>
      <c r="D2908" s="87" t="s">
        <v>15</v>
      </c>
      <c r="E2908" s="116">
        <v>978</v>
      </c>
      <c r="F2908" s="87" t="s">
        <v>967</v>
      </c>
      <c r="G2908" s="87" t="s">
        <v>272</v>
      </c>
      <c r="H2908" s="87" t="s">
        <v>967</v>
      </c>
      <c r="I2908" s="87">
        <v>15</v>
      </c>
    </row>
    <row r="2909" spans="1:9" ht="15" customHeight="1" x14ac:dyDescent="0.25">
      <c r="A2909" s="87" t="s">
        <v>38</v>
      </c>
      <c r="B2909" s="87" t="s">
        <v>355</v>
      </c>
      <c r="C2909" s="87">
        <v>2002</v>
      </c>
      <c r="D2909" s="87" t="s">
        <v>15</v>
      </c>
      <c r="E2909" s="116">
        <v>1410</v>
      </c>
      <c r="F2909" s="87" t="s">
        <v>967</v>
      </c>
      <c r="G2909" s="87" t="s">
        <v>272</v>
      </c>
      <c r="H2909" s="87" t="s">
        <v>967</v>
      </c>
      <c r="I2909" s="87">
        <v>15</v>
      </c>
    </row>
    <row r="2910" spans="1:9" ht="15" customHeight="1" x14ac:dyDescent="0.25">
      <c r="A2910" s="87" t="s">
        <v>38</v>
      </c>
      <c r="B2910" s="87" t="s">
        <v>355</v>
      </c>
      <c r="C2910" s="87">
        <v>2003</v>
      </c>
      <c r="D2910" s="87" t="s">
        <v>15</v>
      </c>
      <c r="E2910" s="116">
        <v>2261</v>
      </c>
      <c r="F2910" s="87" t="s">
        <v>967</v>
      </c>
      <c r="G2910" s="87" t="s">
        <v>272</v>
      </c>
      <c r="H2910" s="87" t="s">
        <v>967</v>
      </c>
      <c r="I2910" s="87">
        <v>15</v>
      </c>
    </row>
    <row r="2911" spans="1:9" ht="15" customHeight="1" x14ac:dyDescent="0.25">
      <c r="A2911" s="87" t="s">
        <v>38</v>
      </c>
      <c r="B2911" s="87" t="s">
        <v>355</v>
      </c>
      <c r="C2911" s="87">
        <v>2004</v>
      </c>
      <c r="D2911" s="87" t="s">
        <v>15</v>
      </c>
      <c r="E2911" s="116">
        <v>1879</v>
      </c>
      <c r="F2911" s="87" t="s">
        <v>967</v>
      </c>
      <c r="G2911" s="87" t="s">
        <v>272</v>
      </c>
      <c r="H2911" s="87" t="s">
        <v>781</v>
      </c>
      <c r="I2911" s="87">
        <v>15</v>
      </c>
    </row>
    <row r="2912" spans="1:9" ht="15" customHeight="1" x14ac:dyDescent="0.25">
      <c r="A2912" s="87" t="s">
        <v>38</v>
      </c>
      <c r="B2912" s="87" t="s">
        <v>355</v>
      </c>
      <c r="C2912" s="87">
        <v>2005</v>
      </c>
      <c r="D2912" s="87" t="s">
        <v>15</v>
      </c>
      <c r="E2912" s="116">
        <v>537</v>
      </c>
      <c r="F2912" s="87" t="s">
        <v>967</v>
      </c>
      <c r="G2912" s="87" t="s">
        <v>272</v>
      </c>
      <c r="H2912" s="87" t="s">
        <v>967</v>
      </c>
      <c r="I2912" s="87">
        <v>15</v>
      </c>
    </row>
    <row r="2913" spans="1:9" ht="15" customHeight="1" x14ac:dyDescent="0.25">
      <c r="A2913" s="87" t="s">
        <v>38</v>
      </c>
      <c r="B2913" s="87" t="s">
        <v>355</v>
      </c>
      <c r="C2913" s="87">
        <v>2006</v>
      </c>
      <c r="D2913" s="87" t="s">
        <v>15</v>
      </c>
      <c r="E2913" s="116">
        <v>709</v>
      </c>
      <c r="F2913" s="87" t="s">
        <v>967</v>
      </c>
      <c r="G2913" s="87" t="s">
        <v>272</v>
      </c>
      <c r="H2913" s="87" t="s">
        <v>967</v>
      </c>
      <c r="I2913" s="87">
        <v>15</v>
      </c>
    </row>
    <row r="2914" spans="1:9" ht="15" customHeight="1" x14ac:dyDescent="0.25">
      <c r="A2914" s="87" t="s">
        <v>38</v>
      </c>
      <c r="B2914" s="87" t="s">
        <v>355</v>
      </c>
      <c r="C2914" s="87">
        <v>2007</v>
      </c>
      <c r="D2914" s="87" t="s">
        <v>15</v>
      </c>
      <c r="E2914" s="116">
        <v>426</v>
      </c>
      <c r="F2914" s="87" t="s">
        <v>967</v>
      </c>
      <c r="G2914" s="87" t="s">
        <v>272</v>
      </c>
      <c r="H2914" s="87" t="s">
        <v>967</v>
      </c>
      <c r="I2914" s="87">
        <v>15</v>
      </c>
    </row>
    <row r="2915" spans="1:9" ht="15" customHeight="1" x14ac:dyDescent="0.25">
      <c r="A2915" s="87" t="s">
        <v>38</v>
      </c>
      <c r="B2915" s="87" t="s">
        <v>355</v>
      </c>
      <c r="C2915" s="87">
        <v>2008</v>
      </c>
      <c r="D2915" s="87" t="s">
        <v>15</v>
      </c>
      <c r="E2915" s="116">
        <v>555</v>
      </c>
      <c r="F2915" s="87" t="s">
        <v>967</v>
      </c>
      <c r="G2915" s="87" t="s">
        <v>272</v>
      </c>
      <c r="H2915" s="87" t="s">
        <v>967</v>
      </c>
      <c r="I2915" s="87">
        <v>15</v>
      </c>
    </row>
    <row r="2916" spans="1:9" ht="15" customHeight="1" x14ac:dyDescent="0.25">
      <c r="A2916" s="87" t="s">
        <v>38</v>
      </c>
      <c r="B2916" s="87" t="s">
        <v>355</v>
      </c>
      <c r="C2916" s="87">
        <v>2009</v>
      </c>
      <c r="D2916" s="87" t="s">
        <v>15</v>
      </c>
      <c r="E2916" s="116">
        <v>989</v>
      </c>
      <c r="F2916" s="87" t="s">
        <v>967</v>
      </c>
      <c r="G2916" s="87" t="s">
        <v>272</v>
      </c>
      <c r="H2916" s="87" t="s">
        <v>967</v>
      </c>
      <c r="I2916" s="87">
        <v>15</v>
      </c>
    </row>
    <row r="2917" spans="1:9" ht="15" customHeight="1" x14ac:dyDescent="0.25">
      <c r="A2917" s="87" t="s">
        <v>38</v>
      </c>
      <c r="B2917" s="87" t="s">
        <v>355</v>
      </c>
      <c r="C2917" s="87">
        <v>2010</v>
      </c>
      <c r="D2917" s="87" t="s">
        <v>15</v>
      </c>
      <c r="E2917" s="116">
        <v>355</v>
      </c>
      <c r="F2917" s="87" t="s">
        <v>967</v>
      </c>
      <c r="G2917" s="87" t="s">
        <v>272</v>
      </c>
      <c r="H2917" s="87" t="s">
        <v>782</v>
      </c>
      <c r="I2917" s="87">
        <v>15</v>
      </c>
    </row>
    <row r="2918" spans="1:9" ht="15" customHeight="1" x14ac:dyDescent="0.25">
      <c r="A2918" s="87" t="s">
        <v>38</v>
      </c>
      <c r="B2918" s="87" t="s">
        <v>355</v>
      </c>
      <c r="C2918" s="87">
        <v>2011</v>
      </c>
      <c r="D2918" s="87" t="s">
        <v>15</v>
      </c>
      <c r="E2918" s="116">
        <v>285</v>
      </c>
      <c r="F2918" s="87" t="s">
        <v>967</v>
      </c>
      <c r="G2918" s="87" t="s">
        <v>272</v>
      </c>
      <c r="H2918" s="87" t="s">
        <v>967</v>
      </c>
      <c r="I2918" s="87">
        <v>15</v>
      </c>
    </row>
    <row r="2919" spans="1:9" ht="15" customHeight="1" x14ac:dyDescent="0.25">
      <c r="A2919" s="87" t="s">
        <v>38</v>
      </c>
      <c r="B2919" s="87" t="s">
        <v>355</v>
      </c>
      <c r="C2919" s="87">
        <v>2012</v>
      </c>
      <c r="D2919" s="87" t="s">
        <v>15</v>
      </c>
      <c r="E2919" s="116">
        <v>402</v>
      </c>
      <c r="F2919" s="87" t="s">
        <v>967</v>
      </c>
      <c r="G2919" s="87" t="s">
        <v>272</v>
      </c>
      <c r="H2919" s="87" t="s">
        <v>967</v>
      </c>
      <c r="I2919" s="87">
        <v>15</v>
      </c>
    </row>
    <row r="2920" spans="1:9" ht="15" customHeight="1" x14ac:dyDescent="0.25">
      <c r="A2920" s="87" t="s">
        <v>38</v>
      </c>
      <c r="B2920" s="87" t="s">
        <v>355</v>
      </c>
      <c r="C2920" s="87">
        <v>2013</v>
      </c>
      <c r="D2920" s="87" t="s">
        <v>15</v>
      </c>
      <c r="E2920" s="116">
        <v>577</v>
      </c>
      <c r="F2920" s="87" t="s">
        <v>967</v>
      </c>
      <c r="G2920" s="87" t="s">
        <v>272</v>
      </c>
      <c r="H2920" s="87" t="s">
        <v>967</v>
      </c>
      <c r="I2920" s="87">
        <v>15</v>
      </c>
    </row>
    <row r="2921" spans="1:9" ht="15" customHeight="1" x14ac:dyDescent="0.25">
      <c r="A2921" s="87" t="s">
        <v>38</v>
      </c>
      <c r="B2921" s="87" t="s">
        <v>355</v>
      </c>
      <c r="C2921" s="87">
        <v>2014</v>
      </c>
      <c r="D2921" s="87" t="s">
        <v>15</v>
      </c>
      <c r="E2921" s="116">
        <v>880</v>
      </c>
      <c r="F2921" s="87" t="s">
        <v>967</v>
      </c>
      <c r="G2921" s="87" t="s">
        <v>272</v>
      </c>
      <c r="H2921" s="87" t="s">
        <v>967</v>
      </c>
      <c r="I2921" s="87">
        <v>15</v>
      </c>
    </row>
    <row r="2922" spans="1:9" ht="15" customHeight="1" x14ac:dyDescent="0.25">
      <c r="A2922" s="87" t="s">
        <v>38</v>
      </c>
      <c r="B2922" s="87" t="s">
        <v>355</v>
      </c>
      <c r="C2922" s="87">
        <v>2015</v>
      </c>
      <c r="D2922" s="87" t="s">
        <v>15</v>
      </c>
      <c r="E2922" s="116">
        <v>526</v>
      </c>
      <c r="F2922" s="87" t="s">
        <v>967</v>
      </c>
      <c r="G2922" s="87" t="s">
        <v>272</v>
      </c>
      <c r="H2922" s="87" t="s">
        <v>783</v>
      </c>
      <c r="I2922" s="87">
        <v>15</v>
      </c>
    </row>
    <row r="2923" spans="1:9" ht="15" customHeight="1" x14ac:dyDescent="0.25">
      <c r="A2923" s="87" t="s">
        <v>38</v>
      </c>
      <c r="B2923" s="87" t="s">
        <v>355</v>
      </c>
      <c r="C2923" s="87">
        <v>2016</v>
      </c>
      <c r="D2923" s="87" t="s">
        <v>15</v>
      </c>
      <c r="E2923" s="116">
        <v>394</v>
      </c>
      <c r="F2923" s="87" t="s">
        <v>967</v>
      </c>
      <c r="G2923" s="87" t="s">
        <v>272</v>
      </c>
      <c r="H2923" s="87" t="s">
        <v>784</v>
      </c>
      <c r="I2923" s="87">
        <v>15</v>
      </c>
    </row>
    <row r="2924" spans="1:9" ht="15" customHeight="1" x14ac:dyDescent="0.25">
      <c r="A2924" s="87" t="s">
        <v>38</v>
      </c>
      <c r="B2924" s="87" t="s">
        <v>355</v>
      </c>
      <c r="C2924" s="87">
        <v>2017</v>
      </c>
      <c r="D2924" s="87" t="s">
        <v>15</v>
      </c>
      <c r="E2924" s="116">
        <v>271</v>
      </c>
      <c r="F2924" s="87" t="s">
        <v>967</v>
      </c>
      <c r="G2924" s="87" t="s">
        <v>272</v>
      </c>
      <c r="H2924" s="87" t="s">
        <v>967</v>
      </c>
      <c r="I2924" s="87">
        <v>15</v>
      </c>
    </row>
    <row r="2925" spans="1:9" ht="15" customHeight="1" x14ac:dyDescent="0.25">
      <c r="A2925" s="87" t="s">
        <v>38</v>
      </c>
      <c r="B2925" s="87" t="s">
        <v>355</v>
      </c>
      <c r="C2925" s="87">
        <v>2018</v>
      </c>
      <c r="D2925" s="87" t="s">
        <v>15</v>
      </c>
      <c r="E2925" s="116">
        <v>218</v>
      </c>
      <c r="F2925" s="87" t="s">
        <v>967</v>
      </c>
      <c r="G2925" s="87" t="s">
        <v>272</v>
      </c>
      <c r="H2925" s="87" t="s">
        <v>967</v>
      </c>
      <c r="I2925" s="87">
        <v>15</v>
      </c>
    </row>
    <row r="2926" spans="1:9" ht="15" customHeight="1" x14ac:dyDescent="0.25">
      <c r="A2926" s="87" t="s">
        <v>38</v>
      </c>
      <c r="B2926" s="87" t="s">
        <v>355</v>
      </c>
      <c r="C2926" s="87">
        <v>2019</v>
      </c>
      <c r="D2926" s="87" t="s">
        <v>15</v>
      </c>
      <c r="E2926" s="116">
        <v>2</v>
      </c>
      <c r="F2926" s="87" t="s">
        <v>967</v>
      </c>
      <c r="G2926" s="87" t="s">
        <v>272</v>
      </c>
      <c r="H2926" s="87" t="s">
        <v>967</v>
      </c>
      <c r="I2926" s="87">
        <v>15</v>
      </c>
    </row>
    <row r="2927" spans="1:9" ht="15" customHeight="1" x14ac:dyDescent="0.25">
      <c r="A2927" s="87" t="s">
        <v>38</v>
      </c>
      <c r="B2927" s="87" t="s">
        <v>355</v>
      </c>
      <c r="C2927" s="87">
        <v>2020</v>
      </c>
      <c r="D2927" s="87" t="s">
        <v>15</v>
      </c>
      <c r="E2927" s="116">
        <v>443</v>
      </c>
      <c r="F2927" s="87" t="s">
        <v>967</v>
      </c>
      <c r="G2927" s="87" t="s">
        <v>272</v>
      </c>
      <c r="H2927" s="87" t="s">
        <v>967</v>
      </c>
      <c r="I2927" s="87">
        <v>15</v>
      </c>
    </row>
    <row r="2928" spans="1:9" ht="15" customHeight="1" x14ac:dyDescent="0.25">
      <c r="A2928" s="87" t="s">
        <v>38</v>
      </c>
      <c r="B2928" s="87" t="s">
        <v>355</v>
      </c>
      <c r="C2928" s="87">
        <v>2021</v>
      </c>
      <c r="D2928" s="87" t="s">
        <v>15</v>
      </c>
      <c r="E2928" s="116">
        <v>666</v>
      </c>
      <c r="F2928" s="87" t="s">
        <v>967</v>
      </c>
      <c r="G2928" s="87" t="s">
        <v>272</v>
      </c>
      <c r="H2928" s="87" t="s">
        <v>967</v>
      </c>
      <c r="I2928" s="87">
        <v>15</v>
      </c>
    </row>
    <row r="2929" spans="1:9" ht="15" customHeight="1" x14ac:dyDescent="0.25">
      <c r="A2929" s="87" t="s">
        <v>38</v>
      </c>
      <c r="B2929" s="87" t="s">
        <v>355</v>
      </c>
      <c r="C2929" s="87">
        <v>2022</v>
      </c>
      <c r="D2929" s="87" t="s">
        <v>15</v>
      </c>
      <c r="E2929" s="116">
        <v>666</v>
      </c>
      <c r="F2929" s="87" t="s">
        <v>967</v>
      </c>
      <c r="G2929" s="87" t="s">
        <v>272</v>
      </c>
      <c r="H2929" s="87" t="s">
        <v>967</v>
      </c>
      <c r="I2929" s="87">
        <v>15</v>
      </c>
    </row>
    <row r="2930" spans="1:9" ht="15" customHeight="1" x14ac:dyDescent="0.25">
      <c r="A2930" s="87" t="s">
        <v>38</v>
      </c>
      <c r="B2930" s="87" t="s">
        <v>238</v>
      </c>
      <c r="C2930" s="87">
        <v>1975</v>
      </c>
      <c r="D2930" s="87" t="s">
        <v>15</v>
      </c>
      <c r="E2930" s="116">
        <v>2054</v>
      </c>
      <c r="F2930" s="87" t="s">
        <v>768</v>
      </c>
      <c r="G2930" s="87" t="s">
        <v>332</v>
      </c>
      <c r="H2930" s="87" t="s">
        <v>768</v>
      </c>
      <c r="I2930" s="87">
        <v>13</v>
      </c>
    </row>
    <row r="2931" spans="1:9" ht="15" customHeight="1" x14ac:dyDescent="0.25">
      <c r="A2931" s="87" t="s">
        <v>38</v>
      </c>
      <c r="B2931" s="87" t="s">
        <v>238</v>
      </c>
      <c r="C2931" s="87">
        <v>1976</v>
      </c>
      <c r="D2931" s="87" t="s">
        <v>15</v>
      </c>
      <c r="E2931" s="116">
        <v>1422</v>
      </c>
      <c r="F2931" s="87" t="s">
        <v>768</v>
      </c>
      <c r="G2931" s="87" t="s">
        <v>332</v>
      </c>
      <c r="H2931" s="87" t="s">
        <v>768</v>
      </c>
      <c r="I2931" s="87">
        <v>13</v>
      </c>
    </row>
    <row r="2932" spans="1:9" ht="15" customHeight="1" x14ac:dyDescent="0.25">
      <c r="A2932" s="87" t="s">
        <v>38</v>
      </c>
      <c r="B2932" s="87" t="s">
        <v>238</v>
      </c>
      <c r="C2932" s="87">
        <v>1977</v>
      </c>
      <c r="D2932" s="87" t="s">
        <v>15</v>
      </c>
      <c r="E2932" s="116">
        <v>1900</v>
      </c>
      <c r="F2932" s="87" t="s">
        <v>768</v>
      </c>
      <c r="G2932" s="87" t="s">
        <v>332</v>
      </c>
      <c r="H2932" s="87" t="s">
        <v>768</v>
      </c>
      <c r="I2932" s="87">
        <v>13</v>
      </c>
    </row>
    <row r="2933" spans="1:9" ht="15" customHeight="1" x14ac:dyDescent="0.25">
      <c r="A2933" s="87" t="s">
        <v>38</v>
      </c>
      <c r="B2933" s="87" t="s">
        <v>238</v>
      </c>
      <c r="C2933" s="87">
        <v>1978</v>
      </c>
      <c r="D2933" s="87" t="s">
        <v>15</v>
      </c>
      <c r="E2933" s="116">
        <v>1600</v>
      </c>
      <c r="F2933" s="87" t="s">
        <v>768</v>
      </c>
      <c r="G2933" s="87" t="s">
        <v>332</v>
      </c>
      <c r="H2933" s="87" t="s">
        <v>768</v>
      </c>
      <c r="I2933" s="87">
        <v>13</v>
      </c>
    </row>
    <row r="2934" spans="1:9" ht="15" customHeight="1" x14ac:dyDescent="0.25">
      <c r="A2934" s="87" t="s">
        <v>38</v>
      </c>
      <c r="B2934" s="87" t="s">
        <v>238</v>
      </c>
      <c r="C2934" s="87">
        <v>1979</v>
      </c>
      <c r="D2934" s="87" t="s">
        <v>15</v>
      </c>
      <c r="E2934" s="116">
        <v>1500</v>
      </c>
      <c r="F2934" s="87" t="s">
        <v>768</v>
      </c>
      <c r="G2934" s="87" t="s">
        <v>332</v>
      </c>
      <c r="H2934" s="87" t="s">
        <v>768</v>
      </c>
      <c r="I2934" s="87">
        <v>13</v>
      </c>
    </row>
    <row r="2935" spans="1:9" ht="15" customHeight="1" x14ac:dyDescent="0.25">
      <c r="A2935" s="87" t="s">
        <v>38</v>
      </c>
      <c r="B2935" s="87" t="s">
        <v>238</v>
      </c>
      <c r="C2935" s="87">
        <v>1980</v>
      </c>
      <c r="D2935" s="87" t="s">
        <v>15</v>
      </c>
      <c r="E2935" s="116">
        <v>1900</v>
      </c>
      <c r="F2935" s="87" t="s">
        <v>768</v>
      </c>
      <c r="G2935" s="87" t="s">
        <v>332</v>
      </c>
      <c r="H2935" s="87" t="s">
        <v>768</v>
      </c>
      <c r="I2935" s="87">
        <v>13</v>
      </c>
    </row>
    <row r="2936" spans="1:9" ht="15" customHeight="1" x14ac:dyDescent="0.25">
      <c r="A2936" s="87" t="s">
        <v>38</v>
      </c>
      <c r="B2936" s="87" t="s">
        <v>238</v>
      </c>
      <c r="C2936" s="87">
        <v>1981</v>
      </c>
      <c r="D2936" s="87" t="s">
        <v>15</v>
      </c>
      <c r="E2936" s="116">
        <v>1335</v>
      </c>
      <c r="F2936" s="87" t="s">
        <v>768</v>
      </c>
      <c r="G2936" s="87" t="s">
        <v>332</v>
      </c>
      <c r="H2936" s="87" t="s">
        <v>768</v>
      </c>
      <c r="I2936" s="87">
        <v>13</v>
      </c>
    </row>
    <row r="2937" spans="1:9" ht="15" customHeight="1" x14ac:dyDescent="0.25">
      <c r="A2937" s="87" t="s">
        <v>38</v>
      </c>
      <c r="B2937" s="87" t="s">
        <v>238</v>
      </c>
      <c r="C2937" s="87">
        <v>1982</v>
      </c>
      <c r="D2937" s="87" t="s">
        <v>15</v>
      </c>
      <c r="E2937" s="116">
        <v>1800</v>
      </c>
      <c r="F2937" s="87" t="s">
        <v>768</v>
      </c>
      <c r="G2937" s="87" t="s">
        <v>332</v>
      </c>
      <c r="H2937" s="87" t="s">
        <v>768</v>
      </c>
      <c r="I2937" s="87">
        <v>13</v>
      </c>
    </row>
    <row r="2938" spans="1:9" ht="15" customHeight="1" x14ac:dyDescent="0.25">
      <c r="A2938" s="87" t="s">
        <v>38</v>
      </c>
      <c r="B2938" s="87" t="s">
        <v>238</v>
      </c>
      <c r="C2938" s="87">
        <v>1983</v>
      </c>
      <c r="D2938" s="87" t="s">
        <v>15</v>
      </c>
      <c r="E2938" s="116">
        <v>2000</v>
      </c>
      <c r="F2938" s="87" t="s">
        <v>768</v>
      </c>
      <c r="G2938" s="87" t="s">
        <v>332</v>
      </c>
      <c r="H2938" s="87" t="s">
        <v>768</v>
      </c>
      <c r="I2938" s="87">
        <v>13</v>
      </c>
    </row>
    <row r="2939" spans="1:9" ht="15" customHeight="1" x14ac:dyDescent="0.25">
      <c r="A2939" s="87" t="s">
        <v>38</v>
      </c>
      <c r="B2939" s="87" t="s">
        <v>238</v>
      </c>
      <c r="C2939" s="87">
        <v>1984</v>
      </c>
      <c r="D2939" s="87" t="s">
        <v>15</v>
      </c>
      <c r="E2939" s="116">
        <v>1800</v>
      </c>
      <c r="F2939" s="87" t="s">
        <v>768</v>
      </c>
      <c r="G2939" s="87" t="s">
        <v>332</v>
      </c>
      <c r="H2939" s="87" t="s">
        <v>768</v>
      </c>
      <c r="I2939" s="87">
        <v>13</v>
      </c>
    </row>
    <row r="2940" spans="1:9" ht="15" customHeight="1" x14ac:dyDescent="0.25">
      <c r="A2940" s="87" t="s">
        <v>38</v>
      </c>
      <c r="B2940" s="87" t="s">
        <v>238</v>
      </c>
      <c r="C2940" s="87">
        <v>1985</v>
      </c>
      <c r="D2940" s="87" t="s">
        <v>15</v>
      </c>
      <c r="E2940" s="116">
        <v>5000</v>
      </c>
      <c r="F2940" s="87" t="s">
        <v>768</v>
      </c>
      <c r="G2940" s="87" t="s">
        <v>332</v>
      </c>
      <c r="H2940" s="87" t="s">
        <v>768</v>
      </c>
      <c r="I2940" s="87">
        <v>13</v>
      </c>
    </row>
    <row r="2941" spans="1:9" ht="15" customHeight="1" x14ac:dyDescent="0.25">
      <c r="A2941" s="87" t="s">
        <v>38</v>
      </c>
      <c r="B2941" s="87" t="s">
        <v>238</v>
      </c>
      <c r="C2941" s="87">
        <v>1986</v>
      </c>
      <c r="D2941" s="87" t="s">
        <v>15</v>
      </c>
      <c r="E2941" s="116">
        <v>5500</v>
      </c>
      <c r="F2941" s="87" t="s">
        <v>768</v>
      </c>
      <c r="G2941" s="87" t="s">
        <v>332</v>
      </c>
      <c r="H2941" s="87" t="s">
        <v>768</v>
      </c>
      <c r="I2941" s="87">
        <v>13</v>
      </c>
    </row>
    <row r="2942" spans="1:9" ht="15" customHeight="1" x14ac:dyDescent="0.25">
      <c r="A2942" s="87" t="s">
        <v>38</v>
      </c>
      <c r="B2942" s="87" t="s">
        <v>238</v>
      </c>
      <c r="C2942" s="87">
        <v>1987</v>
      </c>
      <c r="D2942" s="87" t="s">
        <v>15</v>
      </c>
      <c r="E2942" s="116">
        <v>3750</v>
      </c>
      <c r="F2942" s="87" t="s">
        <v>768</v>
      </c>
      <c r="G2942" s="87" t="s">
        <v>332</v>
      </c>
      <c r="H2942" s="87" t="s">
        <v>768</v>
      </c>
      <c r="I2942" s="87">
        <v>13</v>
      </c>
    </row>
    <row r="2943" spans="1:9" ht="15" customHeight="1" x14ac:dyDescent="0.25">
      <c r="A2943" s="87" t="s">
        <v>38</v>
      </c>
      <c r="B2943" s="87" t="s">
        <v>238</v>
      </c>
      <c r="C2943" s="87">
        <v>1988</v>
      </c>
      <c r="D2943" s="87" t="s">
        <v>15</v>
      </c>
      <c r="E2943" s="116">
        <v>4600</v>
      </c>
      <c r="F2943" s="87" t="s">
        <v>768</v>
      </c>
      <c r="G2943" s="87" t="s">
        <v>332</v>
      </c>
      <c r="H2943" s="87" t="s">
        <v>768</v>
      </c>
      <c r="I2943" s="87">
        <v>13</v>
      </c>
    </row>
    <row r="2944" spans="1:9" ht="15" customHeight="1" x14ac:dyDescent="0.25">
      <c r="A2944" s="87" t="s">
        <v>38</v>
      </c>
      <c r="B2944" s="87" t="s">
        <v>238</v>
      </c>
      <c r="C2944" s="87">
        <v>1989</v>
      </c>
      <c r="D2944" s="87" t="s">
        <v>15</v>
      </c>
      <c r="E2944" s="116">
        <v>2000</v>
      </c>
      <c r="F2944" s="87" t="s">
        <v>768</v>
      </c>
      <c r="G2944" s="87" t="s">
        <v>332</v>
      </c>
      <c r="H2944" s="87" t="s">
        <v>768</v>
      </c>
      <c r="I2944" s="87">
        <v>13</v>
      </c>
    </row>
    <row r="2945" spans="1:9" ht="15" customHeight="1" x14ac:dyDescent="0.25">
      <c r="A2945" s="87" t="s">
        <v>38</v>
      </c>
      <c r="B2945" s="87" t="s">
        <v>238</v>
      </c>
      <c r="C2945" s="87">
        <v>1990</v>
      </c>
      <c r="D2945" s="87" t="s">
        <v>15</v>
      </c>
      <c r="E2945" s="116">
        <v>5000</v>
      </c>
      <c r="F2945" s="87" t="s">
        <v>768</v>
      </c>
      <c r="G2945" s="87" t="s">
        <v>332</v>
      </c>
      <c r="H2945" s="87" t="s">
        <v>768</v>
      </c>
      <c r="I2945" s="87">
        <v>13</v>
      </c>
    </row>
    <row r="2946" spans="1:9" ht="15" customHeight="1" x14ac:dyDescent="0.25">
      <c r="A2946" s="87" t="s">
        <v>38</v>
      </c>
      <c r="B2946" s="87" t="s">
        <v>238</v>
      </c>
      <c r="C2946" s="87">
        <v>1991</v>
      </c>
      <c r="D2946" s="87" t="s">
        <v>15</v>
      </c>
      <c r="E2946" s="116">
        <v>2500</v>
      </c>
      <c r="F2946" s="87" t="s">
        <v>768</v>
      </c>
      <c r="G2946" s="87" t="s">
        <v>332</v>
      </c>
      <c r="H2946" s="87" t="s">
        <v>768</v>
      </c>
      <c r="I2946" s="87">
        <v>13</v>
      </c>
    </row>
    <row r="2947" spans="1:9" ht="15" customHeight="1" x14ac:dyDescent="0.25">
      <c r="A2947" s="87" t="s">
        <v>38</v>
      </c>
      <c r="B2947" s="87" t="s">
        <v>238</v>
      </c>
      <c r="C2947" s="87">
        <v>1992</v>
      </c>
      <c r="D2947" s="87" t="s">
        <v>15</v>
      </c>
      <c r="E2947" s="116">
        <v>1725</v>
      </c>
      <c r="F2947" s="87" t="s">
        <v>768</v>
      </c>
      <c r="G2947" s="87" t="s">
        <v>332</v>
      </c>
      <c r="H2947" s="87" t="s">
        <v>768</v>
      </c>
      <c r="I2947" s="87">
        <v>13</v>
      </c>
    </row>
    <row r="2948" spans="1:9" ht="15" customHeight="1" x14ac:dyDescent="0.25">
      <c r="A2948" s="87" t="s">
        <v>38</v>
      </c>
      <c r="B2948" s="87" t="s">
        <v>238</v>
      </c>
      <c r="C2948" s="87">
        <v>1993</v>
      </c>
      <c r="D2948" s="87" t="s">
        <v>15</v>
      </c>
      <c r="E2948" s="116">
        <v>1300</v>
      </c>
      <c r="F2948" s="87" t="s">
        <v>768</v>
      </c>
      <c r="G2948" s="87" t="s">
        <v>332</v>
      </c>
      <c r="H2948" s="87" t="s">
        <v>768</v>
      </c>
      <c r="I2948" s="87">
        <v>13</v>
      </c>
    </row>
    <row r="2949" spans="1:9" ht="15" customHeight="1" x14ac:dyDescent="0.25">
      <c r="A2949" s="87" t="s">
        <v>38</v>
      </c>
      <c r="B2949" s="87" t="s">
        <v>238</v>
      </c>
      <c r="C2949" s="87">
        <v>1994</v>
      </c>
      <c r="D2949" s="87" t="s">
        <v>15</v>
      </c>
      <c r="E2949" s="116">
        <v>2473</v>
      </c>
      <c r="F2949" s="87" t="s">
        <v>768</v>
      </c>
      <c r="G2949" s="87" t="s">
        <v>332</v>
      </c>
      <c r="H2949" s="87" t="s">
        <v>768</v>
      </c>
      <c r="I2949" s="87">
        <v>13</v>
      </c>
    </row>
    <row r="2950" spans="1:9" ht="15" customHeight="1" x14ac:dyDescent="0.25">
      <c r="A2950" s="87" t="s">
        <v>38</v>
      </c>
      <c r="B2950" s="87" t="s">
        <v>238</v>
      </c>
      <c r="C2950" s="87">
        <v>1995</v>
      </c>
      <c r="D2950" s="87" t="s">
        <v>15</v>
      </c>
      <c r="E2950" s="116">
        <v>4652</v>
      </c>
      <c r="F2950" s="87" t="s">
        <v>768</v>
      </c>
      <c r="G2950" s="87" t="s">
        <v>332</v>
      </c>
      <c r="H2950" s="87" t="s">
        <v>768</v>
      </c>
      <c r="I2950" s="87">
        <v>13</v>
      </c>
    </row>
    <row r="2951" spans="1:9" ht="15" customHeight="1" x14ac:dyDescent="0.25">
      <c r="A2951" s="87" t="s">
        <v>38</v>
      </c>
      <c r="B2951" s="87" t="s">
        <v>238</v>
      </c>
      <c r="C2951" s="87">
        <v>1996</v>
      </c>
      <c r="D2951" s="87" t="s">
        <v>15</v>
      </c>
      <c r="E2951" s="116">
        <v>1994</v>
      </c>
      <c r="F2951" s="87" t="s">
        <v>967</v>
      </c>
      <c r="G2951" s="87" t="s">
        <v>272</v>
      </c>
      <c r="H2951" s="87" t="s">
        <v>967</v>
      </c>
      <c r="I2951" s="87">
        <v>13</v>
      </c>
    </row>
    <row r="2952" spans="1:9" ht="15" customHeight="1" x14ac:dyDescent="0.25">
      <c r="A2952" s="87" t="s">
        <v>38</v>
      </c>
      <c r="B2952" s="87" t="s">
        <v>238</v>
      </c>
      <c r="C2952" s="87">
        <v>1997</v>
      </c>
      <c r="D2952" s="87" t="s">
        <v>15</v>
      </c>
      <c r="E2952" s="116">
        <v>2857</v>
      </c>
      <c r="F2952" s="87" t="s">
        <v>967</v>
      </c>
      <c r="G2952" s="87" t="s">
        <v>272</v>
      </c>
      <c r="H2952" s="87" t="s">
        <v>967</v>
      </c>
      <c r="I2952" s="87">
        <v>13</v>
      </c>
    </row>
    <row r="2953" spans="1:9" ht="15" customHeight="1" x14ac:dyDescent="0.25">
      <c r="A2953" s="87" t="s">
        <v>38</v>
      </c>
      <c r="B2953" s="87" t="s">
        <v>238</v>
      </c>
      <c r="C2953" s="87">
        <v>1998</v>
      </c>
      <c r="D2953" s="87" t="s">
        <v>15</v>
      </c>
      <c r="E2953" s="116">
        <v>2049</v>
      </c>
      <c r="F2953" s="87" t="s">
        <v>967</v>
      </c>
      <c r="G2953" s="87" t="s">
        <v>272</v>
      </c>
      <c r="H2953" s="87" t="s">
        <v>967</v>
      </c>
      <c r="I2953" s="87">
        <v>13</v>
      </c>
    </row>
    <row r="2954" spans="1:9" ht="15" customHeight="1" x14ac:dyDescent="0.25">
      <c r="A2954" s="87" t="s">
        <v>38</v>
      </c>
      <c r="B2954" s="87" t="s">
        <v>238</v>
      </c>
      <c r="C2954" s="87">
        <v>1999</v>
      </c>
      <c r="D2954" s="87" t="s">
        <v>15</v>
      </c>
      <c r="E2954" s="116">
        <v>1235</v>
      </c>
      <c r="F2954" s="87" t="s">
        <v>967</v>
      </c>
      <c r="G2954" s="87" t="s">
        <v>272</v>
      </c>
      <c r="H2954" s="87" t="s">
        <v>967</v>
      </c>
      <c r="I2954" s="87">
        <v>13</v>
      </c>
    </row>
    <row r="2955" spans="1:9" ht="15" customHeight="1" x14ac:dyDescent="0.25">
      <c r="A2955" s="87" t="s">
        <v>38</v>
      </c>
      <c r="B2955" s="87" t="s">
        <v>238</v>
      </c>
      <c r="C2955" s="87">
        <v>2000</v>
      </c>
      <c r="D2955" s="87" t="s">
        <v>15</v>
      </c>
      <c r="E2955" s="116">
        <v>1624</v>
      </c>
      <c r="F2955" s="87" t="s">
        <v>356</v>
      </c>
      <c r="G2955" s="87" t="s">
        <v>272</v>
      </c>
      <c r="H2955" s="87" t="s">
        <v>967</v>
      </c>
      <c r="I2955" s="87">
        <v>13</v>
      </c>
    </row>
    <row r="2956" spans="1:9" ht="15" customHeight="1" x14ac:dyDescent="0.25">
      <c r="A2956" s="87" t="s">
        <v>38</v>
      </c>
      <c r="B2956" s="87" t="s">
        <v>238</v>
      </c>
      <c r="C2956" s="87">
        <v>2001</v>
      </c>
      <c r="D2956" s="87" t="s">
        <v>15</v>
      </c>
      <c r="E2956" s="116">
        <v>2212</v>
      </c>
      <c r="F2956" s="87" t="s">
        <v>967</v>
      </c>
      <c r="G2956" s="87" t="s">
        <v>274</v>
      </c>
      <c r="H2956" s="87" t="s">
        <v>967</v>
      </c>
      <c r="I2956" s="87">
        <v>13</v>
      </c>
    </row>
    <row r="2957" spans="1:9" ht="15" customHeight="1" x14ac:dyDescent="0.25">
      <c r="A2957" s="87" t="s">
        <v>38</v>
      </c>
      <c r="B2957" s="87" t="s">
        <v>238</v>
      </c>
      <c r="C2957" s="87">
        <v>2002</v>
      </c>
      <c r="D2957" s="87" t="s">
        <v>15</v>
      </c>
      <c r="E2957" s="116">
        <v>3021</v>
      </c>
      <c r="F2957" s="87" t="s">
        <v>967</v>
      </c>
      <c r="G2957" s="87" t="s">
        <v>272</v>
      </c>
      <c r="H2957" s="87" t="s">
        <v>967</v>
      </c>
      <c r="I2957" s="87">
        <v>13</v>
      </c>
    </row>
    <row r="2958" spans="1:9" ht="15" customHeight="1" x14ac:dyDescent="0.25">
      <c r="A2958" s="87" t="s">
        <v>38</v>
      </c>
      <c r="B2958" s="87" t="s">
        <v>238</v>
      </c>
      <c r="C2958" s="87">
        <v>2003</v>
      </c>
      <c r="D2958" s="87" t="s">
        <v>15</v>
      </c>
      <c r="E2958" s="116">
        <v>3676</v>
      </c>
      <c r="F2958" s="87" t="s">
        <v>967</v>
      </c>
      <c r="G2958" s="87" t="s">
        <v>272</v>
      </c>
      <c r="H2958" s="87" t="s">
        <v>788</v>
      </c>
      <c r="I2958" s="87">
        <v>13</v>
      </c>
    </row>
    <row r="2959" spans="1:9" ht="15" customHeight="1" x14ac:dyDescent="0.25">
      <c r="A2959" s="87" t="s">
        <v>38</v>
      </c>
      <c r="B2959" s="87" t="s">
        <v>238</v>
      </c>
      <c r="C2959" s="87">
        <v>2004</v>
      </c>
      <c r="D2959" s="87" t="s">
        <v>15</v>
      </c>
      <c r="E2959" s="116">
        <v>2278</v>
      </c>
      <c r="F2959" s="87" t="s">
        <v>967</v>
      </c>
      <c r="G2959" s="87" t="s">
        <v>272</v>
      </c>
      <c r="H2959" s="87" t="s">
        <v>789</v>
      </c>
      <c r="I2959" s="87">
        <v>13</v>
      </c>
    </row>
    <row r="2960" spans="1:9" ht="15" customHeight="1" x14ac:dyDescent="0.25">
      <c r="A2960" s="87" t="s">
        <v>38</v>
      </c>
      <c r="B2960" s="87" t="s">
        <v>238</v>
      </c>
      <c r="C2960" s="87">
        <v>2005</v>
      </c>
      <c r="D2960" s="87" t="s">
        <v>15</v>
      </c>
      <c r="E2960" s="116">
        <v>2161</v>
      </c>
      <c r="F2960" s="87" t="s">
        <v>967</v>
      </c>
      <c r="G2960" s="87" t="s">
        <v>272</v>
      </c>
      <c r="H2960" s="87" t="s">
        <v>967</v>
      </c>
      <c r="I2960" s="87">
        <v>13</v>
      </c>
    </row>
    <row r="2961" spans="1:9" ht="15" customHeight="1" x14ac:dyDescent="0.25">
      <c r="A2961" s="87" t="s">
        <v>38</v>
      </c>
      <c r="B2961" s="87" t="s">
        <v>238</v>
      </c>
      <c r="C2961" s="87">
        <v>2006</v>
      </c>
      <c r="D2961" s="87" t="s">
        <v>15</v>
      </c>
      <c r="E2961" s="116">
        <v>2204</v>
      </c>
      <c r="F2961" s="87" t="s">
        <v>967</v>
      </c>
      <c r="G2961" s="87" t="s">
        <v>272</v>
      </c>
      <c r="H2961" s="87" t="s">
        <v>967</v>
      </c>
      <c r="I2961" s="87">
        <v>13</v>
      </c>
    </row>
    <row r="2962" spans="1:9" ht="15" customHeight="1" x14ac:dyDescent="0.25">
      <c r="A2962" s="87" t="s">
        <v>38</v>
      </c>
      <c r="B2962" s="87" t="s">
        <v>238</v>
      </c>
      <c r="C2962" s="87">
        <v>2007</v>
      </c>
      <c r="D2962" s="87" t="s">
        <v>15</v>
      </c>
      <c r="E2962" s="116">
        <v>654</v>
      </c>
      <c r="F2962" s="87" t="s">
        <v>967</v>
      </c>
      <c r="G2962" s="87" t="s">
        <v>272</v>
      </c>
      <c r="H2962" s="87" t="s">
        <v>967</v>
      </c>
      <c r="I2962" s="87">
        <v>13</v>
      </c>
    </row>
    <row r="2963" spans="1:9" ht="15" customHeight="1" x14ac:dyDescent="0.25">
      <c r="A2963" s="87" t="s">
        <v>38</v>
      </c>
      <c r="B2963" s="87" t="s">
        <v>238</v>
      </c>
      <c r="C2963" s="87">
        <v>2008</v>
      </c>
      <c r="D2963" s="87" t="s">
        <v>15</v>
      </c>
      <c r="E2963" s="116">
        <v>1389</v>
      </c>
      <c r="F2963" s="87" t="s">
        <v>967</v>
      </c>
      <c r="G2963" s="87" t="s">
        <v>272</v>
      </c>
      <c r="H2963" s="87" t="s">
        <v>967</v>
      </c>
      <c r="I2963" s="87">
        <v>13</v>
      </c>
    </row>
    <row r="2964" spans="1:9" ht="15" customHeight="1" x14ac:dyDescent="0.25">
      <c r="A2964" s="87" t="s">
        <v>38</v>
      </c>
      <c r="B2964" s="87" t="s">
        <v>238</v>
      </c>
      <c r="C2964" s="87">
        <v>2009</v>
      </c>
      <c r="D2964" s="87" t="s">
        <v>15</v>
      </c>
      <c r="E2964" s="116">
        <v>3173</v>
      </c>
      <c r="F2964" s="87" t="s">
        <v>967</v>
      </c>
      <c r="G2964" s="87" t="s">
        <v>272</v>
      </c>
      <c r="H2964" s="87" t="s">
        <v>967</v>
      </c>
      <c r="I2964" s="87">
        <v>13</v>
      </c>
    </row>
    <row r="2965" spans="1:9" ht="15" customHeight="1" x14ac:dyDescent="0.25">
      <c r="A2965" s="87" t="s">
        <v>38</v>
      </c>
      <c r="B2965" s="87" t="s">
        <v>238</v>
      </c>
      <c r="C2965" s="87">
        <v>2010</v>
      </c>
      <c r="D2965" s="87" t="s">
        <v>15</v>
      </c>
      <c r="E2965" s="116">
        <v>1465</v>
      </c>
      <c r="F2965" s="87" t="s">
        <v>967</v>
      </c>
      <c r="G2965" s="87" t="s">
        <v>272</v>
      </c>
      <c r="H2965" s="87" t="s">
        <v>967</v>
      </c>
      <c r="I2965" s="87">
        <v>13</v>
      </c>
    </row>
    <row r="2966" spans="1:9" ht="15" customHeight="1" x14ac:dyDescent="0.25">
      <c r="A2966" s="87" t="s">
        <v>38</v>
      </c>
      <c r="B2966" s="87" t="s">
        <v>238</v>
      </c>
      <c r="C2966" s="87">
        <v>2011</v>
      </c>
      <c r="D2966" s="87" t="s">
        <v>15</v>
      </c>
      <c r="E2966" s="116">
        <v>811</v>
      </c>
      <c r="F2966" s="87" t="s">
        <v>967</v>
      </c>
      <c r="G2966" s="87" t="s">
        <v>272</v>
      </c>
      <c r="H2966" s="87" t="s">
        <v>790</v>
      </c>
      <c r="I2966" s="87">
        <v>13</v>
      </c>
    </row>
    <row r="2967" spans="1:9" ht="15" customHeight="1" x14ac:dyDescent="0.25">
      <c r="A2967" s="87" t="s">
        <v>38</v>
      </c>
      <c r="B2967" s="87" t="s">
        <v>238</v>
      </c>
      <c r="C2967" s="87">
        <v>2012</v>
      </c>
      <c r="D2967" s="87" t="s">
        <v>15</v>
      </c>
      <c r="E2967" s="116">
        <v>1600</v>
      </c>
      <c r="F2967" s="87" t="s">
        <v>967</v>
      </c>
      <c r="G2967" s="87" t="s">
        <v>272</v>
      </c>
      <c r="H2967" s="87" t="s">
        <v>967</v>
      </c>
      <c r="I2967" s="87">
        <v>13</v>
      </c>
    </row>
    <row r="2968" spans="1:9" ht="15" customHeight="1" x14ac:dyDescent="0.25">
      <c r="A2968" s="87" t="s">
        <v>38</v>
      </c>
      <c r="B2968" s="87" t="s">
        <v>238</v>
      </c>
      <c r="C2968" s="87">
        <v>2013</v>
      </c>
      <c r="D2968" s="87" t="s">
        <v>15</v>
      </c>
      <c r="E2968" s="116">
        <v>1952</v>
      </c>
      <c r="F2968" s="87" t="s">
        <v>967</v>
      </c>
      <c r="G2968" s="87" t="s">
        <v>272</v>
      </c>
      <c r="H2968" s="87" t="s">
        <v>967</v>
      </c>
      <c r="I2968" s="87">
        <v>13</v>
      </c>
    </row>
    <row r="2969" spans="1:9" ht="15" customHeight="1" x14ac:dyDescent="0.25">
      <c r="A2969" s="87" t="s">
        <v>38</v>
      </c>
      <c r="B2969" s="87" t="s">
        <v>238</v>
      </c>
      <c r="C2969" s="87">
        <v>2014</v>
      </c>
      <c r="D2969" s="87" t="s">
        <v>15</v>
      </c>
      <c r="E2969" s="116">
        <v>2162</v>
      </c>
      <c r="F2969" s="87" t="s">
        <v>967</v>
      </c>
      <c r="G2969" s="87" t="s">
        <v>272</v>
      </c>
      <c r="H2969" s="87" t="s">
        <v>967</v>
      </c>
      <c r="I2969" s="87">
        <v>13</v>
      </c>
    </row>
    <row r="2970" spans="1:9" ht="15" customHeight="1" x14ac:dyDescent="0.25">
      <c r="A2970" s="87" t="s">
        <v>38</v>
      </c>
      <c r="B2970" s="87" t="s">
        <v>238</v>
      </c>
      <c r="C2970" s="87">
        <v>2015</v>
      </c>
      <c r="D2970" s="87" t="s">
        <v>15</v>
      </c>
      <c r="E2970" s="116">
        <v>2654</v>
      </c>
      <c r="F2970" s="87" t="s">
        <v>967</v>
      </c>
      <c r="G2970" s="87" t="s">
        <v>272</v>
      </c>
      <c r="H2970" s="87" t="s">
        <v>791</v>
      </c>
      <c r="I2970" s="87">
        <v>13</v>
      </c>
    </row>
    <row r="2971" spans="1:9" ht="15" customHeight="1" x14ac:dyDescent="0.25">
      <c r="A2971" s="87" t="s">
        <v>38</v>
      </c>
      <c r="B2971" s="87" t="s">
        <v>238</v>
      </c>
      <c r="C2971" s="87">
        <v>2016</v>
      </c>
      <c r="D2971" s="87" t="s">
        <v>15</v>
      </c>
      <c r="E2971" s="116">
        <v>1403</v>
      </c>
      <c r="F2971" s="87" t="s">
        <v>967</v>
      </c>
      <c r="G2971" s="87" t="s">
        <v>272</v>
      </c>
      <c r="H2971" s="87" t="s">
        <v>792</v>
      </c>
      <c r="I2971" s="87">
        <v>13</v>
      </c>
    </row>
    <row r="2972" spans="1:9" ht="15" customHeight="1" x14ac:dyDescent="0.25">
      <c r="A2972" s="87" t="s">
        <v>38</v>
      </c>
      <c r="B2972" s="87" t="s">
        <v>238</v>
      </c>
      <c r="C2972" s="87">
        <v>2017</v>
      </c>
      <c r="D2972" s="87" t="s">
        <v>15</v>
      </c>
      <c r="E2972" s="116">
        <v>718</v>
      </c>
      <c r="F2972" s="87" t="s">
        <v>967</v>
      </c>
      <c r="G2972" s="87" t="s">
        <v>272</v>
      </c>
      <c r="H2972" s="87" t="s">
        <v>967</v>
      </c>
      <c r="I2972" s="87">
        <v>13</v>
      </c>
    </row>
    <row r="2973" spans="1:9" ht="15" customHeight="1" x14ac:dyDescent="0.25">
      <c r="A2973" s="87" t="s">
        <v>38</v>
      </c>
      <c r="B2973" s="87" t="s">
        <v>238</v>
      </c>
      <c r="C2973" s="87">
        <v>2018</v>
      </c>
      <c r="D2973" s="87" t="s">
        <v>15</v>
      </c>
      <c r="E2973" s="116">
        <v>703</v>
      </c>
      <c r="F2973" s="87" t="s">
        <v>967</v>
      </c>
      <c r="G2973" s="87" t="s">
        <v>272</v>
      </c>
      <c r="H2973" s="87" t="s">
        <v>967</v>
      </c>
      <c r="I2973" s="87">
        <v>13</v>
      </c>
    </row>
    <row r="2974" spans="1:9" ht="15" customHeight="1" x14ac:dyDescent="0.25">
      <c r="A2974" s="87" t="s">
        <v>38</v>
      </c>
      <c r="B2974" s="87" t="s">
        <v>238</v>
      </c>
      <c r="C2974" s="87">
        <v>2019</v>
      </c>
      <c r="D2974" s="87" t="s">
        <v>15</v>
      </c>
      <c r="E2974" s="116">
        <v>369</v>
      </c>
      <c r="F2974" s="87" t="s">
        <v>967</v>
      </c>
      <c r="G2974" s="87" t="s">
        <v>272</v>
      </c>
      <c r="H2974" s="87" t="s">
        <v>967</v>
      </c>
      <c r="I2974" s="87">
        <v>13</v>
      </c>
    </row>
    <row r="2975" spans="1:9" ht="15" customHeight="1" x14ac:dyDescent="0.25">
      <c r="A2975" s="87" t="s">
        <v>38</v>
      </c>
      <c r="B2975" s="87" t="s">
        <v>238</v>
      </c>
      <c r="C2975" s="87">
        <v>2020</v>
      </c>
      <c r="D2975" s="87" t="s">
        <v>15</v>
      </c>
      <c r="E2975" s="116">
        <v>1391</v>
      </c>
      <c r="F2975" s="87" t="s">
        <v>967</v>
      </c>
      <c r="G2975" s="87" t="s">
        <v>272</v>
      </c>
      <c r="H2975" s="87" t="s">
        <v>967</v>
      </c>
      <c r="I2975" s="87">
        <v>13</v>
      </c>
    </row>
    <row r="2976" spans="1:9" ht="15" customHeight="1" x14ac:dyDescent="0.25">
      <c r="A2976" s="87" t="s">
        <v>38</v>
      </c>
      <c r="B2976" s="87" t="s">
        <v>238</v>
      </c>
      <c r="C2976" s="87">
        <v>2021</v>
      </c>
      <c r="D2976" s="87" t="s">
        <v>15</v>
      </c>
      <c r="E2976" s="116">
        <v>2239</v>
      </c>
      <c r="F2976" s="87" t="s">
        <v>967</v>
      </c>
      <c r="G2976" s="87" t="s">
        <v>272</v>
      </c>
      <c r="H2976" s="87" t="s">
        <v>967</v>
      </c>
      <c r="I2976" s="87">
        <v>13</v>
      </c>
    </row>
    <row r="2977" spans="1:9" ht="15" customHeight="1" x14ac:dyDescent="0.25">
      <c r="A2977" s="87" t="s">
        <v>38</v>
      </c>
      <c r="B2977" s="87" t="s">
        <v>238</v>
      </c>
      <c r="C2977" s="87">
        <v>2022</v>
      </c>
      <c r="D2977" s="87" t="s">
        <v>15</v>
      </c>
      <c r="E2977" s="116">
        <v>2249</v>
      </c>
      <c r="F2977" s="87" t="s">
        <v>967</v>
      </c>
      <c r="G2977" s="87" t="s">
        <v>272</v>
      </c>
      <c r="H2977" s="87" t="s">
        <v>967</v>
      </c>
      <c r="I2977" s="87">
        <v>13</v>
      </c>
    </row>
    <row r="2978" spans="1:9" ht="15" customHeight="1" x14ac:dyDescent="0.25">
      <c r="A2978" s="87" t="s">
        <v>38</v>
      </c>
      <c r="B2978" s="87" t="s">
        <v>357</v>
      </c>
      <c r="C2978" s="87">
        <v>1975</v>
      </c>
      <c r="D2978" s="87" t="s">
        <v>15</v>
      </c>
      <c r="E2978" s="116">
        <v>-1</v>
      </c>
      <c r="F2978" s="87" t="s">
        <v>967</v>
      </c>
      <c r="G2978" s="87" t="s">
        <v>967</v>
      </c>
      <c r="H2978" s="87" t="s">
        <v>967</v>
      </c>
      <c r="I2978" s="87">
        <v>80</v>
      </c>
    </row>
    <row r="2979" spans="1:9" ht="15" customHeight="1" x14ac:dyDescent="0.25">
      <c r="A2979" s="87" t="s">
        <v>38</v>
      </c>
      <c r="B2979" s="87" t="s">
        <v>357</v>
      </c>
      <c r="C2979" s="87">
        <v>1976</v>
      </c>
      <c r="D2979" s="87" t="s">
        <v>15</v>
      </c>
      <c r="E2979" s="116">
        <v>-1</v>
      </c>
      <c r="F2979" s="87" t="s">
        <v>967</v>
      </c>
      <c r="G2979" s="87" t="s">
        <v>967</v>
      </c>
      <c r="H2979" s="87" t="s">
        <v>967</v>
      </c>
      <c r="I2979" s="87">
        <v>80</v>
      </c>
    </row>
    <row r="2980" spans="1:9" ht="15" customHeight="1" x14ac:dyDescent="0.25">
      <c r="A2980" s="87" t="s">
        <v>38</v>
      </c>
      <c r="B2980" s="87" t="s">
        <v>357</v>
      </c>
      <c r="C2980" s="87">
        <v>1977</v>
      </c>
      <c r="D2980" s="87" t="s">
        <v>15</v>
      </c>
      <c r="E2980" s="116">
        <v>-1</v>
      </c>
      <c r="F2980" s="87" t="s">
        <v>967</v>
      </c>
      <c r="G2980" s="87" t="s">
        <v>967</v>
      </c>
      <c r="H2980" s="87" t="s">
        <v>967</v>
      </c>
      <c r="I2980" s="87">
        <v>80</v>
      </c>
    </row>
    <row r="2981" spans="1:9" ht="15" customHeight="1" x14ac:dyDescent="0.25">
      <c r="A2981" s="87" t="s">
        <v>38</v>
      </c>
      <c r="B2981" s="87" t="s">
        <v>357</v>
      </c>
      <c r="C2981" s="87">
        <v>1978</v>
      </c>
      <c r="D2981" s="87" t="s">
        <v>15</v>
      </c>
      <c r="E2981" s="116">
        <v>-1</v>
      </c>
      <c r="F2981" s="87" t="s">
        <v>967</v>
      </c>
      <c r="G2981" s="87" t="s">
        <v>967</v>
      </c>
      <c r="H2981" s="87" t="s">
        <v>967</v>
      </c>
      <c r="I2981" s="87">
        <v>80</v>
      </c>
    </row>
    <row r="2982" spans="1:9" ht="15" customHeight="1" x14ac:dyDescent="0.25">
      <c r="A2982" s="87" t="s">
        <v>38</v>
      </c>
      <c r="B2982" s="87" t="s">
        <v>357</v>
      </c>
      <c r="C2982" s="87">
        <v>1979</v>
      </c>
      <c r="D2982" s="87" t="s">
        <v>15</v>
      </c>
      <c r="E2982" s="116">
        <v>-1</v>
      </c>
      <c r="F2982" s="87" t="s">
        <v>967</v>
      </c>
      <c r="G2982" s="87" t="s">
        <v>967</v>
      </c>
      <c r="H2982" s="87" t="s">
        <v>967</v>
      </c>
      <c r="I2982" s="87">
        <v>80</v>
      </c>
    </row>
    <row r="2983" spans="1:9" ht="15" customHeight="1" x14ac:dyDescent="0.25">
      <c r="A2983" s="87" t="s">
        <v>38</v>
      </c>
      <c r="B2983" s="87" t="s">
        <v>357</v>
      </c>
      <c r="C2983" s="87">
        <v>1980</v>
      </c>
      <c r="D2983" s="87" t="s">
        <v>15</v>
      </c>
      <c r="E2983" s="116">
        <v>-1</v>
      </c>
      <c r="F2983" s="87" t="s">
        <v>967</v>
      </c>
      <c r="G2983" s="87" t="s">
        <v>967</v>
      </c>
      <c r="H2983" s="87" t="s">
        <v>967</v>
      </c>
      <c r="I2983" s="87">
        <v>80</v>
      </c>
    </row>
    <row r="2984" spans="1:9" ht="15" customHeight="1" x14ac:dyDescent="0.25">
      <c r="A2984" s="87" t="s">
        <v>38</v>
      </c>
      <c r="B2984" s="87" t="s">
        <v>357</v>
      </c>
      <c r="C2984" s="87">
        <v>1981</v>
      </c>
      <c r="D2984" s="87" t="s">
        <v>15</v>
      </c>
      <c r="E2984" s="116">
        <v>-1</v>
      </c>
      <c r="F2984" s="87" t="s">
        <v>967</v>
      </c>
      <c r="G2984" s="87" t="s">
        <v>967</v>
      </c>
      <c r="H2984" s="87" t="s">
        <v>967</v>
      </c>
      <c r="I2984" s="87">
        <v>80</v>
      </c>
    </row>
    <row r="2985" spans="1:9" ht="15" customHeight="1" x14ac:dyDescent="0.25">
      <c r="A2985" s="87" t="s">
        <v>38</v>
      </c>
      <c r="B2985" s="87" t="s">
        <v>357</v>
      </c>
      <c r="C2985" s="87">
        <v>1982</v>
      </c>
      <c r="D2985" s="87" t="s">
        <v>15</v>
      </c>
      <c r="E2985" s="116">
        <v>-1</v>
      </c>
      <c r="F2985" s="87" t="s">
        <v>967</v>
      </c>
      <c r="G2985" s="87" t="s">
        <v>967</v>
      </c>
      <c r="H2985" s="87" t="s">
        <v>967</v>
      </c>
      <c r="I2985" s="87">
        <v>80</v>
      </c>
    </row>
    <row r="2986" spans="1:9" ht="15" customHeight="1" x14ac:dyDescent="0.25">
      <c r="A2986" s="87" t="s">
        <v>38</v>
      </c>
      <c r="B2986" s="87" t="s">
        <v>357</v>
      </c>
      <c r="C2986" s="87">
        <v>1983</v>
      </c>
      <c r="D2986" s="87" t="s">
        <v>15</v>
      </c>
      <c r="E2986" s="116">
        <v>-1</v>
      </c>
      <c r="F2986" s="87" t="s">
        <v>967</v>
      </c>
      <c r="G2986" s="87" t="s">
        <v>967</v>
      </c>
      <c r="H2986" s="87" t="s">
        <v>967</v>
      </c>
      <c r="I2986" s="87">
        <v>80</v>
      </c>
    </row>
    <row r="2987" spans="1:9" ht="15" customHeight="1" x14ac:dyDescent="0.25">
      <c r="A2987" s="87" t="s">
        <v>38</v>
      </c>
      <c r="B2987" s="87" t="s">
        <v>357</v>
      </c>
      <c r="C2987" s="87">
        <v>1984</v>
      </c>
      <c r="D2987" s="87" t="s">
        <v>15</v>
      </c>
      <c r="E2987" s="116">
        <v>-1</v>
      </c>
      <c r="F2987" s="87" t="s">
        <v>967</v>
      </c>
      <c r="G2987" s="87" t="s">
        <v>967</v>
      </c>
      <c r="H2987" s="87" t="s">
        <v>967</v>
      </c>
      <c r="I2987" s="87">
        <v>80</v>
      </c>
    </row>
    <row r="2988" spans="1:9" ht="15" customHeight="1" x14ac:dyDescent="0.25">
      <c r="A2988" s="87" t="s">
        <v>38</v>
      </c>
      <c r="B2988" s="87" t="s">
        <v>357</v>
      </c>
      <c r="C2988" s="87">
        <v>1985</v>
      </c>
      <c r="D2988" s="87" t="s">
        <v>15</v>
      </c>
      <c r="E2988" s="116">
        <v>-1</v>
      </c>
      <c r="F2988" s="87" t="s">
        <v>967</v>
      </c>
      <c r="G2988" s="87" t="s">
        <v>967</v>
      </c>
      <c r="H2988" s="87" t="s">
        <v>967</v>
      </c>
      <c r="I2988" s="87">
        <v>80</v>
      </c>
    </row>
    <row r="2989" spans="1:9" ht="15" customHeight="1" x14ac:dyDescent="0.25">
      <c r="A2989" s="87" t="s">
        <v>38</v>
      </c>
      <c r="B2989" s="87" t="s">
        <v>357</v>
      </c>
      <c r="C2989" s="87">
        <v>1986</v>
      </c>
      <c r="D2989" s="87" t="s">
        <v>15</v>
      </c>
      <c r="E2989" s="116">
        <v>-1</v>
      </c>
      <c r="F2989" s="87" t="s">
        <v>967</v>
      </c>
      <c r="G2989" s="87" t="s">
        <v>967</v>
      </c>
      <c r="H2989" s="87" t="s">
        <v>967</v>
      </c>
      <c r="I2989" s="87">
        <v>80</v>
      </c>
    </row>
    <row r="2990" spans="1:9" ht="15" customHeight="1" x14ac:dyDescent="0.25">
      <c r="A2990" s="87" t="s">
        <v>38</v>
      </c>
      <c r="B2990" s="87" t="s">
        <v>357</v>
      </c>
      <c r="C2990" s="87">
        <v>1987</v>
      </c>
      <c r="D2990" s="87" t="s">
        <v>15</v>
      </c>
      <c r="E2990" s="116">
        <v>-1</v>
      </c>
      <c r="F2990" s="87" t="s">
        <v>967</v>
      </c>
      <c r="G2990" s="87" t="s">
        <v>967</v>
      </c>
      <c r="H2990" s="87" t="s">
        <v>967</v>
      </c>
      <c r="I2990" s="87">
        <v>80</v>
      </c>
    </row>
    <row r="2991" spans="1:9" ht="15" customHeight="1" x14ac:dyDescent="0.25">
      <c r="A2991" s="87" t="s">
        <v>38</v>
      </c>
      <c r="B2991" s="87" t="s">
        <v>357</v>
      </c>
      <c r="C2991" s="87">
        <v>1988</v>
      </c>
      <c r="D2991" s="87" t="s">
        <v>15</v>
      </c>
      <c r="E2991" s="116">
        <v>-1</v>
      </c>
      <c r="F2991" s="87" t="s">
        <v>967</v>
      </c>
      <c r="G2991" s="87" t="s">
        <v>967</v>
      </c>
      <c r="H2991" s="87" t="s">
        <v>967</v>
      </c>
      <c r="I2991" s="87">
        <v>80</v>
      </c>
    </row>
    <row r="2992" spans="1:9" ht="15" customHeight="1" x14ac:dyDescent="0.25">
      <c r="A2992" s="87" t="s">
        <v>38</v>
      </c>
      <c r="B2992" s="87" t="s">
        <v>357</v>
      </c>
      <c r="C2992" s="87">
        <v>1989</v>
      </c>
      <c r="D2992" s="87" t="s">
        <v>15</v>
      </c>
      <c r="E2992" s="116">
        <v>-1</v>
      </c>
      <c r="F2992" s="87" t="s">
        <v>967</v>
      </c>
      <c r="G2992" s="87" t="s">
        <v>967</v>
      </c>
      <c r="H2992" s="87" t="s">
        <v>967</v>
      </c>
      <c r="I2992" s="87">
        <v>80</v>
      </c>
    </row>
    <row r="2993" spans="1:9" ht="15" customHeight="1" x14ac:dyDescent="0.25">
      <c r="A2993" s="87" t="s">
        <v>38</v>
      </c>
      <c r="B2993" s="87" t="s">
        <v>357</v>
      </c>
      <c r="C2993" s="87">
        <v>1990</v>
      </c>
      <c r="D2993" s="87" t="s">
        <v>15</v>
      </c>
      <c r="E2993" s="116">
        <v>-1</v>
      </c>
      <c r="F2993" s="87" t="s">
        <v>967</v>
      </c>
      <c r="G2993" s="87" t="s">
        <v>967</v>
      </c>
      <c r="H2993" s="87" t="s">
        <v>967</v>
      </c>
      <c r="I2993" s="87">
        <v>80</v>
      </c>
    </row>
    <row r="2994" spans="1:9" ht="15" customHeight="1" x14ac:dyDescent="0.25">
      <c r="A2994" s="87" t="s">
        <v>38</v>
      </c>
      <c r="B2994" s="87" t="s">
        <v>357</v>
      </c>
      <c r="C2994" s="87">
        <v>1991</v>
      </c>
      <c r="D2994" s="87" t="s">
        <v>15</v>
      </c>
      <c r="E2994" s="116">
        <v>-1</v>
      </c>
      <c r="F2994" s="87" t="s">
        <v>967</v>
      </c>
      <c r="G2994" s="87" t="s">
        <v>967</v>
      </c>
      <c r="H2994" s="87" t="s">
        <v>967</v>
      </c>
      <c r="I2994" s="87">
        <v>80</v>
      </c>
    </row>
    <row r="2995" spans="1:9" ht="15" customHeight="1" x14ac:dyDescent="0.25">
      <c r="A2995" s="87" t="s">
        <v>38</v>
      </c>
      <c r="B2995" s="87" t="s">
        <v>357</v>
      </c>
      <c r="C2995" s="87">
        <v>1992</v>
      </c>
      <c r="D2995" s="87" t="s">
        <v>15</v>
      </c>
      <c r="E2995" s="116">
        <v>-1</v>
      </c>
      <c r="F2995" s="87" t="s">
        <v>967</v>
      </c>
      <c r="G2995" s="87" t="s">
        <v>967</v>
      </c>
      <c r="H2995" s="87" t="s">
        <v>967</v>
      </c>
      <c r="I2995" s="87">
        <v>80</v>
      </c>
    </row>
    <row r="2996" spans="1:9" ht="15" customHeight="1" x14ac:dyDescent="0.25">
      <c r="A2996" s="87" t="s">
        <v>38</v>
      </c>
      <c r="B2996" s="87" t="s">
        <v>357</v>
      </c>
      <c r="C2996" s="87">
        <v>1993</v>
      </c>
      <c r="D2996" s="87" t="s">
        <v>15</v>
      </c>
      <c r="E2996" s="116">
        <v>-1</v>
      </c>
      <c r="F2996" s="87" t="s">
        <v>967</v>
      </c>
      <c r="G2996" s="87" t="s">
        <v>967</v>
      </c>
      <c r="H2996" s="87" t="s">
        <v>967</v>
      </c>
      <c r="I2996" s="87">
        <v>80</v>
      </c>
    </row>
    <row r="2997" spans="1:9" ht="15" customHeight="1" x14ac:dyDescent="0.25">
      <c r="A2997" s="87" t="s">
        <v>38</v>
      </c>
      <c r="B2997" s="87" t="s">
        <v>357</v>
      </c>
      <c r="C2997" s="87">
        <v>1994</v>
      </c>
      <c r="D2997" s="87" t="s">
        <v>15</v>
      </c>
      <c r="E2997" s="116">
        <v>-1</v>
      </c>
      <c r="F2997" s="87" t="s">
        <v>967</v>
      </c>
      <c r="G2997" s="87" t="s">
        <v>967</v>
      </c>
      <c r="H2997" s="87" t="s">
        <v>967</v>
      </c>
      <c r="I2997" s="87">
        <v>80</v>
      </c>
    </row>
    <row r="2998" spans="1:9" ht="15" customHeight="1" x14ac:dyDescent="0.25">
      <c r="A2998" s="87" t="s">
        <v>38</v>
      </c>
      <c r="B2998" s="87" t="s">
        <v>357</v>
      </c>
      <c r="C2998" s="87">
        <v>1995</v>
      </c>
      <c r="D2998" s="87" t="s">
        <v>15</v>
      </c>
      <c r="E2998" s="116">
        <v>0</v>
      </c>
      <c r="F2998" s="87" t="s">
        <v>967</v>
      </c>
      <c r="G2998" s="87" t="s">
        <v>967</v>
      </c>
      <c r="H2998" s="87" t="s">
        <v>967</v>
      </c>
      <c r="I2998" s="87">
        <v>80</v>
      </c>
    </row>
    <row r="2999" spans="1:9" ht="15" customHeight="1" x14ac:dyDescent="0.25">
      <c r="A2999" s="87" t="s">
        <v>38</v>
      </c>
      <c r="B2999" s="87" t="s">
        <v>357</v>
      </c>
      <c r="C2999" s="87">
        <v>1996</v>
      </c>
      <c r="D2999" s="87" t="s">
        <v>15</v>
      </c>
      <c r="E2999" s="116">
        <v>49</v>
      </c>
      <c r="F2999" s="87" t="s">
        <v>967</v>
      </c>
      <c r="G2999" s="87" t="s">
        <v>967</v>
      </c>
      <c r="H2999" s="87" t="s">
        <v>967</v>
      </c>
      <c r="I2999" s="87">
        <v>80</v>
      </c>
    </row>
    <row r="3000" spans="1:9" ht="15" customHeight="1" x14ac:dyDescent="0.25">
      <c r="A3000" s="87" t="s">
        <v>38</v>
      </c>
      <c r="B3000" s="87" t="s">
        <v>357</v>
      </c>
      <c r="C3000" s="87">
        <v>1997</v>
      </c>
      <c r="D3000" s="87" t="s">
        <v>15</v>
      </c>
      <c r="E3000" s="116">
        <v>34</v>
      </c>
      <c r="F3000" s="87" t="s">
        <v>967</v>
      </c>
      <c r="G3000" s="87" t="s">
        <v>967</v>
      </c>
      <c r="H3000" s="87" t="s">
        <v>967</v>
      </c>
      <c r="I3000" s="87">
        <v>80</v>
      </c>
    </row>
    <row r="3001" spans="1:9" ht="15" customHeight="1" x14ac:dyDescent="0.25">
      <c r="A3001" s="87" t="s">
        <v>38</v>
      </c>
      <c r="B3001" s="87" t="s">
        <v>357</v>
      </c>
      <c r="C3001" s="87">
        <v>1998</v>
      </c>
      <c r="D3001" s="87" t="s">
        <v>15</v>
      </c>
      <c r="E3001" s="116">
        <v>25</v>
      </c>
      <c r="F3001" s="87" t="s">
        <v>967</v>
      </c>
      <c r="G3001" s="87" t="s">
        <v>272</v>
      </c>
      <c r="H3001" s="87" t="s">
        <v>794</v>
      </c>
      <c r="I3001" s="87">
        <v>80</v>
      </c>
    </row>
    <row r="3002" spans="1:9" ht="15" customHeight="1" x14ac:dyDescent="0.25">
      <c r="A3002" s="87" t="s">
        <v>38</v>
      </c>
      <c r="B3002" s="87" t="s">
        <v>357</v>
      </c>
      <c r="C3002" s="87">
        <v>1999</v>
      </c>
      <c r="D3002" s="87" t="s">
        <v>15</v>
      </c>
      <c r="E3002" s="116">
        <v>37</v>
      </c>
      <c r="F3002" s="87" t="s">
        <v>967</v>
      </c>
      <c r="G3002" s="87" t="s">
        <v>272</v>
      </c>
      <c r="H3002" s="87" t="s">
        <v>967</v>
      </c>
      <c r="I3002" s="87">
        <v>80</v>
      </c>
    </row>
    <row r="3003" spans="1:9" ht="15" customHeight="1" x14ac:dyDescent="0.25">
      <c r="A3003" s="87" t="s">
        <v>38</v>
      </c>
      <c r="B3003" s="87" t="s">
        <v>357</v>
      </c>
      <c r="C3003" s="87">
        <v>2000</v>
      </c>
      <c r="D3003" s="87" t="s">
        <v>15</v>
      </c>
      <c r="E3003" s="116">
        <v>34</v>
      </c>
      <c r="F3003" s="87" t="s">
        <v>967</v>
      </c>
      <c r="G3003" s="87" t="s">
        <v>272</v>
      </c>
      <c r="H3003" s="87" t="s">
        <v>967</v>
      </c>
      <c r="I3003" s="87">
        <v>80</v>
      </c>
    </row>
    <row r="3004" spans="1:9" ht="15" customHeight="1" x14ac:dyDescent="0.25">
      <c r="A3004" s="87" t="s">
        <v>38</v>
      </c>
      <c r="B3004" s="87" t="s">
        <v>357</v>
      </c>
      <c r="C3004" s="87">
        <v>2001</v>
      </c>
      <c r="D3004" s="87" t="s">
        <v>15</v>
      </c>
      <c r="E3004" s="116">
        <v>48</v>
      </c>
      <c r="F3004" s="87" t="s">
        <v>967</v>
      </c>
      <c r="G3004" s="87" t="s">
        <v>272</v>
      </c>
      <c r="H3004" s="87" t="s">
        <v>967</v>
      </c>
      <c r="I3004" s="87">
        <v>80</v>
      </c>
    </row>
    <row r="3005" spans="1:9" ht="15" customHeight="1" x14ac:dyDescent="0.25">
      <c r="A3005" s="87" t="s">
        <v>38</v>
      </c>
      <c r="B3005" s="87" t="s">
        <v>357</v>
      </c>
      <c r="C3005" s="87">
        <v>2002</v>
      </c>
      <c r="D3005" s="87" t="s">
        <v>15</v>
      </c>
      <c r="E3005" s="116">
        <v>268</v>
      </c>
      <c r="F3005" s="87" t="s">
        <v>967</v>
      </c>
      <c r="G3005" s="87" t="s">
        <v>967</v>
      </c>
      <c r="H3005" s="87" t="s">
        <v>967</v>
      </c>
      <c r="I3005" s="87">
        <v>80</v>
      </c>
    </row>
    <row r="3006" spans="1:9" ht="15" customHeight="1" x14ac:dyDescent="0.25">
      <c r="A3006" s="87" t="s">
        <v>38</v>
      </c>
      <c r="B3006" s="87" t="s">
        <v>357</v>
      </c>
      <c r="C3006" s="87">
        <v>2003</v>
      </c>
      <c r="D3006" s="87" t="s">
        <v>15</v>
      </c>
      <c r="E3006" s="116">
        <v>212</v>
      </c>
      <c r="F3006" s="87" t="s">
        <v>967</v>
      </c>
      <c r="G3006" s="87" t="s">
        <v>272</v>
      </c>
      <c r="H3006" s="87" t="s">
        <v>967</v>
      </c>
      <c r="I3006" s="87">
        <v>80</v>
      </c>
    </row>
    <row r="3007" spans="1:9" ht="15" customHeight="1" x14ac:dyDescent="0.25">
      <c r="A3007" s="87" t="s">
        <v>38</v>
      </c>
      <c r="B3007" s="87" t="s">
        <v>357</v>
      </c>
      <c r="C3007" s="87">
        <v>2004</v>
      </c>
      <c r="D3007" s="87" t="s">
        <v>15</v>
      </c>
      <c r="E3007" s="116">
        <v>6</v>
      </c>
      <c r="F3007" s="87" t="s">
        <v>967</v>
      </c>
      <c r="G3007" s="87" t="s">
        <v>272</v>
      </c>
      <c r="H3007" s="87" t="s">
        <v>967</v>
      </c>
      <c r="I3007" s="87">
        <v>80</v>
      </c>
    </row>
    <row r="3008" spans="1:9" ht="15" customHeight="1" x14ac:dyDescent="0.25">
      <c r="A3008" s="87" t="s">
        <v>38</v>
      </c>
      <c r="B3008" s="87" t="s">
        <v>357</v>
      </c>
      <c r="C3008" s="87">
        <v>2005</v>
      </c>
      <c r="D3008" s="87" t="s">
        <v>15</v>
      </c>
      <c r="E3008" s="116">
        <v>15</v>
      </c>
      <c r="F3008" s="87" t="s">
        <v>967</v>
      </c>
      <c r="G3008" s="87" t="s">
        <v>272</v>
      </c>
      <c r="H3008" s="87" t="s">
        <v>967</v>
      </c>
      <c r="I3008" s="87">
        <v>80</v>
      </c>
    </row>
    <row r="3009" spans="1:9" ht="15" customHeight="1" x14ac:dyDescent="0.25">
      <c r="A3009" s="87" t="s">
        <v>38</v>
      </c>
      <c r="B3009" s="87" t="s">
        <v>357</v>
      </c>
      <c r="C3009" s="87">
        <v>2006</v>
      </c>
      <c r="D3009" s="87" t="s">
        <v>15</v>
      </c>
      <c r="E3009" s="116">
        <v>77</v>
      </c>
      <c r="F3009" s="87" t="s">
        <v>967</v>
      </c>
      <c r="G3009" s="87" t="s">
        <v>272</v>
      </c>
      <c r="H3009" s="87" t="s">
        <v>967</v>
      </c>
      <c r="I3009" s="87">
        <v>80</v>
      </c>
    </row>
    <row r="3010" spans="1:9" ht="15" customHeight="1" x14ac:dyDescent="0.25">
      <c r="A3010" s="87" t="s">
        <v>38</v>
      </c>
      <c r="B3010" s="87" t="s">
        <v>357</v>
      </c>
      <c r="C3010" s="87">
        <v>2007</v>
      </c>
      <c r="D3010" s="87" t="s">
        <v>15</v>
      </c>
      <c r="E3010" s="116">
        <v>49</v>
      </c>
      <c r="F3010" s="87" t="s">
        <v>967</v>
      </c>
      <c r="G3010" s="87" t="s">
        <v>967</v>
      </c>
      <c r="H3010" s="87" t="s">
        <v>967</v>
      </c>
      <c r="I3010" s="87">
        <v>80</v>
      </c>
    </row>
    <row r="3011" spans="1:9" ht="15" customHeight="1" x14ac:dyDescent="0.25">
      <c r="A3011" s="87" t="s">
        <v>38</v>
      </c>
      <c r="B3011" s="87" t="s">
        <v>357</v>
      </c>
      <c r="C3011" s="87">
        <v>2008</v>
      </c>
      <c r="D3011" s="87" t="s">
        <v>15</v>
      </c>
      <c r="E3011" s="116">
        <v>0</v>
      </c>
      <c r="F3011" s="87" t="s">
        <v>967</v>
      </c>
      <c r="G3011" s="87" t="s">
        <v>272</v>
      </c>
      <c r="H3011" s="87" t="s">
        <v>967</v>
      </c>
      <c r="I3011" s="87">
        <v>80</v>
      </c>
    </row>
    <row r="3012" spans="1:9" ht="15" customHeight="1" x14ac:dyDescent="0.25">
      <c r="A3012" s="87" t="s">
        <v>38</v>
      </c>
      <c r="B3012" s="87" t="s">
        <v>357</v>
      </c>
      <c r="C3012" s="87">
        <v>2009</v>
      </c>
      <c r="D3012" s="87" t="s">
        <v>15</v>
      </c>
      <c r="E3012" s="116">
        <v>20</v>
      </c>
      <c r="F3012" s="87" t="s">
        <v>967</v>
      </c>
      <c r="G3012" s="87" t="s">
        <v>272</v>
      </c>
      <c r="H3012" s="87" t="s">
        <v>967</v>
      </c>
      <c r="I3012" s="87">
        <v>80</v>
      </c>
    </row>
    <row r="3013" spans="1:9" ht="15" customHeight="1" x14ac:dyDescent="0.25">
      <c r="A3013" s="87" t="s">
        <v>38</v>
      </c>
      <c r="B3013" s="87" t="s">
        <v>357</v>
      </c>
      <c r="C3013" s="87">
        <v>2010</v>
      </c>
      <c r="D3013" s="87" t="s">
        <v>15</v>
      </c>
      <c r="E3013" s="116">
        <v>5</v>
      </c>
      <c r="F3013" s="87" t="s">
        <v>967</v>
      </c>
      <c r="G3013" s="87" t="s">
        <v>272</v>
      </c>
      <c r="H3013" s="87" t="s">
        <v>967</v>
      </c>
      <c r="I3013" s="87">
        <v>80</v>
      </c>
    </row>
    <row r="3014" spans="1:9" ht="15" customHeight="1" x14ac:dyDescent="0.25">
      <c r="A3014" s="87" t="s">
        <v>38</v>
      </c>
      <c r="B3014" s="87" t="s">
        <v>357</v>
      </c>
      <c r="C3014" s="87">
        <v>2011</v>
      </c>
      <c r="D3014" s="87" t="s">
        <v>15</v>
      </c>
      <c r="E3014" s="116">
        <v>45</v>
      </c>
      <c r="F3014" s="87" t="s">
        <v>967</v>
      </c>
      <c r="G3014" s="87" t="s">
        <v>272</v>
      </c>
      <c r="H3014" s="87" t="s">
        <v>967</v>
      </c>
      <c r="I3014" s="87">
        <v>80</v>
      </c>
    </row>
    <row r="3015" spans="1:9" ht="15" customHeight="1" x14ac:dyDescent="0.25">
      <c r="A3015" s="87" t="s">
        <v>38</v>
      </c>
      <c r="B3015" s="87" t="s">
        <v>357</v>
      </c>
      <c r="C3015" s="87">
        <v>2012</v>
      </c>
      <c r="D3015" s="87" t="s">
        <v>15</v>
      </c>
      <c r="E3015" s="116">
        <v>5</v>
      </c>
      <c r="F3015" s="87" t="s">
        <v>967</v>
      </c>
      <c r="G3015" s="87" t="s">
        <v>272</v>
      </c>
      <c r="H3015" s="87" t="s">
        <v>967</v>
      </c>
      <c r="I3015" s="87">
        <v>80</v>
      </c>
    </row>
    <row r="3016" spans="1:9" ht="15" customHeight="1" x14ac:dyDescent="0.25">
      <c r="A3016" s="87" t="s">
        <v>38</v>
      </c>
      <c r="B3016" s="87" t="s">
        <v>357</v>
      </c>
      <c r="C3016" s="87">
        <v>2013</v>
      </c>
      <c r="D3016" s="87" t="s">
        <v>15</v>
      </c>
      <c r="E3016" s="116">
        <v>0</v>
      </c>
      <c r="F3016" s="87" t="s">
        <v>967</v>
      </c>
      <c r="G3016" s="87" t="s">
        <v>272</v>
      </c>
      <c r="H3016" s="87" t="s">
        <v>967</v>
      </c>
      <c r="I3016" s="87">
        <v>80</v>
      </c>
    </row>
    <row r="3017" spans="1:9" ht="15" customHeight="1" x14ac:dyDescent="0.25">
      <c r="A3017" s="87" t="s">
        <v>38</v>
      </c>
      <c r="B3017" s="87" t="s">
        <v>357</v>
      </c>
      <c r="C3017" s="87">
        <v>2014</v>
      </c>
      <c r="D3017" s="87" t="s">
        <v>15</v>
      </c>
      <c r="E3017" s="116">
        <v>15</v>
      </c>
      <c r="F3017" s="87" t="s">
        <v>967</v>
      </c>
      <c r="G3017" s="87" t="s">
        <v>274</v>
      </c>
      <c r="H3017" s="87" t="s">
        <v>967</v>
      </c>
      <c r="I3017" s="87">
        <v>80</v>
      </c>
    </row>
    <row r="3018" spans="1:9" ht="15" customHeight="1" x14ac:dyDescent="0.25">
      <c r="A3018" s="87" t="s">
        <v>38</v>
      </c>
      <c r="B3018" s="87" t="s">
        <v>357</v>
      </c>
      <c r="C3018" s="87">
        <v>2015</v>
      </c>
      <c r="D3018" s="87" t="s">
        <v>15</v>
      </c>
      <c r="E3018" s="116">
        <v>20</v>
      </c>
      <c r="F3018" s="87" t="s">
        <v>967</v>
      </c>
      <c r="G3018" s="87" t="s">
        <v>272</v>
      </c>
      <c r="H3018" s="87" t="s">
        <v>795</v>
      </c>
      <c r="I3018" s="87">
        <v>80</v>
      </c>
    </row>
    <row r="3019" spans="1:9" ht="15" customHeight="1" x14ac:dyDescent="0.25">
      <c r="A3019" s="87" t="s">
        <v>38</v>
      </c>
      <c r="B3019" s="87" t="s">
        <v>357</v>
      </c>
      <c r="C3019" s="87">
        <v>2016</v>
      </c>
      <c r="D3019" s="87" t="s">
        <v>15</v>
      </c>
      <c r="E3019" s="116">
        <v>8</v>
      </c>
      <c r="F3019" s="87" t="s">
        <v>967</v>
      </c>
      <c r="G3019" s="87" t="s">
        <v>272</v>
      </c>
      <c r="H3019" s="87" t="s">
        <v>967</v>
      </c>
      <c r="I3019" s="87">
        <v>80</v>
      </c>
    </row>
    <row r="3020" spans="1:9" ht="15" customHeight="1" x14ac:dyDescent="0.25">
      <c r="A3020" s="87" t="s">
        <v>38</v>
      </c>
      <c r="B3020" s="87" t="s">
        <v>357</v>
      </c>
      <c r="C3020" s="87">
        <v>2017</v>
      </c>
      <c r="D3020" s="87" t="s">
        <v>15</v>
      </c>
      <c r="E3020" s="116">
        <v>0</v>
      </c>
      <c r="F3020" s="87" t="s">
        <v>967</v>
      </c>
      <c r="G3020" s="87" t="s">
        <v>272</v>
      </c>
      <c r="H3020" s="87" t="s">
        <v>967</v>
      </c>
      <c r="I3020" s="87">
        <v>80</v>
      </c>
    </row>
    <row r="3021" spans="1:9" ht="15" customHeight="1" x14ac:dyDescent="0.25">
      <c r="A3021" s="87" t="s">
        <v>38</v>
      </c>
      <c r="B3021" s="87" t="s">
        <v>357</v>
      </c>
      <c r="C3021" s="87">
        <v>2018</v>
      </c>
      <c r="D3021" s="87" t="s">
        <v>15</v>
      </c>
      <c r="E3021" s="116">
        <v>2</v>
      </c>
      <c r="F3021" s="87" t="s">
        <v>967</v>
      </c>
      <c r="G3021" s="87" t="s">
        <v>272</v>
      </c>
      <c r="H3021" s="87" t="s">
        <v>967</v>
      </c>
      <c r="I3021" s="87">
        <v>80</v>
      </c>
    </row>
    <row r="3022" spans="1:9" ht="15" customHeight="1" x14ac:dyDescent="0.25">
      <c r="A3022" s="87" t="s">
        <v>38</v>
      </c>
      <c r="B3022" s="87" t="s">
        <v>357</v>
      </c>
      <c r="C3022" s="87">
        <v>2019</v>
      </c>
      <c r="D3022" s="87" t="s">
        <v>15</v>
      </c>
      <c r="E3022" s="116">
        <v>-1</v>
      </c>
      <c r="F3022" s="87" t="s">
        <v>967</v>
      </c>
      <c r="G3022" s="87" t="s">
        <v>967</v>
      </c>
      <c r="H3022" s="87" t="s">
        <v>967</v>
      </c>
      <c r="I3022" s="87">
        <v>80</v>
      </c>
    </row>
    <row r="3023" spans="1:9" ht="15" customHeight="1" x14ac:dyDescent="0.25">
      <c r="A3023" s="87" t="s">
        <v>38</v>
      </c>
      <c r="B3023" s="87" t="s">
        <v>357</v>
      </c>
      <c r="C3023" s="87">
        <v>2020</v>
      </c>
      <c r="D3023" s="87" t="s">
        <v>15</v>
      </c>
      <c r="E3023" s="116">
        <v>-1</v>
      </c>
      <c r="F3023" s="87" t="s">
        <v>967</v>
      </c>
      <c r="G3023" s="87" t="s">
        <v>967</v>
      </c>
      <c r="H3023" s="87" t="s">
        <v>967</v>
      </c>
      <c r="I3023" s="87">
        <v>80</v>
      </c>
    </row>
    <row r="3024" spans="1:9" ht="15" customHeight="1" x14ac:dyDescent="0.25">
      <c r="A3024" s="87" t="s">
        <v>38</v>
      </c>
      <c r="B3024" s="87" t="s">
        <v>357</v>
      </c>
      <c r="C3024" s="87">
        <v>2021</v>
      </c>
      <c r="D3024" s="87" t="s">
        <v>15</v>
      </c>
      <c r="E3024" s="116">
        <v>3</v>
      </c>
      <c r="F3024" s="87" t="s">
        <v>967</v>
      </c>
      <c r="G3024" s="87" t="s">
        <v>272</v>
      </c>
      <c r="H3024" s="87" t="s">
        <v>967</v>
      </c>
      <c r="I3024" s="87">
        <v>80</v>
      </c>
    </row>
    <row r="3025" spans="1:9" ht="15" customHeight="1" x14ac:dyDescent="0.25">
      <c r="A3025" s="87" t="s">
        <v>38</v>
      </c>
      <c r="B3025" s="87" t="s">
        <v>357</v>
      </c>
      <c r="C3025" s="87">
        <v>2022</v>
      </c>
      <c r="D3025" s="87" t="s">
        <v>15</v>
      </c>
      <c r="E3025" s="116">
        <v>11</v>
      </c>
      <c r="F3025" s="87" t="s">
        <v>967</v>
      </c>
      <c r="G3025" s="87" t="s">
        <v>272</v>
      </c>
      <c r="H3025" s="87" t="s">
        <v>967</v>
      </c>
      <c r="I3025" s="87">
        <v>80</v>
      </c>
    </row>
    <row r="3026" spans="1:9" ht="15" customHeight="1" x14ac:dyDescent="0.25">
      <c r="A3026" s="87" t="s">
        <v>38</v>
      </c>
      <c r="B3026" s="87" t="s">
        <v>358</v>
      </c>
      <c r="C3026" s="87">
        <v>1975</v>
      </c>
      <c r="D3026" s="87" t="s">
        <v>15</v>
      </c>
      <c r="E3026" s="116">
        <v>-1</v>
      </c>
      <c r="F3026" s="87" t="s">
        <v>967</v>
      </c>
      <c r="G3026" s="87" t="s">
        <v>967</v>
      </c>
      <c r="H3026" s="87" t="s">
        <v>967</v>
      </c>
      <c r="I3026" s="87">
        <v>15</v>
      </c>
    </row>
    <row r="3027" spans="1:9" ht="15" customHeight="1" x14ac:dyDescent="0.25">
      <c r="A3027" s="87" t="s">
        <v>38</v>
      </c>
      <c r="B3027" s="87" t="s">
        <v>358</v>
      </c>
      <c r="C3027" s="87">
        <v>1976</v>
      </c>
      <c r="D3027" s="87" t="s">
        <v>15</v>
      </c>
      <c r="E3027" s="116">
        <v>-1</v>
      </c>
      <c r="F3027" s="87" t="s">
        <v>967</v>
      </c>
      <c r="G3027" s="87" t="s">
        <v>967</v>
      </c>
      <c r="H3027" s="87" t="s">
        <v>967</v>
      </c>
      <c r="I3027" s="87">
        <v>15</v>
      </c>
    </row>
    <row r="3028" spans="1:9" ht="15" customHeight="1" x14ac:dyDescent="0.25">
      <c r="A3028" s="87" t="s">
        <v>38</v>
      </c>
      <c r="B3028" s="87" t="s">
        <v>358</v>
      </c>
      <c r="C3028" s="87">
        <v>1977</v>
      </c>
      <c r="D3028" s="87" t="s">
        <v>15</v>
      </c>
      <c r="E3028" s="116">
        <v>-1</v>
      </c>
      <c r="F3028" s="87" t="s">
        <v>967</v>
      </c>
      <c r="G3028" s="87" t="s">
        <v>967</v>
      </c>
      <c r="H3028" s="87" t="s">
        <v>967</v>
      </c>
      <c r="I3028" s="87">
        <v>15</v>
      </c>
    </row>
    <row r="3029" spans="1:9" ht="15" customHeight="1" x14ac:dyDescent="0.25">
      <c r="A3029" s="87" t="s">
        <v>38</v>
      </c>
      <c r="B3029" s="87" t="s">
        <v>358</v>
      </c>
      <c r="C3029" s="87">
        <v>1978</v>
      </c>
      <c r="D3029" s="87" t="s">
        <v>15</v>
      </c>
      <c r="E3029" s="116">
        <v>-1</v>
      </c>
      <c r="F3029" s="87" t="s">
        <v>967</v>
      </c>
      <c r="G3029" s="87" t="s">
        <v>967</v>
      </c>
      <c r="H3029" s="87" t="s">
        <v>967</v>
      </c>
      <c r="I3029" s="87">
        <v>15</v>
      </c>
    </row>
    <row r="3030" spans="1:9" ht="15" customHeight="1" x14ac:dyDescent="0.25">
      <c r="A3030" s="87" t="s">
        <v>38</v>
      </c>
      <c r="B3030" s="87" t="s">
        <v>358</v>
      </c>
      <c r="C3030" s="87">
        <v>1979</v>
      </c>
      <c r="D3030" s="87" t="s">
        <v>15</v>
      </c>
      <c r="E3030" s="116">
        <v>-1</v>
      </c>
      <c r="F3030" s="87" t="s">
        <v>967</v>
      </c>
      <c r="G3030" s="87" t="s">
        <v>967</v>
      </c>
      <c r="H3030" s="87" t="s">
        <v>967</v>
      </c>
      <c r="I3030" s="87">
        <v>15</v>
      </c>
    </row>
    <row r="3031" spans="1:9" ht="15" customHeight="1" x14ac:dyDescent="0.25">
      <c r="A3031" s="87" t="s">
        <v>38</v>
      </c>
      <c r="B3031" s="87" t="s">
        <v>358</v>
      </c>
      <c r="C3031" s="87">
        <v>1980</v>
      </c>
      <c r="D3031" s="87" t="s">
        <v>15</v>
      </c>
      <c r="E3031" s="116">
        <v>-1</v>
      </c>
      <c r="F3031" s="87" t="s">
        <v>967</v>
      </c>
      <c r="G3031" s="87" t="s">
        <v>967</v>
      </c>
      <c r="H3031" s="87" t="s">
        <v>967</v>
      </c>
      <c r="I3031" s="87">
        <v>15</v>
      </c>
    </row>
    <row r="3032" spans="1:9" ht="15" customHeight="1" x14ac:dyDescent="0.25">
      <c r="A3032" s="87" t="s">
        <v>38</v>
      </c>
      <c r="B3032" s="87" t="s">
        <v>358</v>
      </c>
      <c r="C3032" s="87">
        <v>1981</v>
      </c>
      <c r="D3032" s="87" t="s">
        <v>15</v>
      </c>
      <c r="E3032" s="116">
        <v>-1</v>
      </c>
      <c r="F3032" s="87" t="s">
        <v>967</v>
      </c>
      <c r="G3032" s="87" t="s">
        <v>967</v>
      </c>
      <c r="H3032" s="87" t="s">
        <v>967</v>
      </c>
      <c r="I3032" s="87">
        <v>15</v>
      </c>
    </row>
    <row r="3033" spans="1:9" ht="15" customHeight="1" x14ac:dyDescent="0.25">
      <c r="A3033" s="87" t="s">
        <v>38</v>
      </c>
      <c r="B3033" s="87" t="s">
        <v>358</v>
      </c>
      <c r="C3033" s="87">
        <v>1982</v>
      </c>
      <c r="D3033" s="87" t="s">
        <v>15</v>
      </c>
      <c r="E3033" s="116">
        <v>-1</v>
      </c>
      <c r="F3033" s="87" t="s">
        <v>967</v>
      </c>
      <c r="G3033" s="87" t="s">
        <v>967</v>
      </c>
      <c r="H3033" s="87" t="s">
        <v>967</v>
      </c>
      <c r="I3033" s="87">
        <v>15</v>
      </c>
    </row>
    <row r="3034" spans="1:9" ht="15" customHeight="1" x14ac:dyDescent="0.25">
      <c r="A3034" s="87" t="s">
        <v>38</v>
      </c>
      <c r="B3034" s="87" t="s">
        <v>358</v>
      </c>
      <c r="C3034" s="87">
        <v>1983</v>
      </c>
      <c r="D3034" s="87" t="s">
        <v>15</v>
      </c>
      <c r="E3034" s="116">
        <v>-1</v>
      </c>
      <c r="F3034" s="87" t="s">
        <v>967</v>
      </c>
      <c r="G3034" s="87" t="s">
        <v>967</v>
      </c>
      <c r="H3034" s="87" t="s">
        <v>967</v>
      </c>
      <c r="I3034" s="87">
        <v>15</v>
      </c>
    </row>
    <row r="3035" spans="1:9" ht="15" customHeight="1" x14ac:dyDescent="0.25">
      <c r="A3035" s="87" t="s">
        <v>38</v>
      </c>
      <c r="B3035" s="87" t="s">
        <v>358</v>
      </c>
      <c r="C3035" s="87">
        <v>1984</v>
      </c>
      <c r="D3035" s="87" t="s">
        <v>15</v>
      </c>
      <c r="E3035" s="116">
        <v>-1</v>
      </c>
      <c r="F3035" s="87" t="s">
        <v>967</v>
      </c>
      <c r="G3035" s="87" t="s">
        <v>967</v>
      </c>
      <c r="H3035" s="87" t="s">
        <v>967</v>
      </c>
      <c r="I3035" s="87">
        <v>15</v>
      </c>
    </row>
    <row r="3036" spans="1:9" ht="15" customHeight="1" x14ac:dyDescent="0.25">
      <c r="A3036" s="87" t="s">
        <v>38</v>
      </c>
      <c r="B3036" s="87" t="s">
        <v>358</v>
      </c>
      <c r="C3036" s="87">
        <v>1985</v>
      </c>
      <c r="D3036" s="87" t="s">
        <v>15</v>
      </c>
      <c r="E3036" s="116">
        <v>-1</v>
      </c>
      <c r="F3036" s="87" t="s">
        <v>967</v>
      </c>
      <c r="G3036" s="87" t="s">
        <v>967</v>
      </c>
      <c r="H3036" s="87" t="s">
        <v>967</v>
      </c>
      <c r="I3036" s="87">
        <v>15</v>
      </c>
    </row>
    <row r="3037" spans="1:9" ht="15" customHeight="1" x14ac:dyDescent="0.25">
      <c r="A3037" s="87" t="s">
        <v>38</v>
      </c>
      <c r="B3037" s="87" t="s">
        <v>358</v>
      </c>
      <c r="C3037" s="87">
        <v>1986</v>
      </c>
      <c r="D3037" s="87" t="s">
        <v>15</v>
      </c>
      <c r="E3037" s="116">
        <v>-1</v>
      </c>
      <c r="F3037" s="87" t="s">
        <v>967</v>
      </c>
      <c r="G3037" s="87" t="s">
        <v>967</v>
      </c>
      <c r="H3037" s="87" t="s">
        <v>967</v>
      </c>
      <c r="I3037" s="87">
        <v>15</v>
      </c>
    </row>
    <row r="3038" spans="1:9" ht="15" customHeight="1" x14ac:dyDescent="0.25">
      <c r="A3038" s="87" t="s">
        <v>38</v>
      </c>
      <c r="B3038" s="87" t="s">
        <v>358</v>
      </c>
      <c r="C3038" s="87">
        <v>1987</v>
      </c>
      <c r="D3038" s="87" t="s">
        <v>15</v>
      </c>
      <c r="E3038" s="116">
        <v>-1</v>
      </c>
      <c r="F3038" s="87" t="s">
        <v>967</v>
      </c>
      <c r="G3038" s="87" t="s">
        <v>967</v>
      </c>
      <c r="H3038" s="87" t="s">
        <v>967</v>
      </c>
      <c r="I3038" s="87">
        <v>15</v>
      </c>
    </row>
    <row r="3039" spans="1:9" ht="15" customHeight="1" x14ac:dyDescent="0.25">
      <c r="A3039" s="87" t="s">
        <v>38</v>
      </c>
      <c r="B3039" s="87" t="s">
        <v>358</v>
      </c>
      <c r="C3039" s="87">
        <v>1988</v>
      </c>
      <c r="D3039" s="87" t="s">
        <v>15</v>
      </c>
      <c r="E3039" s="116">
        <v>-1</v>
      </c>
      <c r="F3039" s="87" t="s">
        <v>967</v>
      </c>
      <c r="G3039" s="87" t="s">
        <v>967</v>
      </c>
      <c r="H3039" s="87" t="s">
        <v>967</v>
      </c>
      <c r="I3039" s="87">
        <v>15</v>
      </c>
    </row>
    <row r="3040" spans="1:9" ht="15" customHeight="1" x14ac:dyDescent="0.25">
      <c r="A3040" s="87" t="s">
        <v>38</v>
      </c>
      <c r="B3040" s="87" t="s">
        <v>358</v>
      </c>
      <c r="C3040" s="87">
        <v>1989</v>
      </c>
      <c r="D3040" s="87" t="s">
        <v>15</v>
      </c>
      <c r="E3040" s="116">
        <v>-1</v>
      </c>
      <c r="F3040" s="87" t="s">
        <v>967</v>
      </c>
      <c r="G3040" s="87" t="s">
        <v>967</v>
      </c>
      <c r="H3040" s="87" t="s">
        <v>967</v>
      </c>
      <c r="I3040" s="87">
        <v>15</v>
      </c>
    </row>
    <row r="3041" spans="1:9" ht="15" customHeight="1" x14ac:dyDescent="0.25">
      <c r="A3041" s="87" t="s">
        <v>38</v>
      </c>
      <c r="B3041" s="87" t="s">
        <v>358</v>
      </c>
      <c r="C3041" s="87">
        <v>1990</v>
      </c>
      <c r="D3041" s="87" t="s">
        <v>15</v>
      </c>
      <c r="E3041" s="116">
        <v>-1</v>
      </c>
      <c r="F3041" s="87" t="s">
        <v>967</v>
      </c>
      <c r="G3041" s="87" t="s">
        <v>967</v>
      </c>
      <c r="H3041" s="87" t="s">
        <v>967</v>
      </c>
      <c r="I3041" s="87">
        <v>15</v>
      </c>
    </row>
    <row r="3042" spans="1:9" ht="15" customHeight="1" x14ac:dyDescent="0.25">
      <c r="A3042" s="87" t="s">
        <v>38</v>
      </c>
      <c r="B3042" s="87" t="s">
        <v>358</v>
      </c>
      <c r="C3042" s="87">
        <v>1991</v>
      </c>
      <c r="D3042" s="87" t="s">
        <v>15</v>
      </c>
      <c r="E3042" s="116">
        <v>-1</v>
      </c>
      <c r="F3042" s="87" t="s">
        <v>967</v>
      </c>
      <c r="G3042" s="87" t="s">
        <v>967</v>
      </c>
      <c r="H3042" s="87" t="s">
        <v>967</v>
      </c>
      <c r="I3042" s="87">
        <v>15</v>
      </c>
    </row>
    <row r="3043" spans="1:9" ht="15" customHeight="1" x14ac:dyDescent="0.25">
      <c r="A3043" s="87" t="s">
        <v>38</v>
      </c>
      <c r="B3043" s="87" t="s">
        <v>358</v>
      </c>
      <c r="C3043" s="87">
        <v>1992</v>
      </c>
      <c r="D3043" s="87" t="s">
        <v>15</v>
      </c>
      <c r="E3043" s="116">
        <v>-1</v>
      </c>
      <c r="F3043" s="87" t="s">
        <v>967</v>
      </c>
      <c r="G3043" s="87" t="s">
        <v>967</v>
      </c>
      <c r="H3043" s="87" t="s">
        <v>967</v>
      </c>
      <c r="I3043" s="87">
        <v>15</v>
      </c>
    </row>
    <row r="3044" spans="1:9" ht="15" customHeight="1" x14ac:dyDescent="0.25">
      <c r="A3044" s="87" t="s">
        <v>38</v>
      </c>
      <c r="B3044" s="87" t="s">
        <v>358</v>
      </c>
      <c r="C3044" s="87">
        <v>1993</v>
      </c>
      <c r="D3044" s="87" t="s">
        <v>15</v>
      </c>
      <c r="E3044" s="116">
        <v>-1</v>
      </c>
      <c r="F3044" s="87" t="s">
        <v>967</v>
      </c>
      <c r="G3044" s="87" t="s">
        <v>967</v>
      </c>
      <c r="H3044" s="87" t="s">
        <v>967</v>
      </c>
      <c r="I3044" s="87">
        <v>15</v>
      </c>
    </row>
    <row r="3045" spans="1:9" ht="15" customHeight="1" x14ac:dyDescent="0.25">
      <c r="A3045" s="87" t="s">
        <v>38</v>
      </c>
      <c r="B3045" s="87" t="s">
        <v>358</v>
      </c>
      <c r="C3045" s="87">
        <v>1994</v>
      </c>
      <c r="D3045" s="87" t="s">
        <v>15</v>
      </c>
      <c r="E3045" s="116">
        <v>-1</v>
      </c>
      <c r="F3045" s="87" t="s">
        <v>967</v>
      </c>
      <c r="G3045" s="87" t="s">
        <v>967</v>
      </c>
      <c r="H3045" s="87" t="s">
        <v>967</v>
      </c>
      <c r="I3045" s="87">
        <v>15</v>
      </c>
    </row>
    <row r="3046" spans="1:9" ht="15" customHeight="1" x14ac:dyDescent="0.25">
      <c r="A3046" s="87" t="s">
        <v>38</v>
      </c>
      <c r="B3046" s="87" t="s">
        <v>358</v>
      </c>
      <c r="C3046" s="87">
        <v>1995</v>
      </c>
      <c r="D3046" s="87" t="s">
        <v>15</v>
      </c>
      <c r="E3046" s="116">
        <v>-1</v>
      </c>
      <c r="F3046" s="87" t="s">
        <v>967</v>
      </c>
      <c r="G3046" s="87" t="s">
        <v>967</v>
      </c>
      <c r="H3046" s="87" t="s">
        <v>967</v>
      </c>
      <c r="I3046" s="87">
        <v>15</v>
      </c>
    </row>
    <row r="3047" spans="1:9" ht="15" customHeight="1" x14ac:dyDescent="0.25">
      <c r="A3047" s="87" t="s">
        <v>38</v>
      </c>
      <c r="B3047" s="87" t="s">
        <v>358</v>
      </c>
      <c r="C3047" s="87">
        <v>1996</v>
      </c>
      <c r="D3047" s="87" t="s">
        <v>15</v>
      </c>
      <c r="E3047" s="116">
        <v>12</v>
      </c>
      <c r="F3047" s="87" t="s">
        <v>967</v>
      </c>
      <c r="G3047" s="87" t="s">
        <v>967</v>
      </c>
      <c r="H3047" s="87" t="s">
        <v>967</v>
      </c>
      <c r="I3047" s="87">
        <v>15</v>
      </c>
    </row>
    <row r="3048" spans="1:9" ht="15" customHeight="1" x14ac:dyDescent="0.25">
      <c r="A3048" s="87" t="s">
        <v>38</v>
      </c>
      <c r="B3048" s="87" t="s">
        <v>358</v>
      </c>
      <c r="C3048" s="87">
        <v>1997</v>
      </c>
      <c r="D3048" s="87" t="s">
        <v>15</v>
      </c>
      <c r="E3048" s="116">
        <v>8</v>
      </c>
      <c r="F3048" s="87" t="s">
        <v>967</v>
      </c>
      <c r="G3048" s="87" t="s">
        <v>967</v>
      </c>
      <c r="H3048" s="87" t="s">
        <v>967</v>
      </c>
      <c r="I3048" s="87">
        <v>15</v>
      </c>
    </row>
    <row r="3049" spans="1:9" ht="15" customHeight="1" x14ac:dyDescent="0.25">
      <c r="A3049" s="87" t="s">
        <v>38</v>
      </c>
      <c r="B3049" s="87" t="s">
        <v>358</v>
      </c>
      <c r="C3049" s="87">
        <v>1998</v>
      </c>
      <c r="D3049" s="87" t="s">
        <v>15</v>
      </c>
      <c r="E3049" s="116">
        <v>23</v>
      </c>
      <c r="F3049" s="87" t="s">
        <v>967</v>
      </c>
      <c r="G3049" s="87" t="s">
        <v>967</v>
      </c>
      <c r="H3049" s="87" t="s">
        <v>967</v>
      </c>
      <c r="I3049" s="87">
        <v>15</v>
      </c>
    </row>
    <row r="3050" spans="1:9" ht="15" customHeight="1" x14ac:dyDescent="0.25">
      <c r="A3050" s="87" t="s">
        <v>38</v>
      </c>
      <c r="B3050" s="87" t="s">
        <v>358</v>
      </c>
      <c r="C3050" s="87">
        <v>1999</v>
      </c>
      <c r="D3050" s="87" t="s">
        <v>15</v>
      </c>
      <c r="E3050" s="116">
        <v>5</v>
      </c>
      <c r="F3050" s="87" t="s">
        <v>967</v>
      </c>
      <c r="G3050" s="87" t="s">
        <v>967</v>
      </c>
      <c r="H3050" s="87" t="s">
        <v>967</v>
      </c>
      <c r="I3050" s="87">
        <v>15</v>
      </c>
    </row>
    <row r="3051" spans="1:9" ht="15" customHeight="1" x14ac:dyDescent="0.25">
      <c r="A3051" s="87" t="s">
        <v>38</v>
      </c>
      <c r="B3051" s="87" t="s">
        <v>358</v>
      </c>
      <c r="C3051" s="87">
        <v>2000</v>
      </c>
      <c r="D3051" s="87" t="s">
        <v>15</v>
      </c>
      <c r="E3051" s="116">
        <v>3</v>
      </c>
      <c r="F3051" s="87" t="s">
        <v>967</v>
      </c>
      <c r="G3051" s="87" t="s">
        <v>967</v>
      </c>
      <c r="H3051" s="87" t="s">
        <v>967</v>
      </c>
      <c r="I3051" s="87">
        <v>15</v>
      </c>
    </row>
    <row r="3052" spans="1:9" ht="15" customHeight="1" x14ac:dyDescent="0.25">
      <c r="A3052" s="87" t="s">
        <v>38</v>
      </c>
      <c r="B3052" s="87" t="s">
        <v>358</v>
      </c>
      <c r="C3052" s="87">
        <v>2001</v>
      </c>
      <c r="D3052" s="87" t="s">
        <v>15</v>
      </c>
      <c r="E3052" s="116">
        <v>0</v>
      </c>
      <c r="F3052" s="87" t="s">
        <v>967</v>
      </c>
      <c r="G3052" s="87" t="s">
        <v>967</v>
      </c>
      <c r="H3052" s="87" t="s">
        <v>967</v>
      </c>
      <c r="I3052" s="87">
        <v>15</v>
      </c>
    </row>
    <row r="3053" spans="1:9" ht="15" customHeight="1" x14ac:dyDescent="0.25">
      <c r="A3053" s="87" t="s">
        <v>38</v>
      </c>
      <c r="B3053" s="87" t="s">
        <v>358</v>
      </c>
      <c r="C3053" s="87">
        <v>2002</v>
      </c>
      <c r="D3053" s="87" t="s">
        <v>15</v>
      </c>
      <c r="E3053" s="116">
        <v>12</v>
      </c>
      <c r="F3053" s="87" t="s">
        <v>967</v>
      </c>
      <c r="G3053" s="87" t="s">
        <v>967</v>
      </c>
      <c r="H3053" s="87" t="s">
        <v>967</v>
      </c>
      <c r="I3053" s="87">
        <v>15</v>
      </c>
    </row>
    <row r="3054" spans="1:9" ht="15" customHeight="1" x14ac:dyDescent="0.25">
      <c r="A3054" s="87" t="s">
        <v>38</v>
      </c>
      <c r="B3054" s="87" t="s">
        <v>358</v>
      </c>
      <c r="C3054" s="87">
        <v>2003</v>
      </c>
      <c r="D3054" s="87" t="s">
        <v>15</v>
      </c>
      <c r="E3054" s="116">
        <v>3</v>
      </c>
      <c r="F3054" s="87" t="s">
        <v>967</v>
      </c>
      <c r="G3054" s="87" t="s">
        <v>967</v>
      </c>
      <c r="H3054" s="87" t="s">
        <v>967</v>
      </c>
      <c r="I3054" s="87">
        <v>15</v>
      </c>
    </row>
    <row r="3055" spans="1:9" ht="15" customHeight="1" x14ac:dyDescent="0.25">
      <c r="A3055" s="87" t="s">
        <v>38</v>
      </c>
      <c r="B3055" s="87" t="s">
        <v>358</v>
      </c>
      <c r="C3055" s="87">
        <v>2004</v>
      </c>
      <c r="D3055" s="87" t="s">
        <v>15</v>
      </c>
      <c r="E3055" s="116">
        <v>-1</v>
      </c>
      <c r="F3055" s="87" t="s">
        <v>967</v>
      </c>
      <c r="G3055" s="87" t="s">
        <v>967</v>
      </c>
      <c r="H3055" s="87" t="s">
        <v>967</v>
      </c>
      <c r="I3055" s="87">
        <v>15</v>
      </c>
    </row>
    <row r="3056" spans="1:9" ht="15" customHeight="1" x14ac:dyDescent="0.25">
      <c r="A3056" s="87" t="s">
        <v>38</v>
      </c>
      <c r="B3056" s="87" t="s">
        <v>358</v>
      </c>
      <c r="C3056" s="87">
        <v>2005</v>
      </c>
      <c r="D3056" s="87" t="s">
        <v>15</v>
      </c>
      <c r="E3056" s="116">
        <v>-1</v>
      </c>
      <c r="F3056" s="87" t="s">
        <v>967</v>
      </c>
      <c r="G3056" s="87" t="s">
        <v>967</v>
      </c>
      <c r="H3056" s="87" t="s">
        <v>967</v>
      </c>
      <c r="I3056" s="87">
        <v>15</v>
      </c>
    </row>
    <row r="3057" spans="1:9" ht="15" customHeight="1" x14ac:dyDescent="0.25">
      <c r="A3057" s="87" t="s">
        <v>38</v>
      </c>
      <c r="B3057" s="87" t="s">
        <v>358</v>
      </c>
      <c r="C3057" s="87">
        <v>2006</v>
      </c>
      <c r="D3057" s="87" t="s">
        <v>15</v>
      </c>
      <c r="E3057" s="116">
        <v>-1</v>
      </c>
      <c r="F3057" s="87" t="s">
        <v>967</v>
      </c>
      <c r="G3057" s="87" t="s">
        <v>967</v>
      </c>
      <c r="H3057" s="87" t="s">
        <v>967</v>
      </c>
      <c r="I3057" s="87">
        <v>15</v>
      </c>
    </row>
    <row r="3058" spans="1:9" ht="15" customHeight="1" x14ac:dyDescent="0.25">
      <c r="A3058" s="87" t="s">
        <v>38</v>
      </c>
      <c r="B3058" s="87" t="s">
        <v>358</v>
      </c>
      <c r="C3058" s="87">
        <v>2007</v>
      </c>
      <c r="D3058" s="87" t="s">
        <v>15</v>
      </c>
      <c r="E3058" s="116">
        <v>-1</v>
      </c>
      <c r="F3058" s="87" t="s">
        <v>967</v>
      </c>
      <c r="G3058" s="87" t="s">
        <v>967</v>
      </c>
      <c r="H3058" s="87" t="s">
        <v>967</v>
      </c>
      <c r="I3058" s="87">
        <v>15</v>
      </c>
    </row>
    <row r="3059" spans="1:9" ht="15" customHeight="1" x14ac:dyDescent="0.25">
      <c r="A3059" s="87" t="s">
        <v>38</v>
      </c>
      <c r="B3059" s="87" t="s">
        <v>358</v>
      </c>
      <c r="C3059" s="87">
        <v>2008</v>
      </c>
      <c r="D3059" s="87" t="s">
        <v>15</v>
      </c>
      <c r="E3059" s="116">
        <v>-1</v>
      </c>
      <c r="F3059" s="87" t="s">
        <v>967</v>
      </c>
      <c r="G3059" s="87" t="s">
        <v>967</v>
      </c>
      <c r="H3059" s="87" t="s">
        <v>967</v>
      </c>
      <c r="I3059" s="87">
        <v>15</v>
      </c>
    </row>
    <row r="3060" spans="1:9" ht="15" customHeight="1" x14ac:dyDescent="0.25">
      <c r="A3060" s="87" t="s">
        <v>38</v>
      </c>
      <c r="B3060" s="87" t="s">
        <v>358</v>
      </c>
      <c r="C3060" s="87">
        <v>2009</v>
      </c>
      <c r="D3060" s="87" t="s">
        <v>15</v>
      </c>
      <c r="E3060" s="116">
        <v>-1</v>
      </c>
      <c r="F3060" s="87" t="s">
        <v>967</v>
      </c>
      <c r="G3060" s="87" t="s">
        <v>967</v>
      </c>
      <c r="H3060" s="87" t="s">
        <v>967</v>
      </c>
      <c r="I3060" s="87">
        <v>15</v>
      </c>
    </row>
    <row r="3061" spans="1:9" ht="15" customHeight="1" x14ac:dyDescent="0.25">
      <c r="A3061" s="87" t="s">
        <v>38</v>
      </c>
      <c r="B3061" s="87" t="s">
        <v>358</v>
      </c>
      <c r="C3061" s="87">
        <v>2010</v>
      </c>
      <c r="D3061" s="87" t="s">
        <v>15</v>
      </c>
      <c r="E3061" s="116">
        <v>-1</v>
      </c>
      <c r="F3061" s="87" t="s">
        <v>967</v>
      </c>
      <c r="G3061" s="87" t="s">
        <v>967</v>
      </c>
      <c r="H3061" s="87" t="s">
        <v>967</v>
      </c>
      <c r="I3061" s="87">
        <v>15</v>
      </c>
    </row>
    <row r="3062" spans="1:9" ht="15" customHeight="1" x14ac:dyDescent="0.25">
      <c r="A3062" s="87" t="s">
        <v>38</v>
      </c>
      <c r="B3062" s="87" t="s">
        <v>358</v>
      </c>
      <c r="C3062" s="87">
        <v>2011</v>
      </c>
      <c r="D3062" s="87" t="s">
        <v>15</v>
      </c>
      <c r="E3062" s="116">
        <v>-1</v>
      </c>
      <c r="F3062" s="87" t="s">
        <v>967</v>
      </c>
      <c r="G3062" s="87" t="s">
        <v>967</v>
      </c>
      <c r="H3062" s="87" t="s">
        <v>967</v>
      </c>
      <c r="I3062" s="87">
        <v>15</v>
      </c>
    </row>
    <row r="3063" spans="1:9" ht="15" customHeight="1" x14ac:dyDescent="0.25">
      <c r="A3063" s="87" t="s">
        <v>38</v>
      </c>
      <c r="B3063" s="87" t="s">
        <v>358</v>
      </c>
      <c r="C3063" s="87">
        <v>2012</v>
      </c>
      <c r="D3063" s="87" t="s">
        <v>15</v>
      </c>
      <c r="E3063" s="116">
        <v>-1</v>
      </c>
      <c r="F3063" s="87" t="s">
        <v>967</v>
      </c>
      <c r="G3063" s="87" t="s">
        <v>967</v>
      </c>
      <c r="H3063" s="87" t="s">
        <v>967</v>
      </c>
      <c r="I3063" s="87">
        <v>15</v>
      </c>
    </row>
    <row r="3064" spans="1:9" ht="15" customHeight="1" x14ac:dyDescent="0.25">
      <c r="A3064" s="87" t="s">
        <v>38</v>
      </c>
      <c r="B3064" s="87" t="s">
        <v>358</v>
      </c>
      <c r="C3064" s="87">
        <v>2013</v>
      </c>
      <c r="D3064" s="87" t="s">
        <v>15</v>
      </c>
      <c r="E3064" s="116">
        <v>-1</v>
      </c>
      <c r="F3064" s="87" t="s">
        <v>967</v>
      </c>
      <c r="G3064" s="87" t="s">
        <v>967</v>
      </c>
      <c r="H3064" s="87" t="s">
        <v>967</v>
      </c>
      <c r="I3064" s="87">
        <v>15</v>
      </c>
    </row>
    <row r="3065" spans="1:9" ht="15" customHeight="1" x14ac:dyDescent="0.25">
      <c r="A3065" s="87" t="s">
        <v>38</v>
      </c>
      <c r="B3065" s="87" t="s">
        <v>358</v>
      </c>
      <c r="C3065" s="87">
        <v>2014</v>
      </c>
      <c r="D3065" s="87" t="s">
        <v>15</v>
      </c>
      <c r="E3065" s="116">
        <v>-1</v>
      </c>
      <c r="F3065" s="87" t="s">
        <v>967</v>
      </c>
      <c r="G3065" s="87" t="s">
        <v>967</v>
      </c>
      <c r="H3065" s="87" t="s">
        <v>967</v>
      </c>
      <c r="I3065" s="87">
        <v>15</v>
      </c>
    </row>
    <row r="3066" spans="1:9" ht="15" customHeight="1" x14ac:dyDescent="0.25">
      <c r="A3066" s="87" t="s">
        <v>38</v>
      </c>
      <c r="B3066" s="87" t="s">
        <v>358</v>
      </c>
      <c r="C3066" s="87">
        <v>2015</v>
      </c>
      <c r="D3066" s="87" t="s">
        <v>15</v>
      </c>
      <c r="E3066" s="116">
        <v>-1</v>
      </c>
      <c r="F3066" s="87" t="s">
        <v>967</v>
      </c>
      <c r="G3066" s="87" t="s">
        <v>967</v>
      </c>
      <c r="H3066" s="87" t="s">
        <v>967</v>
      </c>
      <c r="I3066" s="87">
        <v>15</v>
      </c>
    </row>
    <row r="3067" spans="1:9" ht="15" customHeight="1" x14ac:dyDescent="0.25">
      <c r="A3067" s="87" t="s">
        <v>38</v>
      </c>
      <c r="B3067" s="87" t="s">
        <v>358</v>
      </c>
      <c r="C3067" s="87">
        <v>2016</v>
      </c>
      <c r="D3067" s="87" t="s">
        <v>15</v>
      </c>
      <c r="E3067" s="116">
        <v>-1</v>
      </c>
      <c r="F3067" s="87" t="s">
        <v>967</v>
      </c>
      <c r="G3067" s="87" t="s">
        <v>967</v>
      </c>
      <c r="H3067" s="87" t="s">
        <v>967</v>
      </c>
      <c r="I3067" s="87">
        <v>15</v>
      </c>
    </row>
    <row r="3068" spans="1:9" ht="15" customHeight="1" x14ac:dyDescent="0.25">
      <c r="A3068" s="87" t="s">
        <v>38</v>
      </c>
      <c r="B3068" s="87" t="s">
        <v>358</v>
      </c>
      <c r="C3068" s="87">
        <v>2017</v>
      </c>
      <c r="D3068" s="87" t="s">
        <v>15</v>
      </c>
      <c r="E3068" s="116">
        <v>-1</v>
      </c>
      <c r="F3068" s="87" t="s">
        <v>967</v>
      </c>
      <c r="G3068" s="87" t="s">
        <v>967</v>
      </c>
      <c r="H3068" s="87" t="s">
        <v>967</v>
      </c>
      <c r="I3068" s="87">
        <v>15</v>
      </c>
    </row>
    <row r="3069" spans="1:9" ht="15" customHeight="1" x14ac:dyDescent="0.25">
      <c r="A3069" s="87" t="s">
        <v>38</v>
      </c>
      <c r="B3069" s="87" t="s">
        <v>358</v>
      </c>
      <c r="C3069" s="87">
        <v>2018</v>
      </c>
      <c r="D3069" s="87" t="s">
        <v>15</v>
      </c>
      <c r="E3069" s="116">
        <v>-1</v>
      </c>
      <c r="F3069" s="87" t="s">
        <v>967</v>
      </c>
      <c r="G3069" s="87" t="s">
        <v>967</v>
      </c>
      <c r="H3069" s="87" t="s">
        <v>967</v>
      </c>
      <c r="I3069" s="87">
        <v>15</v>
      </c>
    </row>
    <row r="3070" spans="1:9" ht="15" customHeight="1" x14ac:dyDescent="0.25">
      <c r="A3070" s="87" t="s">
        <v>38</v>
      </c>
      <c r="B3070" s="87" t="s">
        <v>358</v>
      </c>
      <c r="C3070" s="87">
        <v>2019</v>
      </c>
      <c r="D3070" s="87" t="s">
        <v>15</v>
      </c>
      <c r="E3070" s="116">
        <v>-1</v>
      </c>
      <c r="F3070" s="87" t="s">
        <v>967</v>
      </c>
      <c r="G3070" s="87" t="s">
        <v>967</v>
      </c>
      <c r="H3070" s="87" t="s">
        <v>967</v>
      </c>
      <c r="I3070" s="87">
        <v>15</v>
      </c>
    </row>
    <row r="3071" spans="1:9" ht="15" customHeight="1" x14ac:dyDescent="0.25">
      <c r="A3071" s="87" t="s">
        <v>38</v>
      </c>
      <c r="B3071" s="87" t="s">
        <v>358</v>
      </c>
      <c r="C3071" s="87">
        <v>2020</v>
      </c>
      <c r="D3071" s="87" t="s">
        <v>15</v>
      </c>
      <c r="E3071" s="116">
        <v>-1</v>
      </c>
      <c r="F3071" s="87" t="s">
        <v>967</v>
      </c>
      <c r="G3071" s="87" t="s">
        <v>967</v>
      </c>
      <c r="H3071" s="87" t="s">
        <v>967</v>
      </c>
      <c r="I3071" s="87">
        <v>15</v>
      </c>
    </row>
    <row r="3072" spans="1:9" ht="15" customHeight="1" x14ac:dyDescent="0.25">
      <c r="A3072" s="87" t="s">
        <v>38</v>
      </c>
      <c r="B3072" s="87" t="s">
        <v>358</v>
      </c>
      <c r="C3072" s="87">
        <v>2021</v>
      </c>
      <c r="D3072" s="87" t="s">
        <v>15</v>
      </c>
      <c r="E3072" s="116">
        <v>-1</v>
      </c>
      <c r="F3072" s="87" t="s">
        <v>967</v>
      </c>
      <c r="G3072" s="87" t="s">
        <v>967</v>
      </c>
      <c r="H3072" s="87" t="s">
        <v>967</v>
      </c>
      <c r="I3072" s="87">
        <v>15</v>
      </c>
    </row>
    <row r="3073" spans="1:9" ht="15" customHeight="1" x14ac:dyDescent="0.25">
      <c r="A3073" s="87" t="s">
        <v>38</v>
      </c>
      <c r="B3073" s="87" t="s">
        <v>358</v>
      </c>
      <c r="C3073" s="87">
        <v>2022</v>
      </c>
      <c r="D3073" s="87" t="s">
        <v>15</v>
      </c>
      <c r="E3073" s="116">
        <v>-1</v>
      </c>
      <c r="F3073" s="87" t="s">
        <v>967</v>
      </c>
      <c r="G3073" s="87" t="s">
        <v>967</v>
      </c>
      <c r="H3073" s="87" t="s">
        <v>967</v>
      </c>
      <c r="I3073" s="87">
        <v>15</v>
      </c>
    </row>
    <row r="3074" spans="1:9" ht="15" customHeight="1" x14ac:dyDescent="0.25">
      <c r="A3074" s="87" t="s">
        <v>38</v>
      </c>
      <c r="B3074" s="87" t="s">
        <v>359</v>
      </c>
      <c r="C3074" s="87">
        <v>1975</v>
      </c>
      <c r="D3074" s="87" t="s">
        <v>15</v>
      </c>
      <c r="E3074" s="116">
        <v>75</v>
      </c>
      <c r="F3074" s="87" t="s">
        <v>768</v>
      </c>
      <c r="G3074" s="87" t="s">
        <v>967</v>
      </c>
      <c r="H3074" s="87" t="s">
        <v>768</v>
      </c>
      <c r="I3074" s="87">
        <v>1</v>
      </c>
    </row>
    <row r="3075" spans="1:9" ht="15" customHeight="1" x14ac:dyDescent="0.25">
      <c r="A3075" s="87" t="s">
        <v>38</v>
      </c>
      <c r="B3075" s="87" t="s">
        <v>359</v>
      </c>
      <c r="C3075" s="87">
        <v>1976</v>
      </c>
      <c r="D3075" s="87" t="s">
        <v>15</v>
      </c>
      <c r="E3075" s="116">
        <v>150</v>
      </c>
      <c r="F3075" s="87" t="s">
        <v>768</v>
      </c>
      <c r="G3075" s="87" t="s">
        <v>967</v>
      </c>
      <c r="H3075" s="87" t="s">
        <v>768</v>
      </c>
      <c r="I3075" s="87">
        <v>1</v>
      </c>
    </row>
    <row r="3076" spans="1:9" ht="15" customHeight="1" x14ac:dyDescent="0.25">
      <c r="A3076" s="87" t="s">
        <v>38</v>
      </c>
      <c r="B3076" s="87" t="s">
        <v>359</v>
      </c>
      <c r="C3076" s="87">
        <v>1977</v>
      </c>
      <c r="D3076" s="87" t="s">
        <v>15</v>
      </c>
      <c r="E3076" s="116">
        <v>275</v>
      </c>
      <c r="F3076" s="87" t="s">
        <v>768</v>
      </c>
      <c r="G3076" s="87" t="s">
        <v>967</v>
      </c>
      <c r="H3076" s="87" t="s">
        <v>768</v>
      </c>
      <c r="I3076" s="87">
        <v>1</v>
      </c>
    </row>
    <row r="3077" spans="1:9" ht="15" customHeight="1" x14ac:dyDescent="0.25">
      <c r="A3077" s="87" t="s">
        <v>38</v>
      </c>
      <c r="B3077" s="87" t="s">
        <v>359</v>
      </c>
      <c r="C3077" s="87">
        <v>1978</v>
      </c>
      <c r="D3077" s="87" t="s">
        <v>15</v>
      </c>
      <c r="E3077" s="116">
        <v>200</v>
      </c>
      <c r="F3077" s="87" t="s">
        <v>768</v>
      </c>
      <c r="G3077" s="87" t="s">
        <v>967</v>
      </c>
      <c r="H3077" s="87" t="s">
        <v>768</v>
      </c>
      <c r="I3077" s="87">
        <v>1</v>
      </c>
    </row>
    <row r="3078" spans="1:9" ht="15" customHeight="1" x14ac:dyDescent="0.25">
      <c r="A3078" s="87" t="s">
        <v>38</v>
      </c>
      <c r="B3078" s="87" t="s">
        <v>359</v>
      </c>
      <c r="C3078" s="87">
        <v>1979</v>
      </c>
      <c r="D3078" s="87" t="s">
        <v>15</v>
      </c>
      <c r="E3078" s="116">
        <v>350</v>
      </c>
      <c r="F3078" s="87" t="s">
        <v>768</v>
      </c>
      <c r="G3078" s="87" t="s">
        <v>967</v>
      </c>
      <c r="H3078" s="87" t="s">
        <v>768</v>
      </c>
      <c r="I3078" s="87">
        <v>1</v>
      </c>
    </row>
    <row r="3079" spans="1:9" ht="15" customHeight="1" x14ac:dyDescent="0.25">
      <c r="A3079" s="87" t="s">
        <v>38</v>
      </c>
      <c r="B3079" s="87" t="s">
        <v>359</v>
      </c>
      <c r="C3079" s="87">
        <v>1980</v>
      </c>
      <c r="D3079" s="87" t="s">
        <v>15</v>
      </c>
      <c r="E3079" s="116">
        <v>350</v>
      </c>
      <c r="F3079" s="87" t="s">
        <v>768</v>
      </c>
      <c r="G3079" s="87" t="s">
        <v>967</v>
      </c>
      <c r="H3079" s="87" t="s">
        <v>768</v>
      </c>
      <c r="I3079" s="87">
        <v>1</v>
      </c>
    </row>
    <row r="3080" spans="1:9" ht="15" customHeight="1" x14ac:dyDescent="0.25">
      <c r="A3080" s="87" t="s">
        <v>38</v>
      </c>
      <c r="B3080" s="87" t="s">
        <v>359</v>
      </c>
      <c r="C3080" s="87">
        <v>1981</v>
      </c>
      <c r="D3080" s="87" t="s">
        <v>15</v>
      </c>
      <c r="E3080" s="116">
        <v>300</v>
      </c>
      <c r="F3080" s="87" t="s">
        <v>768</v>
      </c>
      <c r="G3080" s="87" t="s">
        <v>967</v>
      </c>
      <c r="H3080" s="87" t="s">
        <v>768</v>
      </c>
      <c r="I3080" s="87">
        <v>1</v>
      </c>
    </row>
    <row r="3081" spans="1:9" ht="15" customHeight="1" x14ac:dyDescent="0.25">
      <c r="A3081" s="87" t="s">
        <v>38</v>
      </c>
      <c r="B3081" s="87" t="s">
        <v>359</v>
      </c>
      <c r="C3081" s="87">
        <v>1982</v>
      </c>
      <c r="D3081" s="87" t="s">
        <v>15</v>
      </c>
      <c r="E3081" s="116">
        <v>570</v>
      </c>
      <c r="F3081" s="87" t="s">
        <v>768</v>
      </c>
      <c r="G3081" s="87" t="s">
        <v>967</v>
      </c>
      <c r="H3081" s="87" t="s">
        <v>768</v>
      </c>
      <c r="I3081" s="87">
        <v>1</v>
      </c>
    </row>
    <row r="3082" spans="1:9" ht="15" customHeight="1" x14ac:dyDescent="0.25">
      <c r="A3082" s="87" t="s">
        <v>38</v>
      </c>
      <c r="B3082" s="87" t="s">
        <v>359</v>
      </c>
      <c r="C3082" s="87">
        <v>1983</v>
      </c>
      <c r="D3082" s="87" t="s">
        <v>15</v>
      </c>
      <c r="E3082" s="116">
        <v>700</v>
      </c>
      <c r="F3082" s="87" t="s">
        <v>768</v>
      </c>
      <c r="G3082" s="87" t="s">
        <v>967</v>
      </c>
      <c r="H3082" s="87" t="s">
        <v>768</v>
      </c>
      <c r="I3082" s="87">
        <v>1</v>
      </c>
    </row>
    <row r="3083" spans="1:9" ht="15" customHeight="1" x14ac:dyDescent="0.25">
      <c r="A3083" s="87" t="s">
        <v>38</v>
      </c>
      <c r="B3083" s="87" t="s">
        <v>359</v>
      </c>
      <c r="C3083" s="87">
        <v>1984</v>
      </c>
      <c r="D3083" s="87" t="s">
        <v>15</v>
      </c>
      <c r="E3083" s="116">
        <v>1200</v>
      </c>
      <c r="F3083" s="87" t="s">
        <v>768</v>
      </c>
      <c r="G3083" s="87" t="s">
        <v>967</v>
      </c>
      <c r="H3083" s="87" t="s">
        <v>768</v>
      </c>
      <c r="I3083" s="87">
        <v>1</v>
      </c>
    </row>
    <row r="3084" spans="1:9" ht="15" customHeight="1" x14ac:dyDescent="0.25">
      <c r="A3084" s="87" t="s">
        <v>38</v>
      </c>
      <c r="B3084" s="87" t="s">
        <v>359</v>
      </c>
      <c r="C3084" s="87">
        <v>1985</v>
      </c>
      <c r="D3084" s="87" t="s">
        <v>15</v>
      </c>
      <c r="E3084" s="116">
        <v>1200</v>
      </c>
      <c r="F3084" s="87" t="s">
        <v>768</v>
      </c>
      <c r="G3084" s="87" t="s">
        <v>967</v>
      </c>
      <c r="H3084" s="87" t="s">
        <v>768</v>
      </c>
      <c r="I3084" s="87">
        <v>1</v>
      </c>
    </row>
    <row r="3085" spans="1:9" ht="15" customHeight="1" x14ac:dyDescent="0.25">
      <c r="A3085" s="87" t="s">
        <v>38</v>
      </c>
      <c r="B3085" s="87" t="s">
        <v>359</v>
      </c>
      <c r="C3085" s="87">
        <v>1986</v>
      </c>
      <c r="D3085" s="87" t="s">
        <v>15</v>
      </c>
      <c r="E3085" s="116">
        <v>900</v>
      </c>
      <c r="F3085" s="87" t="s">
        <v>768</v>
      </c>
      <c r="G3085" s="87" t="s">
        <v>967</v>
      </c>
      <c r="H3085" s="87" t="s">
        <v>768</v>
      </c>
      <c r="I3085" s="87">
        <v>1</v>
      </c>
    </row>
    <row r="3086" spans="1:9" ht="15" customHeight="1" x14ac:dyDescent="0.25">
      <c r="A3086" s="87" t="s">
        <v>38</v>
      </c>
      <c r="B3086" s="87" t="s">
        <v>359</v>
      </c>
      <c r="C3086" s="87">
        <v>1987</v>
      </c>
      <c r="D3086" s="87" t="s">
        <v>15</v>
      </c>
      <c r="E3086" s="116">
        <v>1000</v>
      </c>
      <c r="F3086" s="87" t="s">
        <v>768</v>
      </c>
      <c r="G3086" s="87" t="s">
        <v>967</v>
      </c>
      <c r="H3086" s="87" t="s">
        <v>768</v>
      </c>
      <c r="I3086" s="87">
        <v>1</v>
      </c>
    </row>
    <row r="3087" spans="1:9" ht="15" customHeight="1" x14ac:dyDescent="0.25">
      <c r="A3087" s="87" t="s">
        <v>38</v>
      </c>
      <c r="B3087" s="87" t="s">
        <v>359</v>
      </c>
      <c r="C3087" s="87">
        <v>1988</v>
      </c>
      <c r="D3087" s="87" t="s">
        <v>15</v>
      </c>
      <c r="E3087" s="116">
        <v>1500</v>
      </c>
      <c r="F3087" s="87" t="s">
        <v>768</v>
      </c>
      <c r="G3087" s="87" t="s">
        <v>967</v>
      </c>
      <c r="H3087" s="87" t="s">
        <v>768</v>
      </c>
      <c r="I3087" s="87">
        <v>1</v>
      </c>
    </row>
    <row r="3088" spans="1:9" ht="15" customHeight="1" x14ac:dyDescent="0.25">
      <c r="A3088" s="87" t="s">
        <v>38</v>
      </c>
      <c r="B3088" s="87" t="s">
        <v>359</v>
      </c>
      <c r="C3088" s="87">
        <v>1989</v>
      </c>
      <c r="D3088" s="87" t="s">
        <v>15</v>
      </c>
      <c r="E3088" s="116">
        <v>850</v>
      </c>
      <c r="F3088" s="87" t="s">
        <v>768</v>
      </c>
      <c r="G3088" s="87" t="s">
        <v>967</v>
      </c>
      <c r="H3088" s="87" t="s">
        <v>768</v>
      </c>
      <c r="I3088" s="87">
        <v>1</v>
      </c>
    </row>
    <row r="3089" spans="1:9" ht="15" customHeight="1" x14ac:dyDescent="0.25">
      <c r="A3089" s="87" t="s">
        <v>38</v>
      </c>
      <c r="B3089" s="87" t="s">
        <v>359</v>
      </c>
      <c r="C3089" s="87">
        <v>1990</v>
      </c>
      <c r="D3089" s="87" t="s">
        <v>15</v>
      </c>
      <c r="E3089" s="116">
        <v>1200</v>
      </c>
      <c r="F3089" s="87" t="s">
        <v>768</v>
      </c>
      <c r="G3089" s="87" t="s">
        <v>967</v>
      </c>
      <c r="H3089" s="87" t="s">
        <v>768</v>
      </c>
      <c r="I3089" s="87">
        <v>1</v>
      </c>
    </row>
    <row r="3090" spans="1:9" ht="15" customHeight="1" x14ac:dyDescent="0.25">
      <c r="A3090" s="87" t="s">
        <v>38</v>
      </c>
      <c r="B3090" s="87" t="s">
        <v>359</v>
      </c>
      <c r="C3090" s="87">
        <v>1991</v>
      </c>
      <c r="D3090" s="87" t="s">
        <v>15</v>
      </c>
      <c r="E3090" s="116">
        <v>600</v>
      </c>
      <c r="F3090" s="87" t="s">
        <v>768</v>
      </c>
      <c r="G3090" s="87" t="s">
        <v>967</v>
      </c>
      <c r="H3090" s="87" t="s">
        <v>768</v>
      </c>
      <c r="I3090" s="87">
        <v>1</v>
      </c>
    </row>
    <row r="3091" spans="1:9" ht="15" customHeight="1" x14ac:dyDescent="0.25">
      <c r="A3091" s="87" t="s">
        <v>38</v>
      </c>
      <c r="B3091" s="87" t="s">
        <v>359</v>
      </c>
      <c r="C3091" s="87">
        <v>1992</v>
      </c>
      <c r="D3091" s="87" t="s">
        <v>15</v>
      </c>
      <c r="E3091" s="116">
        <v>980</v>
      </c>
      <c r="F3091" s="87" t="s">
        <v>768</v>
      </c>
      <c r="G3091" s="87" t="s">
        <v>967</v>
      </c>
      <c r="H3091" s="87" t="s">
        <v>768</v>
      </c>
      <c r="I3091" s="87">
        <v>1</v>
      </c>
    </row>
    <row r="3092" spans="1:9" ht="15" customHeight="1" x14ac:dyDescent="0.25">
      <c r="A3092" s="87" t="s">
        <v>38</v>
      </c>
      <c r="B3092" s="87" t="s">
        <v>359</v>
      </c>
      <c r="C3092" s="87">
        <v>1993</v>
      </c>
      <c r="D3092" s="87" t="s">
        <v>15</v>
      </c>
      <c r="E3092" s="116">
        <v>1000</v>
      </c>
      <c r="F3092" s="87" t="s">
        <v>768</v>
      </c>
      <c r="G3092" s="87" t="s">
        <v>967</v>
      </c>
      <c r="H3092" s="87" t="s">
        <v>768</v>
      </c>
      <c r="I3092" s="87">
        <v>1</v>
      </c>
    </row>
    <row r="3093" spans="1:9" ht="15" customHeight="1" x14ac:dyDescent="0.25">
      <c r="A3093" s="87" t="s">
        <v>38</v>
      </c>
      <c r="B3093" s="87" t="s">
        <v>359</v>
      </c>
      <c r="C3093" s="87">
        <v>1994</v>
      </c>
      <c r="D3093" s="87" t="s">
        <v>15</v>
      </c>
      <c r="E3093" s="116">
        <v>886</v>
      </c>
      <c r="F3093" s="87" t="s">
        <v>768</v>
      </c>
      <c r="G3093" s="87" t="s">
        <v>967</v>
      </c>
      <c r="H3093" s="87" t="s">
        <v>768</v>
      </c>
      <c r="I3093" s="87">
        <v>1</v>
      </c>
    </row>
    <row r="3094" spans="1:9" ht="15" customHeight="1" x14ac:dyDescent="0.25">
      <c r="A3094" s="87" t="s">
        <v>38</v>
      </c>
      <c r="B3094" s="87" t="s">
        <v>359</v>
      </c>
      <c r="C3094" s="87">
        <v>1995</v>
      </c>
      <c r="D3094" s="87" t="s">
        <v>15</v>
      </c>
      <c r="E3094" s="116">
        <v>1646</v>
      </c>
      <c r="F3094" s="87" t="s">
        <v>967</v>
      </c>
      <c r="G3094" s="87" t="s">
        <v>967</v>
      </c>
      <c r="H3094" s="87" t="s">
        <v>967</v>
      </c>
      <c r="I3094" s="87">
        <v>1</v>
      </c>
    </row>
    <row r="3095" spans="1:9" ht="15" customHeight="1" x14ac:dyDescent="0.25">
      <c r="A3095" s="87" t="s">
        <v>38</v>
      </c>
      <c r="B3095" s="87" t="s">
        <v>359</v>
      </c>
      <c r="C3095" s="87">
        <v>1996</v>
      </c>
      <c r="D3095" s="87" t="s">
        <v>15</v>
      </c>
      <c r="E3095" s="116">
        <v>1508</v>
      </c>
      <c r="F3095" s="87" t="s">
        <v>967</v>
      </c>
      <c r="G3095" s="87" t="s">
        <v>967</v>
      </c>
      <c r="H3095" s="87" t="s">
        <v>967</v>
      </c>
      <c r="I3095" s="87">
        <v>1</v>
      </c>
    </row>
    <row r="3096" spans="1:9" ht="15" customHeight="1" x14ac:dyDescent="0.25">
      <c r="A3096" s="87" t="s">
        <v>38</v>
      </c>
      <c r="B3096" s="87" t="s">
        <v>359</v>
      </c>
      <c r="C3096" s="87">
        <v>1997</v>
      </c>
      <c r="D3096" s="87" t="s">
        <v>15</v>
      </c>
      <c r="E3096" s="116">
        <v>1195</v>
      </c>
      <c r="F3096" s="87" t="s">
        <v>967</v>
      </c>
      <c r="G3096" s="87" t="s">
        <v>967</v>
      </c>
      <c r="H3096" s="87" t="s">
        <v>967</v>
      </c>
      <c r="I3096" s="87">
        <v>1</v>
      </c>
    </row>
    <row r="3097" spans="1:9" ht="15" customHeight="1" x14ac:dyDescent="0.25">
      <c r="A3097" s="87" t="s">
        <v>38</v>
      </c>
      <c r="B3097" s="87" t="s">
        <v>359</v>
      </c>
      <c r="C3097" s="87">
        <v>1998</v>
      </c>
      <c r="D3097" s="87" t="s">
        <v>15</v>
      </c>
      <c r="E3097" s="116">
        <v>1098</v>
      </c>
      <c r="F3097" s="87" t="s">
        <v>967</v>
      </c>
      <c r="G3097" s="87" t="s">
        <v>272</v>
      </c>
      <c r="H3097" s="87" t="s">
        <v>967</v>
      </c>
      <c r="I3097" s="87">
        <v>1</v>
      </c>
    </row>
    <row r="3098" spans="1:9" ht="15" customHeight="1" x14ac:dyDescent="0.25">
      <c r="A3098" s="87" t="s">
        <v>38</v>
      </c>
      <c r="B3098" s="87" t="s">
        <v>359</v>
      </c>
      <c r="C3098" s="87">
        <v>1999</v>
      </c>
      <c r="D3098" s="87" t="s">
        <v>15</v>
      </c>
      <c r="E3098" s="116">
        <v>375</v>
      </c>
      <c r="F3098" s="87" t="s">
        <v>967</v>
      </c>
      <c r="G3098" s="87" t="s">
        <v>274</v>
      </c>
      <c r="H3098" s="87" t="s">
        <v>967</v>
      </c>
      <c r="I3098" s="87">
        <v>1</v>
      </c>
    </row>
    <row r="3099" spans="1:9" ht="15" customHeight="1" x14ac:dyDescent="0.25">
      <c r="A3099" s="87" t="s">
        <v>38</v>
      </c>
      <c r="B3099" s="87" t="s">
        <v>359</v>
      </c>
      <c r="C3099" s="87">
        <v>2000</v>
      </c>
      <c r="D3099" s="87" t="s">
        <v>15</v>
      </c>
      <c r="E3099" s="116">
        <v>486</v>
      </c>
      <c r="F3099" s="87" t="s">
        <v>967</v>
      </c>
      <c r="G3099" s="87" t="s">
        <v>272</v>
      </c>
      <c r="H3099" s="87" t="s">
        <v>967</v>
      </c>
      <c r="I3099" s="87">
        <v>1</v>
      </c>
    </row>
    <row r="3100" spans="1:9" ht="15" customHeight="1" x14ac:dyDescent="0.25">
      <c r="A3100" s="87" t="s">
        <v>38</v>
      </c>
      <c r="B3100" s="87" t="s">
        <v>359</v>
      </c>
      <c r="C3100" s="87">
        <v>2001</v>
      </c>
      <c r="D3100" s="87" t="s">
        <v>15</v>
      </c>
      <c r="E3100" s="116">
        <v>982</v>
      </c>
      <c r="F3100" s="87" t="s">
        <v>967</v>
      </c>
      <c r="G3100" s="87" t="s">
        <v>272</v>
      </c>
      <c r="H3100" s="87" t="s">
        <v>967</v>
      </c>
      <c r="I3100" s="87">
        <v>1</v>
      </c>
    </row>
    <row r="3101" spans="1:9" ht="15" customHeight="1" x14ac:dyDescent="0.25">
      <c r="A3101" s="87" t="s">
        <v>38</v>
      </c>
      <c r="B3101" s="87" t="s">
        <v>359</v>
      </c>
      <c r="C3101" s="87">
        <v>2002</v>
      </c>
      <c r="D3101" s="87" t="s">
        <v>15</v>
      </c>
      <c r="E3101" s="116">
        <v>1516</v>
      </c>
      <c r="F3101" s="87" t="s">
        <v>967</v>
      </c>
      <c r="G3101" s="87" t="s">
        <v>967</v>
      </c>
      <c r="H3101" s="87" t="s">
        <v>967</v>
      </c>
      <c r="I3101" s="87">
        <v>1</v>
      </c>
    </row>
    <row r="3102" spans="1:9" ht="15" customHeight="1" x14ac:dyDescent="0.25">
      <c r="A3102" s="87" t="s">
        <v>38</v>
      </c>
      <c r="B3102" s="87" t="s">
        <v>359</v>
      </c>
      <c r="C3102" s="87">
        <v>2003</v>
      </c>
      <c r="D3102" s="87" t="s">
        <v>15</v>
      </c>
      <c r="E3102" s="116">
        <v>835</v>
      </c>
      <c r="F3102" s="87" t="s">
        <v>967</v>
      </c>
      <c r="G3102" s="87" t="s">
        <v>272</v>
      </c>
      <c r="H3102" s="87" t="s">
        <v>967</v>
      </c>
      <c r="I3102" s="87">
        <v>1</v>
      </c>
    </row>
    <row r="3103" spans="1:9" ht="15" customHeight="1" x14ac:dyDescent="0.25">
      <c r="A3103" s="87" t="s">
        <v>38</v>
      </c>
      <c r="B3103" s="87" t="s">
        <v>359</v>
      </c>
      <c r="C3103" s="87">
        <v>2004</v>
      </c>
      <c r="D3103" s="87" t="s">
        <v>15</v>
      </c>
      <c r="E3103" s="116">
        <v>520</v>
      </c>
      <c r="F3103" s="87" t="s">
        <v>967</v>
      </c>
      <c r="G3103" s="87" t="s">
        <v>272</v>
      </c>
      <c r="H3103" s="87" t="s">
        <v>967</v>
      </c>
      <c r="I3103" s="87">
        <v>1</v>
      </c>
    </row>
    <row r="3104" spans="1:9" ht="15" customHeight="1" x14ac:dyDescent="0.25">
      <c r="A3104" s="87" t="s">
        <v>38</v>
      </c>
      <c r="B3104" s="87" t="s">
        <v>359</v>
      </c>
      <c r="C3104" s="87">
        <v>2005</v>
      </c>
      <c r="D3104" s="87" t="s">
        <v>15</v>
      </c>
      <c r="E3104" s="116">
        <v>335</v>
      </c>
      <c r="F3104" s="87" t="s">
        <v>967</v>
      </c>
      <c r="G3104" s="87" t="s">
        <v>272</v>
      </c>
      <c r="H3104" s="87" t="s">
        <v>967</v>
      </c>
      <c r="I3104" s="87">
        <v>1</v>
      </c>
    </row>
    <row r="3105" spans="1:9" ht="15" customHeight="1" x14ac:dyDescent="0.25">
      <c r="A3105" s="87" t="s">
        <v>38</v>
      </c>
      <c r="B3105" s="87" t="s">
        <v>359</v>
      </c>
      <c r="C3105" s="87">
        <v>2006</v>
      </c>
      <c r="D3105" s="87" t="s">
        <v>15</v>
      </c>
      <c r="E3105" s="116">
        <v>643</v>
      </c>
      <c r="F3105" s="87" t="s">
        <v>967</v>
      </c>
      <c r="G3105" s="87" t="s">
        <v>272</v>
      </c>
      <c r="H3105" s="87" t="s">
        <v>967</v>
      </c>
      <c r="I3105" s="87">
        <v>1</v>
      </c>
    </row>
    <row r="3106" spans="1:9" ht="15" customHeight="1" x14ac:dyDescent="0.25">
      <c r="A3106" s="87" t="s">
        <v>38</v>
      </c>
      <c r="B3106" s="87" t="s">
        <v>359</v>
      </c>
      <c r="C3106" s="87">
        <v>2007</v>
      </c>
      <c r="D3106" s="87" t="s">
        <v>15</v>
      </c>
      <c r="E3106" s="116">
        <v>328</v>
      </c>
      <c r="F3106" s="87" t="s">
        <v>967</v>
      </c>
      <c r="G3106" s="87" t="s">
        <v>272</v>
      </c>
      <c r="H3106" s="87" t="s">
        <v>967</v>
      </c>
      <c r="I3106" s="87">
        <v>1</v>
      </c>
    </row>
    <row r="3107" spans="1:9" ht="15" customHeight="1" x14ac:dyDescent="0.25">
      <c r="A3107" s="87" t="s">
        <v>38</v>
      </c>
      <c r="B3107" s="87" t="s">
        <v>359</v>
      </c>
      <c r="C3107" s="87">
        <v>2008</v>
      </c>
      <c r="D3107" s="87" t="s">
        <v>15</v>
      </c>
      <c r="E3107" s="116">
        <v>422</v>
      </c>
      <c r="F3107" s="87" t="s">
        <v>967</v>
      </c>
      <c r="G3107" s="87" t="s">
        <v>272</v>
      </c>
      <c r="H3107" s="87" t="s">
        <v>967</v>
      </c>
      <c r="I3107" s="87">
        <v>1</v>
      </c>
    </row>
    <row r="3108" spans="1:9" ht="15" customHeight="1" x14ac:dyDescent="0.25">
      <c r="A3108" s="87" t="s">
        <v>38</v>
      </c>
      <c r="B3108" s="87" t="s">
        <v>359</v>
      </c>
      <c r="C3108" s="87">
        <v>2009</v>
      </c>
      <c r="D3108" s="87" t="s">
        <v>15</v>
      </c>
      <c r="E3108" s="116">
        <v>747</v>
      </c>
      <c r="F3108" s="87" t="s">
        <v>967</v>
      </c>
      <c r="G3108" s="87" t="s">
        <v>272</v>
      </c>
      <c r="H3108" s="87" t="s">
        <v>967</v>
      </c>
      <c r="I3108" s="87">
        <v>1</v>
      </c>
    </row>
    <row r="3109" spans="1:9" ht="15" customHeight="1" x14ac:dyDescent="0.25">
      <c r="A3109" s="87" t="s">
        <v>38</v>
      </c>
      <c r="B3109" s="87" t="s">
        <v>359</v>
      </c>
      <c r="C3109" s="87">
        <v>2010</v>
      </c>
      <c r="D3109" s="87" t="s">
        <v>15</v>
      </c>
      <c r="E3109" s="116">
        <v>378</v>
      </c>
      <c r="F3109" s="87" t="s">
        <v>967</v>
      </c>
      <c r="G3109" s="87" t="s">
        <v>272</v>
      </c>
      <c r="H3109" s="87" t="s">
        <v>967</v>
      </c>
      <c r="I3109" s="87">
        <v>1</v>
      </c>
    </row>
    <row r="3110" spans="1:9" ht="15" customHeight="1" x14ac:dyDescent="0.25">
      <c r="A3110" s="87" t="s">
        <v>38</v>
      </c>
      <c r="B3110" s="87" t="s">
        <v>359</v>
      </c>
      <c r="C3110" s="87">
        <v>2011</v>
      </c>
      <c r="D3110" s="87" t="s">
        <v>15</v>
      </c>
      <c r="E3110" s="116">
        <v>363</v>
      </c>
      <c r="F3110" s="87" t="s">
        <v>967</v>
      </c>
      <c r="G3110" s="87" t="s">
        <v>272</v>
      </c>
      <c r="H3110" s="87" t="s">
        <v>967</v>
      </c>
      <c r="I3110" s="87">
        <v>1</v>
      </c>
    </row>
    <row r="3111" spans="1:9" ht="15" customHeight="1" x14ac:dyDescent="0.25">
      <c r="A3111" s="87" t="s">
        <v>38</v>
      </c>
      <c r="B3111" s="87" t="s">
        <v>359</v>
      </c>
      <c r="C3111" s="87">
        <v>2012</v>
      </c>
      <c r="D3111" s="87" t="s">
        <v>15</v>
      </c>
      <c r="E3111" s="116">
        <v>208</v>
      </c>
      <c r="F3111" s="87" t="s">
        <v>967</v>
      </c>
      <c r="G3111" s="87" t="s">
        <v>272</v>
      </c>
      <c r="H3111" s="87" t="s">
        <v>967</v>
      </c>
      <c r="I3111" s="87">
        <v>1</v>
      </c>
    </row>
    <row r="3112" spans="1:9" ht="15" customHeight="1" x14ac:dyDescent="0.25">
      <c r="A3112" s="87" t="s">
        <v>38</v>
      </c>
      <c r="B3112" s="87" t="s">
        <v>359</v>
      </c>
      <c r="C3112" s="87">
        <v>2013</v>
      </c>
      <c r="D3112" s="87" t="s">
        <v>15</v>
      </c>
      <c r="E3112" s="116">
        <v>392</v>
      </c>
      <c r="F3112" s="87" t="s">
        <v>967</v>
      </c>
      <c r="G3112" s="87" t="s">
        <v>274</v>
      </c>
      <c r="H3112" s="87" t="s">
        <v>967</v>
      </c>
      <c r="I3112" s="87">
        <v>1</v>
      </c>
    </row>
    <row r="3113" spans="1:9" ht="15" customHeight="1" x14ac:dyDescent="0.25">
      <c r="A3113" s="87" t="s">
        <v>38</v>
      </c>
      <c r="B3113" s="87" t="s">
        <v>359</v>
      </c>
      <c r="C3113" s="87">
        <v>2014</v>
      </c>
      <c r="D3113" s="87" t="s">
        <v>15</v>
      </c>
      <c r="E3113" s="116">
        <v>823</v>
      </c>
      <c r="F3113" s="87" t="s">
        <v>967</v>
      </c>
      <c r="G3113" s="87" t="s">
        <v>274</v>
      </c>
      <c r="H3113" s="87" t="s">
        <v>967</v>
      </c>
      <c r="I3113" s="87">
        <v>1</v>
      </c>
    </row>
    <row r="3114" spans="1:9" ht="15" customHeight="1" x14ac:dyDescent="0.25">
      <c r="A3114" s="87" t="s">
        <v>38</v>
      </c>
      <c r="B3114" s="87" t="s">
        <v>359</v>
      </c>
      <c r="C3114" s="87">
        <v>2015</v>
      </c>
      <c r="D3114" s="87" t="s">
        <v>15</v>
      </c>
      <c r="E3114" s="116">
        <v>435</v>
      </c>
      <c r="F3114" s="87" t="s">
        <v>967</v>
      </c>
      <c r="G3114" s="87" t="s">
        <v>272</v>
      </c>
      <c r="H3114" s="87" t="s">
        <v>795</v>
      </c>
      <c r="I3114" s="87">
        <v>1</v>
      </c>
    </row>
    <row r="3115" spans="1:9" ht="15" customHeight="1" x14ac:dyDescent="0.25">
      <c r="A3115" s="87" t="s">
        <v>38</v>
      </c>
      <c r="B3115" s="87" t="s">
        <v>359</v>
      </c>
      <c r="C3115" s="87">
        <v>2016</v>
      </c>
      <c r="D3115" s="87" t="s">
        <v>15</v>
      </c>
      <c r="E3115" s="116">
        <v>260</v>
      </c>
      <c r="F3115" s="87" t="s">
        <v>967</v>
      </c>
      <c r="G3115" s="87" t="s">
        <v>272</v>
      </c>
      <c r="H3115" s="87" t="s">
        <v>967</v>
      </c>
      <c r="I3115" s="87">
        <v>1</v>
      </c>
    </row>
    <row r="3116" spans="1:9" ht="15" customHeight="1" x14ac:dyDescent="0.25">
      <c r="A3116" s="87" t="s">
        <v>38</v>
      </c>
      <c r="B3116" s="87" t="s">
        <v>359</v>
      </c>
      <c r="C3116" s="87">
        <v>2017</v>
      </c>
      <c r="D3116" s="87" t="s">
        <v>15</v>
      </c>
      <c r="E3116" s="116">
        <v>174</v>
      </c>
      <c r="F3116" s="87" t="s">
        <v>967</v>
      </c>
      <c r="G3116" s="87" t="s">
        <v>272</v>
      </c>
      <c r="H3116" s="87" t="s">
        <v>967</v>
      </c>
      <c r="I3116" s="87">
        <v>1</v>
      </c>
    </row>
    <row r="3117" spans="1:9" ht="15" customHeight="1" x14ac:dyDescent="0.25">
      <c r="A3117" s="87" t="s">
        <v>38</v>
      </c>
      <c r="B3117" s="87" t="s">
        <v>359</v>
      </c>
      <c r="C3117" s="87">
        <v>2018</v>
      </c>
      <c r="D3117" s="87" t="s">
        <v>15</v>
      </c>
      <c r="E3117" s="116">
        <v>134</v>
      </c>
      <c r="F3117" s="87" t="s">
        <v>967</v>
      </c>
      <c r="G3117" s="87" t="s">
        <v>272</v>
      </c>
      <c r="H3117" s="87" t="s">
        <v>967</v>
      </c>
      <c r="I3117" s="87">
        <v>1</v>
      </c>
    </row>
    <row r="3118" spans="1:9" ht="15" customHeight="1" x14ac:dyDescent="0.25">
      <c r="A3118" s="87" t="s">
        <v>38</v>
      </c>
      <c r="B3118" s="87" t="s">
        <v>359</v>
      </c>
      <c r="C3118" s="87">
        <v>2019</v>
      </c>
      <c r="D3118" s="87" t="s">
        <v>15</v>
      </c>
      <c r="E3118" s="116">
        <v>2</v>
      </c>
      <c r="F3118" s="87" t="s">
        <v>967</v>
      </c>
      <c r="G3118" s="87" t="s">
        <v>272</v>
      </c>
      <c r="H3118" s="87" t="s">
        <v>967</v>
      </c>
      <c r="I3118" s="87">
        <v>1</v>
      </c>
    </row>
    <row r="3119" spans="1:9" ht="15" customHeight="1" x14ac:dyDescent="0.25">
      <c r="A3119" s="87" t="s">
        <v>38</v>
      </c>
      <c r="B3119" s="87" t="s">
        <v>359</v>
      </c>
      <c r="C3119" s="87">
        <v>2020</v>
      </c>
      <c r="D3119" s="87" t="s">
        <v>15</v>
      </c>
      <c r="E3119" s="116">
        <v>268</v>
      </c>
      <c r="F3119" s="87" t="s">
        <v>967</v>
      </c>
      <c r="G3119" s="87" t="s">
        <v>272</v>
      </c>
      <c r="H3119" s="87" t="s">
        <v>967</v>
      </c>
      <c r="I3119" s="87">
        <v>1</v>
      </c>
    </row>
    <row r="3120" spans="1:9" ht="15" customHeight="1" x14ac:dyDescent="0.25">
      <c r="A3120" s="87" t="s">
        <v>38</v>
      </c>
      <c r="B3120" s="87" t="s">
        <v>359</v>
      </c>
      <c r="C3120" s="87">
        <v>2021</v>
      </c>
      <c r="D3120" s="87" t="s">
        <v>15</v>
      </c>
      <c r="E3120" s="116">
        <v>162</v>
      </c>
      <c r="F3120" s="87" t="s">
        <v>967</v>
      </c>
      <c r="G3120" s="87" t="s">
        <v>272</v>
      </c>
      <c r="H3120" s="87" t="s">
        <v>967</v>
      </c>
      <c r="I3120" s="87">
        <v>1</v>
      </c>
    </row>
    <row r="3121" spans="1:9" ht="15" customHeight="1" x14ac:dyDescent="0.25">
      <c r="A3121" s="87" t="s">
        <v>38</v>
      </c>
      <c r="B3121" s="87" t="s">
        <v>359</v>
      </c>
      <c r="C3121" s="87">
        <v>2022</v>
      </c>
      <c r="D3121" s="87" t="s">
        <v>15</v>
      </c>
      <c r="E3121" s="116">
        <v>402</v>
      </c>
      <c r="F3121" s="87" t="s">
        <v>967</v>
      </c>
      <c r="G3121" s="87" t="s">
        <v>272</v>
      </c>
      <c r="H3121" s="87" t="s">
        <v>967</v>
      </c>
      <c r="I3121" s="87">
        <v>1</v>
      </c>
    </row>
    <row r="3122" spans="1:9" ht="15" customHeight="1" x14ac:dyDescent="0.25">
      <c r="A3122" s="87" t="s">
        <v>38</v>
      </c>
      <c r="B3122" s="87" t="s">
        <v>360</v>
      </c>
      <c r="C3122" s="87">
        <v>1975</v>
      </c>
      <c r="D3122" s="87" t="s">
        <v>15</v>
      </c>
      <c r="E3122" s="116">
        <v>200</v>
      </c>
      <c r="F3122" s="87" t="s">
        <v>768</v>
      </c>
      <c r="G3122" s="87" t="s">
        <v>967</v>
      </c>
      <c r="H3122" s="87" t="s">
        <v>768</v>
      </c>
      <c r="I3122" s="87">
        <v>11</v>
      </c>
    </row>
    <row r="3123" spans="1:9" ht="15" customHeight="1" x14ac:dyDescent="0.25">
      <c r="A3123" s="87" t="s">
        <v>38</v>
      </c>
      <c r="B3123" s="87" t="s">
        <v>360</v>
      </c>
      <c r="C3123" s="87">
        <v>1976</v>
      </c>
      <c r="D3123" s="87" t="s">
        <v>15</v>
      </c>
      <c r="E3123" s="116">
        <v>400</v>
      </c>
      <c r="F3123" s="87" t="s">
        <v>768</v>
      </c>
      <c r="G3123" s="87" t="s">
        <v>967</v>
      </c>
      <c r="H3123" s="87" t="s">
        <v>768</v>
      </c>
      <c r="I3123" s="87">
        <v>11</v>
      </c>
    </row>
    <row r="3124" spans="1:9" ht="15" customHeight="1" x14ac:dyDescent="0.25">
      <c r="A3124" s="87" t="s">
        <v>38</v>
      </c>
      <c r="B3124" s="87" t="s">
        <v>360</v>
      </c>
      <c r="C3124" s="87">
        <v>1977</v>
      </c>
      <c r="D3124" s="87" t="s">
        <v>15</v>
      </c>
      <c r="E3124" s="116">
        <v>400</v>
      </c>
      <c r="F3124" s="87" t="s">
        <v>768</v>
      </c>
      <c r="G3124" s="87" t="s">
        <v>967</v>
      </c>
      <c r="H3124" s="87" t="s">
        <v>768</v>
      </c>
      <c r="I3124" s="87">
        <v>11</v>
      </c>
    </row>
    <row r="3125" spans="1:9" ht="15" customHeight="1" x14ac:dyDescent="0.25">
      <c r="A3125" s="87" t="s">
        <v>38</v>
      </c>
      <c r="B3125" s="87" t="s">
        <v>360</v>
      </c>
      <c r="C3125" s="87">
        <v>1978</v>
      </c>
      <c r="D3125" s="87" t="s">
        <v>15</v>
      </c>
      <c r="E3125" s="116">
        <v>200</v>
      </c>
      <c r="F3125" s="87" t="s">
        <v>768</v>
      </c>
      <c r="G3125" s="87" t="s">
        <v>967</v>
      </c>
      <c r="H3125" s="87" t="s">
        <v>768</v>
      </c>
      <c r="I3125" s="87">
        <v>11</v>
      </c>
    </row>
    <row r="3126" spans="1:9" ht="15" customHeight="1" x14ac:dyDescent="0.25">
      <c r="A3126" s="87" t="s">
        <v>38</v>
      </c>
      <c r="B3126" s="87" t="s">
        <v>360</v>
      </c>
      <c r="C3126" s="87">
        <v>1979</v>
      </c>
      <c r="D3126" s="87" t="s">
        <v>15</v>
      </c>
      <c r="E3126" s="116">
        <v>750</v>
      </c>
      <c r="F3126" s="87" t="s">
        <v>768</v>
      </c>
      <c r="G3126" s="87" t="s">
        <v>967</v>
      </c>
      <c r="H3126" s="87" t="s">
        <v>768</v>
      </c>
      <c r="I3126" s="87">
        <v>11</v>
      </c>
    </row>
    <row r="3127" spans="1:9" ht="15" customHeight="1" x14ac:dyDescent="0.25">
      <c r="A3127" s="87" t="s">
        <v>38</v>
      </c>
      <c r="B3127" s="87" t="s">
        <v>360</v>
      </c>
      <c r="C3127" s="87">
        <v>1980</v>
      </c>
      <c r="D3127" s="87" t="s">
        <v>15</v>
      </c>
      <c r="E3127" s="116">
        <v>550</v>
      </c>
      <c r="F3127" s="87" t="s">
        <v>768</v>
      </c>
      <c r="G3127" s="87" t="s">
        <v>967</v>
      </c>
      <c r="H3127" s="87" t="s">
        <v>768</v>
      </c>
      <c r="I3127" s="87">
        <v>11</v>
      </c>
    </row>
    <row r="3128" spans="1:9" ht="15" customHeight="1" x14ac:dyDescent="0.25">
      <c r="A3128" s="87" t="s">
        <v>38</v>
      </c>
      <c r="B3128" s="87" t="s">
        <v>360</v>
      </c>
      <c r="C3128" s="87">
        <v>1981</v>
      </c>
      <c r="D3128" s="87" t="s">
        <v>15</v>
      </c>
      <c r="E3128" s="116">
        <v>510</v>
      </c>
      <c r="F3128" s="87" t="s">
        <v>768</v>
      </c>
      <c r="G3128" s="87" t="s">
        <v>967</v>
      </c>
      <c r="H3128" s="87" t="s">
        <v>768</v>
      </c>
      <c r="I3128" s="87">
        <v>11</v>
      </c>
    </row>
    <row r="3129" spans="1:9" ht="15" customHeight="1" x14ac:dyDescent="0.25">
      <c r="A3129" s="87" t="s">
        <v>38</v>
      </c>
      <c r="B3129" s="87" t="s">
        <v>360</v>
      </c>
      <c r="C3129" s="87">
        <v>1982</v>
      </c>
      <c r="D3129" s="87" t="s">
        <v>15</v>
      </c>
      <c r="E3129" s="116">
        <v>300</v>
      </c>
      <c r="F3129" s="87" t="s">
        <v>768</v>
      </c>
      <c r="G3129" s="87" t="s">
        <v>967</v>
      </c>
      <c r="H3129" s="87" t="s">
        <v>768</v>
      </c>
      <c r="I3129" s="87">
        <v>11</v>
      </c>
    </row>
    <row r="3130" spans="1:9" ht="15" customHeight="1" x14ac:dyDescent="0.25">
      <c r="A3130" s="87" t="s">
        <v>38</v>
      </c>
      <c r="B3130" s="87" t="s">
        <v>360</v>
      </c>
      <c r="C3130" s="87">
        <v>1983</v>
      </c>
      <c r="D3130" s="87" t="s">
        <v>15</v>
      </c>
      <c r="E3130" s="116">
        <v>1000</v>
      </c>
      <c r="F3130" s="87" t="s">
        <v>768</v>
      </c>
      <c r="G3130" s="87" t="s">
        <v>967</v>
      </c>
      <c r="H3130" s="87" t="s">
        <v>768</v>
      </c>
      <c r="I3130" s="87">
        <v>11</v>
      </c>
    </row>
    <row r="3131" spans="1:9" ht="15" customHeight="1" x14ac:dyDescent="0.25">
      <c r="A3131" s="87" t="s">
        <v>38</v>
      </c>
      <c r="B3131" s="87" t="s">
        <v>360</v>
      </c>
      <c r="C3131" s="87">
        <v>1984</v>
      </c>
      <c r="D3131" s="87" t="s">
        <v>15</v>
      </c>
      <c r="E3131" s="116">
        <v>1500</v>
      </c>
      <c r="F3131" s="87" t="s">
        <v>768</v>
      </c>
      <c r="G3131" s="87" t="s">
        <v>967</v>
      </c>
      <c r="H3131" s="87" t="s">
        <v>768</v>
      </c>
      <c r="I3131" s="87">
        <v>11</v>
      </c>
    </row>
    <row r="3132" spans="1:9" ht="15" customHeight="1" x14ac:dyDescent="0.25">
      <c r="A3132" s="87" t="s">
        <v>38</v>
      </c>
      <c r="B3132" s="87" t="s">
        <v>360</v>
      </c>
      <c r="C3132" s="87">
        <v>1985</v>
      </c>
      <c r="D3132" s="87" t="s">
        <v>15</v>
      </c>
      <c r="E3132" s="116">
        <v>1500</v>
      </c>
      <c r="F3132" s="87" t="s">
        <v>768</v>
      </c>
      <c r="G3132" s="87" t="s">
        <v>967</v>
      </c>
      <c r="H3132" s="87" t="s">
        <v>768</v>
      </c>
      <c r="I3132" s="87">
        <v>11</v>
      </c>
    </row>
    <row r="3133" spans="1:9" ht="15" customHeight="1" x14ac:dyDescent="0.25">
      <c r="A3133" s="87" t="s">
        <v>38</v>
      </c>
      <c r="B3133" s="87" t="s">
        <v>360</v>
      </c>
      <c r="C3133" s="87">
        <v>1986</v>
      </c>
      <c r="D3133" s="87" t="s">
        <v>15</v>
      </c>
      <c r="E3133" s="116">
        <v>3000</v>
      </c>
      <c r="F3133" s="87" t="s">
        <v>768</v>
      </c>
      <c r="G3133" s="87" t="s">
        <v>967</v>
      </c>
      <c r="H3133" s="87" t="s">
        <v>768</v>
      </c>
      <c r="I3133" s="87">
        <v>11</v>
      </c>
    </row>
    <row r="3134" spans="1:9" ht="15" customHeight="1" x14ac:dyDescent="0.25">
      <c r="A3134" s="87" t="s">
        <v>38</v>
      </c>
      <c r="B3134" s="87" t="s">
        <v>360</v>
      </c>
      <c r="C3134" s="87">
        <v>1987</v>
      </c>
      <c r="D3134" s="87" t="s">
        <v>15</v>
      </c>
      <c r="E3134" s="116">
        <v>2800</v>
      </c>
      <c r="F3134" s="87" t="s">
        <v>768</v>
      </c>
      <c r="G3134" s="87" t="s">
        <v>967</v>
      </c>
      <c r="H3134" s="87" t="s">
        <v>768</v>
      </c>
      <c r="I3134" s="87">
        <v>11</v>
      </c>
    </row>
    <row r="3135" spans="1:9" ht="15" customHeight="1" x14ac:dyDescent="0.25">
      <c r="A3135" s="87" t="s">
        <v>38</v>
      </c>
      <c r="B3135" s="87" t="s">
        <v>360</v>
      </c>
      <c r="C3135" s="87">
        <v>1988</v>
      </c>
      <c r="D3135" s="87" t="s">
        <v>15</v>
      </c>
      <c r="E3135" s="116">
        <v>2000</v>
      </c>
      <c r="F3135" s="87" t="s">
        <v>768</v>
      </c>
      <c r="G3135" s="87" t="s">
        <v>967</v>
      </c>
      <c r="H3135" s="87" t="s">
        <v>768</v>
      </c>
      <c r="I3135" s="87">
        <v>11</v>
      </c>
    </row>
    <row r="3136" spans="1:9" ht="15" customHeight="1" x14ac:dyDescent="0.25">
      <c r="A3136" s="87" t="s">
        <v>38</v>
      </c>
      <c r="B3136" s="87" t="s">
        <v>360</v>
      </c>
      <c r="C3136" s="87">
        <v>1989</v>
      </c>
      <c r="D3136" s="87" t="s">
        <v>15</v>
      </c>
      <c r="E3136" s="116">
        <v>1900</v>
      </c>
      <c r="F3136" s="87" t="s">
        <v>768</v>
      </c>
      <c r="G3136" s="87" t="s">
        <v>967</v>
      </c>
      <c r="H3136" s="87" t="s">
        <v>768</v>
      </c>
      <c r="I3136" s="87">
        <v>11</v>
      </c>
    </row>
    <row r="3137" spans="1:9" ht="15" customHeight="1" x14ac:dyDescent="0.25">
      <c r="A3137" s="87" t="s">
        <v>38</v>
      </c>
      <c r="B3137" s="87" t="s">
        <v>360</v>
      </c>
      <c r="C3137" s="87">
        <v>1990</v>
      </c>
      <c r="D3137" s="87" t="s">
        <v>15</v>
      </c>
      <c r="E3137" s="116">
        <v>2000</v>
      </c>
      <c r="F3137" s="87" t="s">
        <v>768</v>
      </c>
      <c r="G3137" s="87" t="s">
        <v>967</v>
      </c>
      <c r="H3137" s="87" t="s">
        <v>768</v>
      </c>
      <c r="I3137" s="87">
        <v>11</v>
      </c>
    </row>
    <row r="3138" spans="1:9" ht="15" customHeight="1" x14ac:dyDescent="0.25">
      <c r="A3138" s="87" t="s">
        <v>38</v>
      </c>
      <c r="B3138" s="87" t="s">
        <v>360</v>
      </c>
      <c r="C3138" s="87">
        <v>1991</v>
      </c>
      <c r="D3138" s="87" t="s">
        <v>15</v>
      </c>
      <c r="E3138" s="116">
        <v>2000</v>
      </c>
      <c r="F3138" s="87" t="s">
        <v>768</v>
      </c>
      <c r="G3138" s="87" t="s">
        <v>967</v>
      </c>
      <c r="H3138" s="87" t="s">
        <v>768</v>
      </c>
      <c r="I3138" s="87">
        <v>11</v>
      </c>
    </row>
    <row r="3139" spans="1:9" ht="15" customHeight="1" x14ac:dyDescent="0.25">
      <c r="A3139" s="87" t="s">
        <v>38</v>
      </c>
      <c r="B3139" s="87" t="s">
        <v>360</v>
      </c>
      <c r="C3139" s="87">
        <v>1992</v>
      </c>
      <c r="D3139" s="87" t="s">
        <v>15</v>
      </c>
      <c r="E3139" s="116">
        <v>2600</v>
      </c>
      <c r="F3139" s="87" t="s">
        <v>768</v>
      </c>
      <c r="G3139" s="87" t="s">
        <v>967</v>
      </c>
      <c r="H3139" s="87" t="s">
        <v>768</v>
      </c>
      <c r="I3139" s="87">
        <v>11</v>
      </c>
    </row>
    <row r="3140" spans="1:9" ht="15" customHeight="1" x14ac:dyDescent="0.25">
      <c r="A3140" s="87" t="s">
        <v>38</v>
      </c>
      <c r="B3140" s="87" t="s">
        <v>360</v>
      </c>
      <c r="C3140" s="87">
        <v>1993</v>
      </c>
      <c r="D3140" s="87" t="s">
        <v>15</v>
      </c>
      <c r="E3140" s="116">
        <v>1000</v>
      </c>
      <c r="F3140" s="87" t="s">
        <v>768</v>
      </c>
      <c r="G3140" s="87" t="s">
        <v>967</v>
      </c>
      <c r="H3140" s="87" t="s">
        <v>768</v>
      </c>
      <c r="I3140" s="87">
        <v>11</v>
      </c>
    </row>
    <row r="3141" spans="1:9" ht="15" customHeight="1" x14ac:dyDescent="0.25">
      <c r="A3141" s="87" t="s">
        <v>38</v>
      </c>
      <c r="B3141" s="87" t="s">
        <v>360</v>
      </c>
      <c r="C3141" s="87">
        <v>1994</v>
      </c>
      <c r="D3141" s="87" t="s">
        <v>15</v>
      </c>
      <c r="E3141" s="116">
        <v>1921</v>
      </c>
      <c r="F3141" s="87" t="s">
        <v>768</v>
      </c>
      <c r="G3141" s="87" t="s">
        <v>967</v>
      </c>
      <c r="H3141" s="87" t="s">
        <v>768</v>
      </c>
      <c r="I3141" s="87">
        <v>11</v>
      </c>
    </row>
    <row r="3142" spans="1:9" ht="15" customHeight="1" x14ac:dyDescent="0.25">
      <c r="A3142" s="87" t="s">
        <v>38</v>
      </c>
      <c r="B3142" s="87" t="s">
        <v>360</v>
      </c>
      <c r="C3142" s="87">
        <v>1995</v>
      </c>
      <c r="D3142" s="87" t="s">
        <v>15</v>
      </c>
      <c r="E3142" s="116">
        <v>1422</v>
      </c>
      <c r="F3142" s="87" t="s">
        <v>967</v>
      </c>
      <c r="G3142" s="87" t="s">
        <v>967</v>
      </c>
      <c r="H3142" s="87" t="s">
        <v>967</v>
      </c>
      <c r="I3142" s="87">
        <v>11</v>
      </c>
    </row>
    <row r="3143" spans="1:9" ht="15" customHeight="1" x14ac:dyDescent="0.25">
      <c r="A3143" s="87" t="s">
        <v>38</v>
      </c>
      <c r="B3143" s="87" t="s">
        <v>360</v>
      </c>
      <c r="C3143" s="87">
        <v>1996</v>
      </c>
      <c r="D3143" s="87" t="s">
        <v>15</v>
      </c>
      <c r="E3143" s="116">
        <v>738</v>
      </c>
      <c r="F3143" s="87" t="s">
        <v>967</v>
      </c>
      <c r="G3143" s="87" t="s">
        <v>967</v>
      </c>
      <c r="H3143" s="87" t="s">
        <v>850</v>
      </c>
      <c r="I3143" s="87">
        <v>11</v>
      </c>
    </row>
    <row r="3144" spans="1:9" ht="15" customHeight="1" x14ac:dyDescent="0.25">
      <c r="A3144" s="87" t="s">
        <v>38</v>
      </c>
      <c r="B3144" s="87" t="s">
        <v>360</v>
      </c>
      <c r="C3144" s="87">
        <v>1997</v>
      </c>
      <c r="D3144" s="87" t="s">
        <v>15</v>
      </c>
      <c r="E3144" s="116">
        <v>1042</v>
      </c>
      <c r="F3144" s="87" t="s">
        <v>967</v>
      </c>
      <c r="G3144" s="87" t="s">
        <v>967</v>
      </c>
      <c r="H3144" s="87" t="s">
        <v>850</v>
      </c>
      <c r="I3144" s="87">
        <v>11</v>
      </c>
    </row>
    <row r="3145" spans="1:9" ht="15" customHeight="1" x14ac:dyDescent="0.25">
      <c r="A3145" s="87" t="s">
        <v>38</v>
      </c>
      <c r="B3145" s="87" t="s">
        <v>360</v>
      </c>
      <c r="C3145" s="87">
        <v>1998</v>
      </c>
      <c r="D3145" s="87" t="s">
        <v>15</v>
      </c>
      <c r="E3145" s="116">
        <v>2293</v>
      </c>
      <c r="F3145" s="87" t="s">
        <v>340</v>
      </c>
      <c r="G3145" s="87" t="s">
        <v>272</v>
      </c>
      <c r="H3145" s="87" t="s">
        <v>967</v>
      </c>
      <c r="I3145" s="87">
        <v>11</v>
      </c>
    </row>
    <row r="3146" spans="1:9" ht="15" customHeight="1" x14ac:dyDescent="0.25">
      <c r="A3146" s="87" t="s">
        <v>38</v>
      </c>
      <c r="B3146" s="87" t="s">
        <v>360</v>
      </c>
      <c r="C3146" s="87">
        <v>1999</v>
      </c>
      <c r="D3146" s="87" t="s">
        <v>15</v>
      </c>
      <c r="E3146" s="116">
        <v>1503</v>
      </c>
      <c r="F3146" s="87" t="s">
        <v>967</v>
      </c>
      <c r="G3146" s="87" t="s">
        <v>272</v>
      </c>
      <c r="H3146" s="87" t="s">
        <v>967</v>
      </c>
      <c r="I3146" s="87">
        <v>11</v>
      </c>
    </row>
    <row r="3147" spans="1:9" ht="15" customHeight="1" x14ac:dyDescent="0.25">
      <c r="A3147" s="87" t="s">
        <v>38</v>
      </c>
      <c r="B3147" s="87" t="s">
        <v>360</v>
      </c>
      <c r="C3147" s="87">
        <v>2000</v>
      </c>
      <c r="D3147" s="87" t="s">
        <v>15</v>
      </c>
      <c r="E3147" s="116">
        <v>1466</v>
      </c>
      <c r="F3147" s="87" t="s">
        <v>967</v>
      </c>
      <c r="G3147" s="87" t="s">
        <v>272</v>
      </c>
      <c r="H3147" s="87" t="s">
        <v>967</v>
      </c>
      <c r="I3147" s="87">
        <v>11</v>
      </c>
    </row>
    <row r="3148" spans="1:9" ht="15" customHeight="1" x14ac:dyDescent="0.25">
      <c r="A3148" s="87" t="s">
        <v>38</v>
      </c>
      <c r="B3148" s="87" t="s">
        <v>360</v>
      </c>
      <c r="C3148" s="87">
        <v>2001</v>
      </c>
      <c r="D3148" s="87" t="s">
        <v>15</v>
      </c>
      <c r="E3148" s="116">
        <v>1755</v>
      </c>
      <c r="F3148" s="87" t="s">
        <v>967</v>
      </c>
      <c r="G3148" s="87" t="s">
        <v>272</v>
      </c>
      <c r="H3148" s="87" t="s">
        <v>967</v>
      </c>
      <c r="I3148" s="87">
        <v>11</v>
      </c>
    </row>
    <row r="3149" spans="1:9" ht="15" customHeight="1" x14ac:dyDescent="0.25">
      <c r="A3149" s="87" t="s">
        <v>38</v>
      </c>
      <c r="B3149" s="87" t="s">
        <v>360</v>
      </c>
      <c r="C3149" s="87">
        <v>2002</v>
      </c>
      <c r="D3149" s="87" t="s">
        <v>15</v>
      </c>
      <c r="E3149" s="116">
        <v>2565</v>
      </c>
      <c r="F3149" s="87" t="s">
        <v>967</v>
      </c>
      <c r="G3149" s="87" t="s">
        <v>272</v>
      </c>
      <c r="H3149" s="87" t="s">
        <v>967</v>
      </c>
      <c r="I3149" s="87">
        <v>11</v>
      </c>
    </row>
    <row r="3150" spans="1:9" ht="15" customHeight="1" x14ac:dyDescent="0.25">
      <c r="A3150" s="87" t="s">
        <v>38</v>
      </c>
      <c r="B3150" s="87" t="s">
        <v>360</v>
      </c>
      <c r="C3150" s="87">
        <v>2003</v>
      </c>
      <c r="D3150" s="87" t="s">
        <v>15</v>
      </c>
      <c r="E3150" s="116">
        <v>4457</v>
      </c>
      <c r="F3150" s="87" t="s">
        <v>967</v>
      </c>
      <c r="G3150" s="87" t="s">
        <v>272</v>
      </c>
      <c r="H3150" s="87" t="s">
        <v>967</v>
      </c>
      <c r="I3150" s="87">
        <v>11</v>
      </c>
    </row>
    <row r="3151" spans="1:9" ht="15" customHeight="1" x14ac:dyDescent="0.25">
      <c r="A3151" s="87" t="s">
        <v>38</v>
      </c>
      <c r="B3151" s="87" t="s">
        <v>360</v>
      </c>
      <c r="C3151" s="87">
        <v>2004</v>
      </c>
      <c r="D3151" s="87" t="s">
        <v>15</v>
      </c>
      <c r="E3151" s="116">
        <v>2730</v>
      </c>
      <c r="F3151" s="87" t="s">
        <v>967</v>
      </c>
      <c r="G3151" s="87" t="s">
        <v>272</v>
      </c>
      <c r="H3151" s="87" t="s">
        <v>967</v>
      </c>
      <c r="I3151" s="87">
        <v>11</v>
      </c>
    </row>
    <row r="3152" spans="1:9" ht="15" customHeight="1" x14ac:dyDescent="0.25">
      <c r="A3152" s="87" t="s">
        <v>38</v>
      </c>
      <c r="B3152" s="87" t="s">
        <v>360</v>
      </c>
      <c r="C3152" s="87">
        <v>2005</v>
      </c>
      <c r="D3152" s="87" t="s">
        <v>15</v>
      </c>
      <c r="E3152" s="116">
        <v>1027</v>
      </c>
      <c r="F3152" s="87" t="s">
        <v>967</v>
      </c>
      <c r="G3152" s="87" t="s">
        <v>272</v>
      </c>
      <c r="H3152" s="87" t="s">
        <v>967</v>
      </c>
      <c r="I3152" s="87">
        <v>11</v>
      </c>
    </row>
    <row r="3153" spans="1:9" ht="15" customHeight="1" x14ac:dyDescent="0.25">
      <c r="A3153" s="87" t="s">
        <v>38</v>
      </c>
      <c r="B3153" s="87" t="s">
        <v>360</v>
      </c>
      <c r="C3153" s="87">
        <v>2006</v>
      </c>
      <c r="D3153" s="87" t="s">
        <v>15</v>
      </c>
      <c r="E3153" s="116">
        <v>1221</v>
      </c>
      <c r="F3153" s="87" t="s">
        <v>967</v>
      </c>
      <c r="G3153" s="87" t="s">
        <v>272</v>
      </c>
      <c r="H3153" s="87" t="s">
        <v>851</v>
      </c>
      <c r="I3153" s="87">
        <v>11</v>
      </c>
    </row>
    <row r="3154" spans="1:9" ht="15" customHeight="1" x14ac:dyDescent="0.25">
      <c r="A3154" s="87" t="s">
        <v>38</v>
      </c>
      <c r="B3154" s="87" t="s">
        <v>360</v>
      </c>
      <c r="C3154" s="87">
        <v>2007</v>
      </c>
      <c r="D3154" s="87" t="s">
        <v>15</v>
      </c>
      <c r="E3154" s="116">
        <v>886</v>
      </c>
      <c r="F3154" s="87" t="s">
        <v>967</v>
      </c>
      <c r="G3154" s="87" t="s">
        <v>272</v>
      </c>
      <c r="H3154" s="87" t="s">
        <v>967</v>
      </c>
      <c r="I3154" s="87">
        <v>11</v>
      </c>
    </row>
    <row r="3155" spans="1:9" ht="15" customHeight="1" x14ac:dyDescent="0.25">
      <c r="A3155" s="87" t="s">
        <v>38</v>
      </c>
      <c r="B3155" s="87" t="s">
        <v>360</v>
      </c>
      <c r="C3155" s="87">
        <v>2008</v>
      </c>
      <c r="D3155" s="87" t="s">
        <v>15</v>
      </c>
      <c r="E3155" s="116">
        <v>941</v>
      </c>
      <c r="F3155" s="87" t="s">
        <v>967</v>
      </c>
      <c r="G3155" s="87" t="s">
        <v>272</v>
      </c>
      <c r="H3155" s="87" t="s">
        <v>967</v>
      </c>
      <c r="I3155" s="87">
        <v>11</v>
      </c>
    </row>
    <row r="3156" spans="1:9" ht="15" customHeight="1" x14ac:dyDescent="0.25">
      <c r="A3156" s="87" t="s">
        <v>38</v>
      </c>
      <c r="B3156" s="87" t="s">
        <v>360</v>
      </c>
      <c r="C3156" s="87">
        <v>2009</v>
      </c>
      <c r="D3156" s="87" t="s">
        <v>15</v>
      </c>
      <c r="E3156" s="116">
        <v>1966</v>
      </c>
      <c r="F3156" s="87" t="s">
        <v>967</v>
      </c>
      <c r="G3156" s="87" t="s">
        <v>272</v>
      </c>
      <c r="H3156" s="87" t="s">
        <v>967</v>
      </c>
      <c r="I3156" s="87">
        <v>11</v>
      </c>
    </row>
    <row r="3157" spans="1:9" ht="15" customHeight="1" x14ac:dyDescent="0.25">
      <c r="A3157" s="87" t="s">
        <v>38</v>
      </c>
      <c r="B3157" s="87" t="s">
        <v>360</v>
      </c>
      <c r="C3157" s="87">
        <v>2010</v>
      </c>
      <c r="D3157" s="87" t="s">
        <v>15</v>
      </c>
      <c r="E3157" s="116">
        <v>905</v>
      </c>
      <c r="F3157" s="87" t="s">
        <v>967</v>
      </c>
      <c r="G3157" s="87" t="s">
        <v>272</v>
      </c>
      <c r="H3157" s="87" t="s">
        <v>852</v>
      </c>
      <c r="I3157" s="87">
        <v>11</v>
      </c>
    </row>
    <row r="3158" spans="1:9" ht="15" customHeight="1" x14ac:dyDescent="0.25">
      <c r="A3158" s="87" t="s">
        <v>38</v>
      </c>
      <c r="B3158" s="87" t="s">
        <v>360</v>
      </c>
      <c r="C3158" s="87">
        <v>2011</v>
      </c>
      <c r="D3158" s="87" t="s">
        <v>15</v>
      </c>
      <c r="E3158" s="116">
        <v>698</v>
      </c>
      <c r="F3158" s="87" t="s">
        <v>967</v>
      </c>
      <c r="G3158" s="87" t="s">
        <v>272</v>
      </c>
      <c r="H3158" s="87" t="s">
        <v>967</v>
      </c>
      <c r="I3158" s="87">
        <v>11</v>
      </c>
    </row>
    <row r="3159" spans="1:9" ht="15" customHeight="1" x14ac:dyDescent="0.25">
      <c r="A3159" s="87" t="s">
        <v>38</v>
      </c>
      <c r="B3159" s="87" t="s">
        <v>360</v>
      </c>
      <c r="C3159" s="87">
        <v>2012</v>
      </c>
      <c r="D3159" s="87" t="s">
        <v>15</v>
      </c>
      <c r="E3159" s="116">
        <v>615</v>
      </c>
      <c r="F3159" s="87" t="s">
        <v>967</v>
      </c>
      <c r="G3159" s="87" t="s">
        <v>272</v>
      </c>
      <c r="H3159" s="87" t="s">
        <v>967</v>
      </c>
      <c r="I3159" s="87">
        <v>11</v>
      </c>
    </row>
    <row r="3160" spans="1:9" ht="15" customHeight="1" x14ac:dyDescent="0.25">
      <c r="A3160" s="87" t="s">
        <v>38</v>
      </c>
      <c r="B3160" s="87" t="s">
        <v>360</v>
      </c>
      <c r="C3160" s="87">
        <v>2013</v>
      </c>
      <c r="D3160" s="87" t="s">
        <v>15</v>
      </c>
      <c r="E3160" s="116">
        <v>1038</v>
      </c>
      <c r="F3160" s="87" t="s">
        <v>967</v>
      </c>
      <c r="G3160" s="87" t="s">
        <v>272</v>
      </c>
      <c r="H3160" s="87" t="s">
        <v>853</v>
      </c>
      <c r="I3160" s="87">
        <v>11</v>
      </c>
    </row>
    <row r="3161" spans="1:9" ht="15" customHeight="1" x14ac:dyDescent="0.25">
      <c r="A3161" s="87" t="s">
        <v>38</v>
      </c>
      <c r="B3161" s="87" t="s">
        <v>360</v>
      </c>
      <c r="C3161" s="87">
        <v>2014</v>
      </c>
      <c r="D3161" s="87" t="s">
        <v>15</v>
      </c>
      <c r="E3161" s="116">
        <v>1160</v>
      </c>
      <c r="F3161" s="87" t="s">
        <v>967</v>
      </c>
      <c r="G3161" s="87" t="s">
        <v>272</v>
      </c>
      <c r="H3161" s="87" t="s">
        <v>853</v>
      </c>
      <c r="I3161" s="87">
        <v>11</v>
      </c>
    </row>
    <row r="3162" spans="1:9" ht="15" customHeight="1" x14ac:dyDescent="0.25">
      <c r="A3162" s="87" t="s">
        <v>38</v>
      </c>
      <c r="B3162" s="87" t="s">
        <v>360</v>
      </c>
      <c r="C3162" s="87">
        <v>2015</v>
      </c>
      <c r="D3162" s="87" t="s">
        <v>15</v>
      </c>
      <c r="E3162" s="116">
        <v>1063</v>
      </c>
      <c r="F3162" s="87" t="s">
        <v>967</v>
      </c>
      <c r="G3162" s="87" t="s">
        <v>272</v>
      </c>
      <c r="H3162" s="87" t="s">
        <v>854</v>
      </c>
      <c r="I3162" s="87">
        <v>11</v>
      </c>
    </row>
    <row r="3163" spans="1:9" ht="15" customHeight="1" x14ac:dyDescent="0.25">
      <c r="A3163" s="87" t="s">
        <v>38</v>
      </c>
      <c r="B3163" s="87" t="s">
        <v>360</v>
      </c>
      <c r="C3163" s="87">
        <v>2016</v>
      </c>
      <c r="D3163" s="87" t="s">
        <v>15</v>
      </c>
      <c r="E3163" s="116">
        <v>715</v>
      </c>
      <c r="F3163" s="87" t="s">
        <v>967</v>
      </c>
      <c r="G3163" s="87" t="s">
        <v>272</v>
      </c>
      <c r="H3163" s="87" t="s">
        <v>967</v>
      </c>
      <c r="I3163" s="87">
        <v>11</v>
      </c>
    </row>
    <row r="3164" spans="1:9" ht="15" customHeight="1" x14ac:dyDescent="0.25">
      <c r="A3164" s="87" t="s">
        <v>38</v>
      </c>
      <c r="B3164" s="87" t="s">
        <v>360</v>
      </c>
      <c r="C3164" s="87">
        <v>2017</v>
      </c>
      <c r="D3164" s="87" t="s">
        <v>15</v>
      </c>
      <c r="E3164" s="116">
        <v>588</v>
      </c>
      <c r="F3164" s="87" t="s">
        <v>967</v>
      </c>
      <c r="G3164" s="87" t="s">
        <v>272</v>
      </c>
      <c r="H3164" s="87" t="s">
        <v>967</v>
      </c>
      <c r="I3164" s="87">
        <v>11</v>
      </c>
    </row>
    <row r="3165" spans="1:9" ht="15" customHeight="1" x14ac:dyDescent="0.25">
      <c r="A3165" s="87" t="s">
        <v>38</v>
      </c>
      <c r="B3165" s="87" t="s">
        <v>360</v>
      </c>
      <c r="C3165" s="87">
        <v>2018</v>
      </c>
      <c r="D3165" s="87" t="s">
        <v>15</v>
      </c>
      <c r="E3165" s="116">
        <v>643</v>
      </c>
      <c r="F3165" s="87" t="s">
        <v>967</v>
      </c>
      <c r="G3165" s="87" t="s">
        <v>272</v>
      </c>
      <c r="H3165" s="87" t="s">
        <v>967</v>
      </c>
      <c r="I3165" s="87">
        <v>11</v>
      </c>
    </row>
    <row r="3166" spans="1:9" ht="15" customHeight="1" x14ac:dyDescent="0.25">
      <c r="A3166" s="87" t="s">
        <v>38</v>
      </c>
      <c r="B3166" s="87" t="s">
        <v>360</v>
      </c>
      <c r="C3166" s="87">
        <v>2019</v>
      </c>
      <c r="D3166" s="87" t="s">
        <v>15</v>
      </c>
      <c r="E3166" s="116">
        <v>8</v>
      </c>
      <c r="F3166" s="87" t="s">
        <v>967</v>
      </c>
      <c r="G3166" s="87" t="s">
        <v>272</v>
      </c>
      <c r="H3166" s="87" t="s">
        <v>967</v>
      </c>
      <c r="I3166" s="87">
        <v>11</v>
      </c>
    </row>
    <row r="3167" spans="1:9" ht="15" customHeight="1" x14ac:dyDescent="0.25">
      <c r="A3167" s="87" t="s">
        <v>38</v>
      </c>
      <c r="B3167" s="87" t="s">
        <v>360</v>
      </c>
      <c r="C3167" s="87">
        <v>2020</v>
      </c>
      <c r="D3167" s="87" t="s">
        <v>15</v>
      </c>
      <c r="E3167" s="116">
        <v>469</v>
      </c>
      <c r="F3167" s="87" t="s">
        <v>967</v>
      </c>
      <c r="G3167" s="87" t="s">
        <v>272</v>
      </c>
      <c r="H3167" s="87" t="s">
        <v>967</v>
      </c>
      <c r="I3167" s="87">
        <v>11</v>
      </c>
    </row>
    <row r="3168" spans="1:9" ht="15" customHeight="1" x14ac:dyDescent="0.25">
      <c r="A3168" s="87" t="s">
        <v>38</v>
      </c>
      <c r="B3168" s="87" t="s">
        <v>360</v>
      </c>
      <c r="C3168" s="87">
        <v>2021</v>
      </c>
      <c r="D3168" s="87" t="s">
        <v>15</v>
      </c>
      <c r="E3168" s="116">
        <v>882</v>
      </c>
      <c r="F3168" s="87" t="s">
        <v>967</v>
      </c>
      <c r="G3168" s="87" t="s">
        <v>272</v>
      </c>
      <c r="H3168" s="87" t="s">
        <v>967</v>
      </c>
      <c r="I3168" s="87">
        <v>11</v>
      </c>
    </row>
    <row r="3169" spans="1:9" ht="15" customHeight="1" x14ac:dyDescent="0.25">
      <c r="A3169" s="87" t="s">
        <v>38</v>
      </c>
      <c r="B3169" s="87" t="s">
        <v>360</v>
      </c>
      <c r="C3169" s="87">
        <v>2022</v>
      </c>
      <c r="D3169" s="87" t="s">
        <v>15</v>
      </c>
      <c r="E3169" s="116">
        <v>1048</v>
      </c>
      <c r="F3169" s="87" t="s">
        <v>967</v>
      </c>
      <c r="G3169" s="87" t="s">
        <v>272</v>
      </c>
      <c r="H3169" s="87" t="s">
        <v>967</v>
      </c>
      <c r="I3169" s="87">
        <v>11</v>
      </c>
    </row>
    <row r="3170" spans="1:9" ht="15" customHeight="1" x14ac:dyDescent="0.25">
      <c r="A3170" s="87" t="s">
        <v>38</v>
      </c>
      <c r="B3170" s="87" t="s">
        <v>363</v>
      </c>
      <c r="C3170" s="87">
        <v>1975</v>
      </c>
      <c r="D3170" s="87" t="s">
        <v>15</v>
      </c>
      <c r="E3170" s="116">
        <v>200</v>
      </c>
      <c r="F3170" s="87" t="s">
        <v>768</v>
      </c>
      <c r="G3170" s="87" t="s">
        <v>967</v>
      </c>
      <c r="H3170" s="87" t="s">
        <v>768</v>
      </c>
      <c r="I3170" s="87">
        <v>10</v>
      </c>
    </row>
    <row r="3171" spans="1:9" ht="15" customHeight="1" x14ac:dyDescent="0.25">
      <c r="A3171" s="87" t="s">
        <v>38</v>
      </c>
      <c r="B3171" s="87" t="s">
        <v>363</v>
      </c>
      <c r="C3171" s="87">
        <v>1976</v>
      </c>
      <c r="D3171" s="87" t="s">
        <v>15</v>
      </c>
      <c r="E3171" s="116">
        <v>200</v>
      </c>
      <c r="F3171" s="87" t="s">
        <v>768</v>
      </c>
      <c r="G3171" s="87" t="s">
        <v>967</v>
      </c>
      <c r="H3171" s="87" t="s">
        <v>768</v>
      </c>
      <c r="I3171" s="87">
        <v>10</v>
      </c>
    </row>
    <row r="3172" spans="1:9" ht="15" customHeight="1" x14ac:dyDescent="0.25">
      <c r="A3172" s="87" t="s">
        <v>38</v>
      </c>
      <c r="B3172" s="87" t="s">
        <v>363</v>
      </c>
      <c r="C3172" s="87">
        <v>1977</v>
      </c>
      <c r="D3172" s="87" t="s">
        <v>15</v>
      </c>
      <c r="E3172" s="116">
        <v>125</v>
      </c>
      <c r="F3172" s="87" t="s">
        <v>768</v>
      </c>
      <c r="G3172" s="87" t="s">
        <v>967</v>
      </c>
      <c r="H3172" s="87" t="s">
        <v>768</v>
      </c>
      <c r="I3172" s="87">
        <v>10</v>
      </c>
    </row>
    <row r="3173" spans="1:9" ht="15" customHeight="1" x14ac:dyDescent="0.25">
      <c r="A3173" s="87" t="s">
        <v>38</v>
      </c>
      <c r="B3173" s="87" t="s">
        <v>363</v>
      </c>
      <c r="C3173" s="87">
        <v>1978</v>
      </c>
      <c r="D3173" s="87" t="s">
        <v>15</v>
      </c>
      <c r="E3173" s="116">
        <v>150</v>
      </c>
      <c r="F3173" s="87" t="s">
        <v>768</v>
      </c>
      <c r="G3173" s="87" t="s">
        <v>967</v>
      </c>
      <c r="H3173" s="87" t="s">
        <v>768</v>
      </c>
      <c r="I3173" s="87">
        <v>10</v>
      </c>
    </row>
    <row r="3174" spans="1:9" ht="15" customHeight="1" x14ac:dyDescent="0.25">
      <c r="A3174" s="87" t="s">
        <v>38</v>
      </c>
      <c r="B3174" s="87" t="s">
        <v>363</v>
      </c>
      <c r="C3174" s="87">
        <v>1979</v>
      </c>
      <c r="D3174" s="87" t="s">
        <v>15</v>
      </c>
      <c r="E3174" s="116">
        <v>200</v>
      </c>
      <c r="F3174" s="87" t="s">
        <v>768</v>
      </c>
      <c r="G3174" s="87" t="s">
        <v>967</v>
      </c>
      <c r="H3174" s="87" t="s">
        <v>768</v>
      </c>
      <c r="I3174" s="87">
        <v>10</v>
      </c>
    </row>
    <row r="3175" spans="1:9" ht="15" customHeight="1" x14ac:dyDescent="0.25">
      <c r="A3175" s="87" t="s">
        <v>38</v>
      </c>
      <c r="B3175" s="87" t="s">
        <v>363</v>
      </c>
      <c r="C3175" s="87">
        <v>1980</v>
      </c>
      <c r="D3175" s="87" t="s">
        <v>15</v>
      </c>
      <c r="E3175" s="116">
        <v>250</v>
      </c>
      <c r="F3175" s="87" t="s">
        <v>768</v>
      </c>
      <c r="G3175" s="87" t="s">
        <v>967</v>
      </c>
      <c r="H3175" s="87" t="s">
        <v>768</v>
      </c>
      <c r="I3175" s="87">
        <v>10</v>
      </c>
    </row>
    <row r="3176" spans="1:9" ht="15" customHeight="1" x14ac:dyDescent="0.25">
      <c r="A3176" s="87" t="s">
        <v>38</v>
      </c>
      <c r="B3176" s="87" t="s">
        <v>363</v>
      </c>
      <c r="C3176" s="87">
        <v>1981</v>
      </c>
      <c r="D3176" s="87" t="s">
        <v>15</v>
      </c>
      <c r="E3176" s="116">
        <v>140</v>
      </c>
      <c r="F3176" s="87" t="s">
        <v>768</v>
      </c>
      <c r="G3176" s="87" t="s">
        <v>967</v>
      </c>
      <c r="H3176" s="87" t="s">
        <v>768</v>
      </c>
      <c r="I3176" s="87">
        <v>10</v>
      </c>
    </row>
    <row r="3177" spans="1:9" ht="15" customHeight="1" x14ac:dyDescent="0.25">
      <c r="A3177" s="87" t="s">
        <v>38</v>
      </c>
      <c r="B3177" s="87" t="s">
        <v>363</v>
      </c>
      <c r="C3177" s="87">
        <v>1982</v>
      </c>
      <c r="D3177" s="87" t="s">
        <v>15</v>
      </c>
      <c r="E3177" s="116">
        <v>175</v>
      </c>
      <c r="F3177" s="87" t="s">
        <v>768</v>
      </c>
      <c r="G3177" s="87" t="s">
        <v>967</v>
      </c>
      <c r="H3177" s="87" t="s">
        <v>768</v>
      </c>
      <c r="I3177" s="87">
        <v>10</v>
      </c>
    </row>
    <row r="3178" spans="1:9" ht="15" customHeight="1" x14ac:dyDescent="0.25">
      <c r="A3178" s="87" t="s">
        <v>38</v>
      </c>
      <c r="B3178" s="87" t="s">
        <v>363</v>
      </c>
      <c r="C3178" s="87">
        <v>1983</v>
      </c>
      <c r="D3178" s="87" t="s">
        <v>15</v>
      </c>
      <c r="E3178" s="116">
        <v>125</v>
      </c>
      <c r="F3178" s="87" t="s">
        <v>768</v>
      </c>
      <c r="G3178" s="87" t="s">
        <v>967</v>
      </c>
      <c r="H3178" s="87" t="s">
        <v>768</v>
      </c>
      <c r="I3178" s="87">
        <v>10</v>
      </c>
    </row>
    <row r="3179" spans="1:9" ht="15" customHeight="1" x14ac:dyDescent="0.25">
      <c r="A3179" s="87" t="s">
        <v>38</v>
      </c>
      <c r="B3179" s="87" t="s">
        <v>363</v>
      </c>
      <c r="C3179" s="87">
        <v>1984</v>
      </c>
      <c r="D3179" s="87" t="s">
        <v>15</v>
      </c>
      <c r="E3179" s="116">
        <v>400</v>
      </c>
      <c r="F3179" s="87" t="s">
        <v>768</v>
      </c>
      <c r="G3179" s="87" t="s">
        <v>967</v>
      </c>
      <c r="H3179" s="87" t="s">
        <v>768</v>
      </c>
      <c r="I3179" s="87">
        <v>10</v>
      </c>
    </row>
    <row r="3180" spans="1:9" ht="15" customHeight="1" x14ac:dyDescent="0.25">
      <c r="A3180" s="87" t="s">
        <v>38</v>
      </c>
      <c r="B3180" s="87" t="s">
        <v>363</v>
      </c>
      <c r="C3180" s="87">
        <v>1985</v>
      </c>
      <c r="D3180" s="87" t="s">
        <v>15</v>
      </c>
      <c r="E3180" s="116">
        <v>500</v>
      </c>
      <c r="F3180" s="87" t="s">
        <v>768</v>
      </c>
      <c r="G3180" s="87" t="s">
        <v>967</v>
      </c>
      <c r="H3180" s="87" t="s">
        <v>768</v>
      </c>
      <c r="I3180" s="87">
        <v>10</v>
      </c>
    </row>
    <row r="3181" spans="1:9" ht="15" customHeight="1" x14ac:dyDescent="0.25">
      <c r="A3181" s="87" t="s">
        <v>38</v>
      </c>
      <c r="B3181" s="87" t="s">
        <v>363</v>
      </c>
      <c r="C3181" s="87">
        <v>1986</v>
      </c>
      <c r="D3181" s="87" t="s">
        <v>15</v>
      </c>
      <c r="E3181" s="116">
        <v>1000</v>
      </c>
      <c r="F3181" s="87" t="s">
        <v>768</v>
      </c>
      <c r="G3181" s="87" t="s">
        <v>967</v>
      </c>
      <c r="H3181" s="87" t="s">
        <v>768</v>
      </c>
      <c r="I3181" s="87">
        <v>10</v>
      </c>
    </row>
    <row r="3182" spans="1:9" ht="15" customHeight="1" x14ac:dyDescent="0.25">
      <c r="A3182" s="87" t="s">
        <v>38</v>
      </c>
      <c r="B3182" s="87" t="s">
        <v>363</v>
      </c>
      <c r="C3182" s="87">
        <v>1987</v>
      </c>
      <c r="D3182" s="87" t="s">
        <v>15</v>
      </c>
      <c r="E3182" s="116">
        <v>500</v>
      </c>
      <c r="F3182" s="87" t="s">
        <v>768</v>
      </c>
      <c r="G3182" s="87" t="s">
        <v>967</v>
      </c>
      <c r="H3182" s="87" t="s">
        <v>768</v>
      </c>
      <c r="I3182" s="87">
        <v>10</v>
      </c>
    </row>
    <row r="3183" spans="1:9" ht="15" customHeight="1" x14ac:dyDescent="0.25">
      <c r="A3183" s="87" t="s">
        <v>38</v>
      </c>
      <c r="B3183" s="87" t="s">
        <v>363</v>
      </c>
      <c r="C3183" s="87">
        <v>1988</v>
      </c>
      <c r="D3183" s="87" t="s">
        <v>15</v>
      </c>
      <c r="E3183" s="116">
        <v>800</v>
      </c>
      <c r="F3183" s="87" t="s">
        <v>768</v>
      </c>
      <c r="G3183" s="87" t="s">
        <v>967</v>
      </c>
      <c r="H3183" s="87" t="s">
        <v>768</v>
      </c>
      <c r="I3183" s="87">
        <v>10</v>
      </c>
    </row>
    <row r="3184" spans="1:9" ht="15" customHeight="1" x14ac:dyDescent="0.25">
      <c r="A3184" s="87" t="s">
        <v>38</v>
      </c>
      <c r="B3184" s="87" t="s">
        <v>363</v>
      </c>
      <c r="C3184" s="87">
        <v>1989</v>
      </c>
      <c r="D3184" s="87" t="s">
        <v>15</v>
      </c>
      <c r="E3184" s="116">
        <v>75</v>
      </c>
      <c r="F3184" s="87" t="s">
        <v>768</v>
      </c>
      <c r="G3184" s="87" t="s">
        <v>967</v>
      </c>
      <c r="H3184" s="87" t="s">
        <v>768</v>
      </c>
      <c r="I3184" s="87">
        <v>10</v>
      </c>
    </row>
    <row r="3185" spans="1:9" ht="15" customHeight="1" x14ac:dyDescent="0.25">
      <c r="A3185" s="87" t="s">
        <v>38</v>
      </c>
      <c r="B3185" s="87" t="s">
        <v>363</v>
      </c>
      <c r="C3185" s="87">
        <v>1990</v>
      </c>
      <c r="D3185" s="87" t="s">
        <v>15</v>
      </c>
      <c r="E3185" s="116">
        <v>200</v>
      </c>
      <c r="F3185" s="87" t="s">
        <v>768</v>
      </c>
      <c r="G3185" s="87" t="s">
        <v>967</v>
      </c>
      <c r="H3185" s="87" t="s">
        <v>768</v>
      </c>
      <c r="I3185" s="87">
        <v>10</v>
      </c>
    </row>
    <row r="3186" spans="1:9" ht="15" customHeight="1" x14ac:dyDescent="0.25">
      <c r="A3186" s="87" t="s">
        <v>38</v>
      </c>
      <c r="B3186" s="87" t="s">
        <v>363</v>
      </c>
      <c r="C3186" s="87">
        <v>1991</v>
      </c>
      <c r="D3186" s="87" t="s">
        <v>15</v>
      </c>
      <c r="E3186" s="116">
        <v>100</v>
      </c>
      <c r="F3186" s="87" t="s">
        <v>768</v>
      </c>
      <c r="G3186" s="87" t="s">
        <v>967</v>
      </c>
      <c r="H3186" s="87" t="s">
        <v>768</v>
      </c>
      <c r="I3186" s="87">
        <v>10</v>
      </c>
    </row>
    <row r="3187" spans="1:9" ht="15" customHeight="1" x14ac:dyDescent="0.25">
      <c r="A3187" s="87" t="s">
        <v>38</v>
      </c>
      <c r="B3187" s="87" t="s">
        <v>363</v>
      </c>
      <c r="C3187" s="87">
        <v>1992</v>
      </c>
      <c r="D3187" s="87" t="s">
        <v>15</v>
      </c>
      <c r="E3187" s="116">
        <v>500</v>
      </c>
      <c r="F3187" s="87" t="s">
        <v>768</v>
      </c>
      <c r="G3187" s="87" t="s">
        <v>967</v>
      </c>
      <c r="H3187" s="87" t="s">
        <v>768</v>
      </c>
      <c r="I3187" s="87">
        <v>10</v>
      </c>
    </row>
    <row r="3188" spans="1:9" ht="15" customHeight="1" x14ac:dyDescent="0.25">
      <c r="A3188" s="87" t="s">
        <v>38</v>
      </c>
      <c r="B3188" s="87" t="s">
        <v>363</v>
      </c>
      <c r="C3188" s="87">
        <v>1993</v>
      </c>
      <c r="D3188" s="87" t="s">
        <v>15</v>
      </c>
      <c r="E3188" s="116">
        <v>150</v>
      </c>
      <c r="F3188" s="87" t="s">
        <v>768</v>
      </c>
      <c r="G3188" s="87" t="s">
        <v>967</v>
      </c>
      <c r="H3188" s="87" t="s">
        <v>768</v>
      </c>
      <c r="I3188" s="87">
        <v>10</v>
      </c>
    </row>
    <row r="3189" spans="1:9" ht="15" customHeight="1" x14ac:dyDescent="0.25">
      <c r="A3189" s="87" t="s">
        <v>38</v>
      </c>
      <c r="B3189" s="87" t="s">
        <v>363</v>
      </c>
      <c r="C3189" s="87">
        <v>1994</v>
      </c>
      <c r="D3189" s="87" t="s">
        <v>15</v>
      </c>
      <c r="E3189" s="116">
        <v>240</v>
      </c>
      <c r="F3189" s="87" t="s">
        <v>768</v>
      </c>
      <c r="G3189" s="87" t="s">
        <v>967</v>
      </c>
      <c r="H3189" s="87" t="s">
        <v>768</v>
      </c>
      <c r="I3189" s="87">
        <v>10</v>
      </c>
    </row>
    <row r="3190" spans="1:9" ht="15" customHeight="1" x14ac:dyDescent="0.25">
      <c r="A3190" s="87" t="s">
        <v>38</v>
      </c>
      <c r="B3190" s="87" t="s">
        <v>363</v>
      </c>
      <c r="C3190" s="87">
        <v>1995</v>
      </c>
      <c r="D3190" s="87" t="s">
        <v>15</v>
      </c>
      <c r="E3190" s="116">
        <v>91</v>
      </c>
      <c r="F3190" s="87" t="s">
        <v>768</v>
      </c>
      <c r="G3190" s="87" t="s">
        <v>967</v>
      </c>
      <c r="H3190" s="87" t="s">
        <v>768</v>
      </c>
      <c r="I3190" s="87">
        <v>10</v>
      </c>
    </row>
    <row r="3191" spans="1:9" ht="15" customHeight="1" x14ac:dyDescent="0.25">
      <c r="A3191" s="87" t="s">
        <v>38</v>
      </c>
      <c r="B3191" s="87" t="s">
        <v>363</v>
      </c>
      <c r="C3191" s="87">
        <v>1996</v>
      </c>
      <c r="D3191" s="87" t="s">
        <v>15</v>
      </c>
      <c r="E3191" s="116">
        <v>328</v>
      </c>
      <c r="F3191" s="87" t="s">
        <v>364</v>
      </c>
      <c r="G3191" s="87" t="s">
        <v>967</v>
      </c>
      <c r="H3191" s="87" t="s">
        <v>967</v>
      </c>
      <c r="I3191" s="87">
        <v>10</v>
      </c>
    </row>
    <row r="3192" spans="1:9" ht="15" customHeight="1" x14ac:dyDescent="0.25">
      <c r="A3192" s="87" t="s">
        <v>38</v>
      </c>
      <c r="B3192" s="87" t="s">
        <v>363</v>
      </c>
      <c r="C3192" s="87">
        <v>1997</v>
      </c>
      <c r="D3192" s="87" t="s">
        <v>15</v>
      </c>
      <c r="E3192" s="116">
        <v>94</v>
      </c>
      <c r="F3192" s="87" t="s">
        <v>364</v>
      </c>
      <c r="G3192" s="87" t="s">
        <v>967</v>
      </c>
      <c r="H3192" s="87" t="s">
        <v>967</v>
      </c>
      <c r="I3192" s="87">
        <v>10</v>
      </c>
    </row>
    <row r="3193" spans="1:9" ht="15" customHeight="1" x14ac:dyDescent="0.25">
      <c r="A3193" s="87" t="s">
        <v>38</v>
      </c>
      <c r="B3193" s="87" t="s">
        <v>363</v>
      </c>
      <c r="C3193" s="87">
        <v>1998</v>
      </c>
      <c r="D3193" s="87" t="s">
        <v>15</v>
      </c>
      <c r="E3193" s="116">
        <v>392</v>
      </c>
      <c r="F3193" s="87" t="s">
        <v>967</v>
      </c>
      <c r="G3193" s="87" t="s">
        <v>272</v>
      </c>
      <c r="H3193" s="87" t="s">
        <v>967</v>
      </c>
      <c r="I3193" s="87">
        <v>10</v>
      </c>
    </row>
    <row r="3194" spans="1:9" ht="15" customHeight="1" x14ac:dyDescent="0.25">
      <c r="A3194" s="87" t="s">
        <v>38</v>
      </c>
      <c r="B3194" s="87" t="s">
        <v>363</v>
      </c>
      <c r="C3194" s="87">
        <v>1999</v>
      </c>
      <c r="D3194" s="87" t="s">
        <v>15</v>
      </c>
      <c r="E3194" s="116">
        <v>206</v>
      </c>
      <c r="F3194" s="87" t="s">
        <v>967</v>
      </c>
      <c r="G3194" s="87" t="s">
        <v>272</v>
      </c>
      <c r="H3194" s="87" t="s">
        <v>967</v>
      </c>
      <c r="I3194" s="87">
        <v>10</v>
      </c>
    </row>
    <row r="3195" spans="1:9" ht="15" customHeight="1" x14ac:dyDescent="0.25">
      <c r="A3195" s="87" t="s">
        <v>38</v>
      </c>
      <c r="B3195" s="87" t="s">
        <v>363</v>
      </c>
      <c r="C3195" s="87">
        <v>2000</v>
      </c>
      <c r="D3195" s="87" t="s">
        <v>15</v>
      </c>
      <c r="E3195" s="116">
        <v>252</v>
      </c>
      <c r="F3195" s="87" t="s">
        <v>967</v>
      </c>
      <c r="G3195" s="87" t="s">
        <v>272</v>
      </c>
      <c r="H3195" s="87" t="s">
        <v>967</v>
      </c>
      <c r="I3195" s="87">
        <v>10</v>
      </c>
    </row>
    <row r="3196" spans="1:9" ht="15" customHeight="1" x14ac:dyDescent="0.25">
      <c r="A3196" s="87" t="s">
        <v>38</v>
      </c>
      <c r="B3196" s="87" t="s">
        <v>363</v>
      </c>
      <c r="C3196" s="87">
        <v>2001</v>
      </c>
      <c r="D3196" s="87" t="s">
        <v>15</v>
      </c>
      <c r="E3196" s="116">
        <v>177</v>
      </c>
      <c r="F3196" s="87" t="s">
        <v>967</v>
      </c>
      <c r="G3196" s="87" t="s">
        <v>274</v>
      </c>
      <c r="H3196" s="87" t="s">
        <v>967</v>
      </c>
      <c r="I3196" s="87">
        <v>10</v>
      </c>
    </row>
    <row r="3197" spans="1:9" ht="15" customHeight="1" x14ac:dyDescent="0.25">
      <c r="A3197" s="87" t="s">
        <v>38</v>
      </c>
      <c r="B3197" s="87" t="s">
        <v>363</v>
      </c>
      <c r="C3197" s="87">
        <v>2002</v>
      </c>
      <c r="D3197" s="87" t="s">
        <v>15</v>
      </c>
      <c r="E3197" s="116">
        <v>381</v>
      </c>
      <c r="F3197" s="87" t="s">
        <v>967</v>
      </c>
      <c r="G3197" s="87" t="s">
        <v>272</v>
      </c>
      <c r="H3197" s="87" t="s">
        <v>967</v>
      </c>
      <c r="I3197" s="87">
        <v>10</v>
      </c>
    </row>
    <row r="3198" spans="1:9" ht="15" customHeight="1" x14ac:dyDescent="0.25">
      <c r="A3198" s="87" t="s">
        <v>38</v>
      </c>
      <c r="B3198" s="87" t="s">
        <v>363</v>
      </c>
      <c r="C3198" s="87">
        <v>2003</v>
      </c>
      <c r="D3198" s="87" t="s">
        <v>15</v>
      </c>
      <c r="E3198" s="116">
        <v>543</v>
      </c>
      <c r="F3198" s="87" t="s">
        <v>967</v>
      </c>
      <c r="G3198" s="87" t="s">
        <v>272</v>
      </c>
      <c r="H3198" s="87" t="s">
        <v>967</v>
      </c>
      <c r="I3198" s="87">
        <v>10</v>
      </c>
    </row>
    <row r="3199" spans="1:9" ht="15" customHeight="1" x14ac:dyDescent="0.25">
      <c r="A3199" s="87" t="s">
        <v>38</v>
      </c>
      <c r="B3199" s="87" t="s">
        <v>363</v>
      </c>
      <c r="C3199" s="87">
        <v>2004</v>
      </c>
      <c r="D3199" s="87" t="s">
        <v>15</v>
      </c>
      <c r="E3199" s="116">
        <v>277</v>
      </c>
      <c r="F3199" s="87" t="s">
        <v>967</v>
      </c>
      <c r="G3199" s="87" t="s">
        <v>272</v>
      </c>
      <c r="H3199" s="87" t="s">
        <v>549</v>
      </c>
      <c r="I3199" s="87">
        <v>10</v>
      </c>
    </row>
    <row r="3200" spans="1:9" ht="15" customHeight="1" x14ac:dyDescent="0.25">
      <c r="A3200" s="87" t="s">
        <v>38</v>
      </c>
      <c r="B3200" s="87" t="s">
        <v>363</v>
      </c>
      <c r="C3200" s="87">
        <v>2005</v>
      </c>
      <c r="D3200" s="87" t="s">
        <v>15</v>
      </c>
      <c r="E3200" s="116">
        <v>103</v>
      </c>
      <c r="F3200" s="87" t="s">
        <v>967</v>
      </c>
      <c r="G3200" s="87" t="s">
        <v>272</v>
      </c>
      <c r="H3200" s="87" t="s">
        <v>967</v>
      </c>
      <c r="I3200" s="87">
        <v>10</v>
      </c>
    </row>
    <row r="3201" spans="1:9" ht="15" customHeight="1" x14ac:dyDescent="0.25">
      <c r="A3201" s="87" t="s">
        <v>38</v>
      </c>
      <c r="B3201" s="87" t="s">
        <v>363</v>
      </c>
      <c r="C3201" s="87">
        <v>2006</v>
      </c>
      <c r="D3201" s="87" t="s">
        <v>15</v>
      </c>
      <c r="E3201" s="116">
        <v>234</v>
      </c>
      <c r="F3201" s="87" t="s">
        <v>967</v>
      </c>
      <c r="G3201" s="87" t="s">
        <v>272</v>
      </c>
      <c r="H3201" s="87" t="s">
        <v>858</v>
      </c>
      <c r="I3201" s="87">
        <v>10</v>
      </c>
    </row>
    <row r="3202" spans="1:9" ht="15" customHeight="1" x14ac:dyDescent="0.25">
      <c r="A3202" s="87" t="s">
        <v>38</v>
      </c>
      <c r="B3202" s="87" t="s">
        <v>363</v>
      </c>
      <c r="C3202" s="87">
        <v>2007</v>
      </c>
      <c r="D3202" s="87" t="s">
        <v>15</v>
      </c>
      <c r="E3202" s="116">
        <v>160</v>
      </c>
      <c r="F3202" s="87" t="s">
        <v>967</v>
      </c>
      <c r="G3202" s="87" t="s">
        <v>272</v>
      </c>
      <c r="H3202" s="87" t="s">
        <v>967</v>
      </c>
      <c r="I3202" s="87">
        <v>10</v>
      </c>
    </row>
    <row r="3203" spans="1:9" ht="15" customHeight="1" x14ac:dyDescent="0.25">
      <c r="A3203" s="87" t="s">
        <v>38</v>
      </c>
      <c r="B3203" s="87" t="s">
        <v>363</v>
      </c>
      <c r="C3203" s="87">
        <v>2008</v>
      </c>
      <c r="D3203" s="87" t="s">
        <v>15</v>
      </c>
      <c r="E3203" s="116">
        <v>189</v>
      </c>
      <c r="F3203" s="87" t="s">
        <v>967</v>
      </c>
      <c r="G3203" s="87" t="s">
        <v>272</v>
      </c>
      <c r="H3203" s="87" t="s">
        <v>967</v>
      </c>
      <c r="I3203" s="87">
        <v>10</v>
      </c>
    </row>
    <row r="3204" spans="1:9" ht="15" customHeight="1" x14ac:dyDescent="0.25">
      <c r="A3204" s="87" t="s">
        <v>38</v>
      </c>
      <c r="B3204" s="87" t="s">
        <v>363</v>
      </c>
      <c r="C3204" s="87">
        <v>2009</v>
      </c>
      <c r="D3204" s="87" t="s">
        <v>15</v>
      </c>
      <c r="E3204" s="116">
        <v>494</v>
      </c>
      <c r="F3204" s="87" t="s">
        <v>967</v>
      </c>
      <c r="G3204" s="87" t="s">
        <v>272</v>
      </c>
      <c r="H3204" s="87" t="s">
        <v>967</v>
      </c>
      <c r="I3204" s="87">
        <v>10</v>
      </c>
    </row>
    <row r="3205" spans="1:9" ht="15" customHeight="1" x14ac:dyDescent="0.25">
      <c r="A3205" s="87" t="s">
        <v>38</v>
      </c>
      <c r="B3205" s="87" t="s">
        <v>363</v>
      </c>
      <c r="C3205" s="87">
        <v>2010</v>
      </c>
      <c r="D3205" s="87" t="s">
        <v>15</v>
      </c>
      <c r="E3205" s="116">
        <v>75</v>
      </c>
      <c r="F3205" s="87" t="s">
        <v>967</v>
      </c>
      <c r="G3205" s="87" t="s">
        <v>272</v>
      </c>
      <c r="H3205" s="87" t="s">
        <v>859</v>
      </c>
      <c r="I3205" s="87">
        <v>10</v>
      </c>
    </row>
    <row r="3206" spans="1:9" ht="15" customHeight="1" x14ac:dyDescent="0.25">
      <c r="A3206" s="87" t="s">
        <v>38</v>
      </c>
      <c r="B3206" s="87" t="s">
        <v>363</v>
      </c>
      <c r="C3206" s="87">
        <v>2011</v>
      </c>
      <c r="D3206" s="87" t="s">
        <v>15</v>
      </c>
      <c r="E3206" s="116">
        <v>80</v>
      </c>
      <c r="F3206" s="87" t="s">
        <v>967</v>
      </c>
      <c r="G3206" s="87" t="s">
        <v>272</v>
      </c>
      <c r="H3206" s="87" t="s">
        <v>967</v>
      </c>
      <c r="I3206" s="87">
        <v>10</v>
      </c>
    </row>
    <row r="3207" spans="1:9" ht="15" customHeight="1" x14ac:dyDescent="0.25">
      <c r="A3207" s="87" t="s">
        <v>38</v>
      </c>
      <c r="B3207" s="87" t="s">
        <v>363</v>
      </c>
      <c r="C3207" s="87">
        <v>2012</v>
      </c>
      <c r="D3207" s="87" t="s">
        <v>15</v>
      </c>
      <c r="E3207" s="116">
        <v>40</v>
      </c>
      <c r="F3207" s="87" t="s">
        <v>967</v>
      </c>
      <c r="G3207" s="87" t="s">
        <v>967</v>
      </c>
      <c r="H3207" s="87" t="s">
        <v>967</v>
      </c>
      <c r="I3207" s="87">
        <v>10</v>
      </c>
    </row>
    <row r="3208" spans="1:9" ht="15" customHeight="1" x14ac:dyDescent="0.25">
      <c r="A3208" s="87" t="s">
        <v>38</v>
      </c>
      <c r="B3208" s="87" t="s">
        <v>363</v>
      </c>
      <c r="C3208" s="87">
        <v>2013</v>
      </c>
      <c r="D3208" s="87" t="s">
        <v>15</v>
      </c>
      <c r="E3208" s="116">
        <v>294</v>
      </c>
      <c r="F3208" s="87" t="s">
        <v>967</v>
      </c>
      <c r="G3208" s="87" t="s">
        <v>272</v>
      </c>
      <c r="H3208" s="87" t="s">
        <v>967</v>
      </c>
      <c r="I3208" s="87">
        <v>10</v>
      </c>
    </row>
    <row r="3209" spans="1:9" ht="15" customHeight="1" x14ac:dyDescent="0.25">
      <c r="A3209" s="87" t="s">
        <v>38</v>
      </c>
      <c r="B3209" s="87" t="s">
        <v>363</v>
      </c>
      <c r="C3209" s="87">
        <v>2014</v>
      </c>
      <c r="D3209" s="87" t="s">
        <v>15</v>
      </c>
      <c r="E3209" s="116">
        <v>294</v>
      </c>
      <c r="F3209" s="87" t="s">
        <v>967</v>
      </c>
      <c r="G3209" s="87" t="s">
        <v>272</v>
      </c>
      <c r="H3209" s="87" t="s">
        <v>967</v>
      </c>
      <c r="I3209" s="87">
        <v>10</v>
      </c>
    </row>
    <row r="3210" spans="1:9" ht="15" customHeight="1" x14ac:dyDescent="0.25">
      <c r="A3210" s="87" t="s">
        <v>38</v>
      </c>
      <c r="B3210" s="87" t="s">
        <v>363</v>
      </c>
      <c r="C3210" s="87">
        <v>2015</v>
      </c>
      <c r="D3210" s="87" t="s">
        <v>15</v>
      </c>
      <c r="E3210" s="116">
        <v>46</v>
      </c>
      <c r="F3210" s="87" t="s">
        <v>967</v>
      </c>
      <c r="G3210" s="87" t="s">
        <v>272</v>
      </c>
      <c r="H3210" s="87" t="s">
        <v>860</v>
      </c>
      <c r="I3210" s="87">
        <v>10</v>
      </c>
    </row>
    <row r="3211" spans="1:9" ht="15" customHeight="1" x14ac:dyDescent="0.25">
      <c r="A3211" s="87" t="s">
        <v>38</v>
      </c>
      <c r="B3211" s="87" t="s">
        <v>363</v>
      </c>
      <c r="C3211" s="87">
        <v>2016</v>
      </c>
      <c r="D3211" s="87" t="s">
        <v>15</v>
      </c>
      <c r="E3211" s="116">
        <v>128</v>
      </c>
      <c r="F3211" s="87" t="s">
        <v>967</v>
      </c>
      <c r="G3211" s="87" t="s">
        <v>272</v>
      </c>
      <c r="H3211" s="87" t="s">
        <v>861</v>
      </c>
      <c r="I3211" s="87">
        <v>10</v>
      </c>
    </row>
    <row r="3212" spans="1:9" ht="15" customHeight="1" x14ac:dyDescent="0.25">
      <c r="A3212" s="87" t="s">
        <v>38</v>
      </c>
      <c r="B3212" s="87" t="s">
        <v>363</v>
      </c>
      <c r="C3212" s="87">
        <v>2017</v>
      </c>
      <c r="D3212" s="87" t="s">
        <v>15</v>
      </c>
      <c r="E3212" s="116">
        <v>166</v>
      </c>
      <c r="F3212" s="87" t="s">
        <v>967</v>
      </c>
      <c r="G3212" s="87" t="s">
        <v>272</v>
      </c>
      <c r="H3212" s="87" t="s">
        <v>967</v>
      </c>
      <c r="I3212" s="87">
        <v>10</v>
      </c>
    </row>
    <row r="3213" spans="1:9" ht="15" customHeight="1" x14ac:dyDescent="0.25">
      <c r="A3213" s="87" t="s">
        <v>38</v>
      </c>
      <c r="B3213" s="87" t="s">
        <v>363</v>
      </c>
      <c r="C3213" s="87">
        <v>2018</v>
      </c>
      <c r="D3213" s="87" t="s">
        <v>15</v>
      </c>
      <c r="E3213" s="116">
        <v>112</v>
      </c>
      <c r="F3213" s="87" t="s">
        <v>967</v>
      </c>
      <c r="G3213" s="87" t="s">
        <v>272</v>
      </c>
      <c r="H3213" s="87" t="s">
        <v>967</v>
      </c>
      <c r="I3213" s="87">
        <v>10</v>
      </c>
    </row>
    <row r="3214" spans="1:9" ht="15" customHeight="1" x14ac:dyDescent="0.25">
      <c r="A3214" s="87" t="s">
        <v>38</v>
      </c>
      <c r="B3214" s="87" t="s">
        <v>363</v>
      </c>
      <c r="C3214" s="87">
        <v>2019</v>
      </c>
      <c r="D3214" s="87" t="s">
        <v>15</v>
      </c>
      <c r="E3214" s="116">
        <v>0</v>
      </c>
      <c r="F3214" s="87" t="s">
        <v>967</v>
      </c>
      <c r="G3214" s="87" t="s">
        <v>272</v>
      </c>
      <c r="H3214" s="87" t="s">
        <v>967</v>
      </c>
      <c r="I3214" s="87">
        <v>10</v>
      </c>
    </row>
    <row r="3215" spans="1:9" ht="15" customHeight="1" x14ac:dyDescent="0.25">
      <c r="A3215" s="87" t="s">
        <v>38</v>
      </c>
      <c r="B3215" s="87" t="s">
        <v>363</v>
      </c>
      <c r="C3215" s="87">
        <v>2020</v>
      </c>
      <c r="D3215" s="87" t="s">
        <v>15</v>
      </c>
      <c r="E3215" s="116">
        <v>60</v>
      </c>
      <c r="F3215" s="87" t="s">
        <v>967</v>
      </c>
      <c r="G3215" s="87" t="s">
        <v>272</v>
      </c>
      <c r="H3215" s="87" t="s">
        <v>967</v>
      </c>
      <c r="I3215" s="87">
        <v>10</v>
      </c>
    </row>
    <row r="3216" spans="1:9" ht="15" customHeight="1" x14ac:dyDescent="0.25">
      <c r="A3216" s="87" t="s">
        <v>38</v>
      </c>
      <c r="B3216" s="87" t="s">
        <v>363</v>
      </c>
      <c r="C3216" s="87">
        <v>2021</v>
      </c>
      <c r="D3216" s="87" t="s">
        <v>15</v>
      </c>
      <c r="E3216" s="116">
        <v>122</v>
      </c>
      <c r="F3216" s="87" t="s">
        <v>967</v>
      </c>
      <c r="G3216" s="87" t="s">
        <v>272</v>
      </c>
      <c r="H3216" s="87" t="s">
        <v>967</v>
      </c>
      <c r="I3216" s="87">
        <v>10</v>
      </c>
    </row>
    <row r="3217" spans="1:9" ht="15" customHeight="1" x14ac:dyDescent="0.25">
      <c r="A3217" s="87" t="s">
        <v>38</v>
      </c>
      <c r="B3217" s="87" t="s">
        <v>363</v>
      </c>
      <c r="C3217" s="87">
        <v>2022</v>
      </c>
      <c r="D3217" s="87" t="s">
        <v>15</v>
      </c>
      <c r="E3217" s="116">
        <v>185</v>
      </c>
      <c r="F3217" s="87" t="s">
        <v>967</v>
      </c>
      <c r="G3217" s="87" t="s">
        <v>272</v>
      </c>
      <c r="H3217" s="87" t="s">
        <v>967</v>
      </c>
      <c r="I3217" s="87">
        <v>10</v>
      </c>
    </row>
    <row r="3218" spans="1:9" ht="15" customHeight="1" x14ac:dyDescent="0.25">
      <c r="A3218" s="87" t="s">
        <v>38</v>
      </c>
      <c r="B3218" s="87" t="s">
        <v>365</v>
      </c>
      <c r="C3218" s="87">
        <v>1975</v>
      </c>
      <c r="D3218" s="87" t="s">
        <v>15</v>
      </c>
      <c r="E3218" s="116">
        <v>-1</v>
      </c>
      <c r="F3218" s="87" t="s">
        <v>862</v>
      </c>
      <c r="G3218" s="87" t="s">
        <v>272</v>
      </c>
      <c r="H3218" s="87" t="s">
        <v>934</v>
      </c>
      <c r="I3218" s="87">
        <v>16</v>
      </c>
    </row>
    <row r="3219" spans="1:9" ht="15" customHeight="1" x14ac:dyDescent="0.25">
      <c r="A3219" s="87" t="s">
        <v>38</v>
      </c>
      <c r="B3219" s="87" t="s">
        <v>365</v>
      </c>
      <c r="C3219" s="87">
        <v>1976</v>
      </c>
      <c r="D3219" s="87" t="s">
        <v>15</v>
      </c>
      <c r="E3219" s="116">
        <v>-1</v>
      </c>
      <c r="F3219" s="87" t="s">
        <v>862</v>
      </c>
      <c r="G3219" s="87" t="s">
        <v>272</v>
      </c>
      <c r="H3219" s="87" t="s">
        <v>934</v>
      </c>
      <c r="I3219" s="87">
        <v>16</v>
      </c>
    </row>
    <row r="3220" spans="1:9" ht="15" customHeight="1" x14ac:dyDescent="0.25">
      <c r="A3220" s="87" t="s">
        <v>38</v>
      </c>
      <c r="B3220" s="87" t="s">
        <v>365</v>
      </c>
      <c r="C3220" s="87">
        <v>1977</v>
      </c>
      <c r="D3220" s="87" t="s">
        <v>15</v>
      </c>
      <c r="E3220" s="116">
        <v>-1</v>
      </c>
      <c r="F3220" s="87" t="s">
        <v>862</v>
      </c>
      <c r="G3220" s="87" t="s">
        <v>272</v>
      </c>
      <c r="H3220" s="87" t="s">
        <v>934</v>
      </c>
      <c r="I3220" s="87">
        <v>16</v>
      </c>
    </row>
    <row r="3221" spans="1:9" ht="15" customHeight="1" x14ac:dyDescent="0.25">
      <c r="A3221" s="87" t="s">
        <v>38</v>
      </c>
      <c r="B3221" s="87" t="s">
        <v>365</v>
      </c>
      <c r="C3221" s="87">
        <v>1978</v>
      </c>
      <c r="D3221" s="87" t="s">
        <v>15</v>
      </c>
      <c r="E3221" s="116">
        <v>-1</v>
      </c>
      <c r="F3221" s="87" t="s">
        <v>862</v>
      </c>
      <c r="G3221" s="87" t="s">
        <v>272</v>
      </c>
      <c r="H3221" s="87" t="s">
        <v>934</v>
      </c>
      <c r="I3221" s="87">
        <v>16</v>
      </c>
    </row>
    <row r="3222" spans="1:9" ht="15" customHeight="1" x14ac:dyDescent="0.25">
      <c r="A3222" s="87" t="s">
        <v>38</v>
      </c>
      <c r="B3222" s="87" t="s">
        <v>365</v>
      </c>
      <c r="C3222" s="87">
        <v>1979</v>
      </c>
      <c r="D3222" s="87" t="s">
        <v>15</v>
      </c>
      <c r="E3222" s="116">
        <v>-1</v>
      </c>
      <c r="F3222" s="87" t="s">
        <v>862</v>
      </c>
      <c r="G3222" s="87" t="s">
        <v>272</v>
      </c>
      <c r="H3222" s="87" t="s">
        <v>934</v>
      </c>
      <c r="I3222" s="87">
        <v>16</v>
      </c>
    </row>
    <row r="3223" spans="1:9" ht="15" customHeight="1" x14ac:dyDescent="0.25">
      <c r="A3223" s="87" t="s">
        <v>38</v>
      </c>
      <c r="B3223" s="87" t="s">
        <v>365</v>
      </c>
      <c r="C3223" s="87">
        <v>1980</v>
      </c>
      <c r="D3223" s="87" t="s">
        <v>15</v>
      </c>
      <c r="E3223" s="116">
        <v>-1</v>
      </c>
      <c r="F3223" s="87" t="s">
        <v>862</v>
      </c>
      <c r="G3223" s="87" t="s">
        <v>272</v>
      </c>
      <c r="H3223" s="87" t="s">
        <v>934</v>
      </c>
      <c r="I3223" s="87">
        <v>16</v>
      </c>
    </row>
    <row r="3224" spans="1:9" ht="15" customHeight="1" x14ac:dyDescent="0.25">
      <c r="A3224" s="87" t="s">
        <v>38</v>
      </c>
      <c r="B3224" s="87" t="s">
        <v>365</v>
      </c>
      <c r="C3224" s="87">
        <v>1981</v>
      </c>
      <c r="D3224" s="87" t="s">
        <v>15</v>
      </c>
      <c r="E3224" s="116">
        <v>-1</v>
      </c>
      <c r="F3224" s="87" t="s">
        <v>862</v>
      </c>
      <c r="G3224" s="87" t="s">
        <v>272</v>
      </c>
      <c r="H3224" s="87" t="s">
        <v>934</v>
      </c>
      <c r="I3224" s="87">
        <v>16</v>
      </c>
    </row>
    <row r="3225" spans="1:9" ht="15" customHeight="1" x14ac:dyDescent="0.25">
      <c r="A3225" s="87" t="s">
        <v>38</v>
      </c>
      <c r="B3225" s="87" t="s">
        <v>365</v>
      </c>
      <c r="C3225" s="87">
        <v>1982</v>
      </c>
      <c r="D3225" s="87" t="s">
        <v>15</v>
      </c>
      <c r="E3225" s="116">
        <v>-1</v>
      </c>
      <c r="F3225" s="87" t="s">
        <v>862</v>
      </c>
      <c r="G3225" s="87" t="s">
        <v>272</v>
      </c>
      <c r="H3225" s="87" t="s">
        <v>934</v>
      </c>
      <c r="I3225" s="87">
        <v>16</v>
      </c>
    </row>
    <row r="3226" spans="1:9" ht="15" customHeight="1" x14ac:dyDescent="0.25">
      <c r="A3226" s="87" t="s">
        <v>38</v>
      </c>
      <c r="B3226" s="87" t="s">
        <v>365</v>
      </c>
      <c r="C3226" s="87">
        <v>1983</v>
      </c>
      <c r="D3226" s="87" t="s">
        <v>15</v>
      </c>
      <c r="E3226" s="116">
        <v>-1</v>
      </c>
      <c r="F3226" s="87" t="s">
        <v>862</v>
      </c>
      <c r="G3226" s="87" t="s">
        <v>272</v>
      </c>
      <c r="H3226" s="87" t="s">
        <v>934</v>
      </c>
      <c r="I3226" s="87">
        <v>16</v>
      </c>
    </row>
    <row r="3227" spans="1:9" ht="15" customHeight="1" x14ac:dyDescent="0.25">
      <c r="A3227" s="87" t="s">
        <v>38</v>
      </c>
      <c r="B3227" s="87" t="s">
        <v>365</v>
      </c>
      <c r="C3227" s="87">
        <v>1984</v>
      </c>
      <c r="D3227" s="87" t="s">
        <v>15</v>
      </c>
      <c r="E3227" s="116">
        <v>-1</v>
      </c>
      <c r="F3227" s="87" t="s">
        <v>862</v>
      </c>
      <c r="G3227" s="87" t="s">
        <v>272</v>
      </c>
      <c r="H3227" s="87" t="s">
        <v>934</v>
      </c>
      <c r="I3227" s="87">
        <v>16</v>
      </c>
    </row>
    <row r="3228" spans="1:9" ht="15" customHeight="1" x14ac:dyDescent="0.25">
      <c r="A3228" s="87" t="s">
        <v>38</v>
      </c>
      <c r="B3228" s="87" t="s">
        <v>365</v>
      </c>
      <c r="C3228" s="87">
        <v>1985</v>
      </c>
      <c r="D3228" s="87" t="s">
        <v>15</v>
      </c>
      <c r="E3228" s="116">
        <v>-1</v>
      </c>
      <c r="F3228" s="87" t="s">
        <v>862</v>
      </c>
      <c r="G3228" s="87" t="s">
        <v>272</v>
      </c>
      <c r="H3228" s="87" t="s">
        <v>934</v>
      </c>
      <c r="I3228" s="87">
        <v>16</v>
      </c>
    </row>
    <row r="3229" spans="1:9" ht="15" customHeight="1" x14ac:dyDescent="0.25">
      <c r="A3229" s="87" t="s">
        <v>38</v>
      </c>
      <c r="B3229" s="87" t="s">
        <v>365</v>
      </c>
      <c r="C3229" s="87">
        <v>1986</v>
      </c>
      <c r="D3229" s="87" t="s">
        <v>15</v>
      </c>
      <c r="E3229" s="116">
        <v>-1</v>
      </c>
      <c r="F3229" s="87" t="s">
        <v>862</v>
      </c>
      <c r="G3229" s="87" t="s">
        <v>272</v>
      </c>
      <c r="H3229" s="87" t="s">
        <v>934</v>
      </c>
      <c r="I3229" s="87">
        <v>16</v>
      </c>
    </row>
    <row r="3230" spans="1:9" ht="15" customHeight="1" x14ac:dyDescent="0.25">
      <c r="A3230" s="87" t="s">
        <v>38</v>
      </c>
      <c r="B3230" s="87" t="s">
        <v>365</v>
      </c>
      <c r="C3230" s="87">
        <v>1987</v>
      </c>
      <c r="D3230" s="87" t="s">
        <v>15</v>
      </c>
      <c r="E3230" s="116">
        <v>-1</v>
      </c>
      <c r="F3230" s="87" t="s">
        <v>862</v>
      </c>
      <c r="G3230" s="87" t="s">
        <v>272</v>
      </c>
      <c r="H3230" s="87" t="s">
        <v>934</v>
      </c>
      <c r="I3230" s="87">
        <v>16</v>
      </c>
    </row>
    <row r="3231" spans="1:9" ht="15" customHeight="1" x14ac:dyDescent="0.25">
      <c r="A3231" s="87" t="s">
        <v>38</v>
      </c>
      <c r="B3231" s="87" t="s">
        <v>365</v>
      </c>
      <c r="C3231" s="87">
        <v>1988</v>
      </c>
      <c r="D3231" s="87" t="s">
        <v>15</v>
      </c>
      <c r="E3231" s="116">
        <v>-1</v>
      </c>
      <c r="F3231" s="87" t="s">
        <v>862</v>
      </c>
      <c r="G3231" s="87" t="s">
        <v>272</v>
      </c>
      <c r="H3231" s="87" t="s">
        <v>934</v>
      </c>
      <c r="I3231" s="87">
        <v>16</v>
      </c>
    </row>
    <row r="3232" spans="1:9" ht="15" customHeight="1" x14ac:dyDescent="0.25">
      <c r="A3232" s="87" t="s">
        <v>38</v>
      </c>
      <c r="B3232" s="87" t="s">
        <v>365</v>
      </c>
      <c r="C3232" s="87">
        <v>1989</v>
      </c>
      <c r="D3232" s="87" t="s">
        <v>15</v>
      </c>
      <c r="E3232" s="116">
        <v>-1</v>
      </c>
      <c r="F3232" s="87" t="s">
        <v>862</v>
      </c>
      <c r="G3232" s="87" t="s">
        <v>272</v>
      </c>
      <c r="H3232" s="87" t="s">
        <v>934</v>
      </c>
      <c r="I3232" s="87">
        <v>16</v>
      </c>
    </row>
    <row r="3233" spans="1:9" ht="15" customHeight="1" x14ac:dyDescent="0.25">
      <c r="A3233" s="87" t="s">
        <v>38</v>
      </c>
      <c r="B3233" s="87" t="s">
        <v>365</v>
      </c>
      <c r="C3233" s="87">
        <v>1990</v>
      </c>
      <c r="D3233" s="87" t="s">
        <v>15</v>
      </c>
      <c r="E3233" s="116">
        <v>-1</v>
      </c>
      <c r="F3233" s="87" t="s">
        <v>862</v>
      </c>
      <c r="G3233" s="87" t="s">
        <v>272</v>
      </c>
      <c r="H3233" s="87" t="s">
        <v>934</v>
      </c>
      <c r="I3233" s="87">
        <v>16</v>
      </c>
    </row>
    <row r="3234" spans="1:9" ht="15" customHeight="1" x14ac:dyDescent="0.25">
      <c r="A3234" s="87" t="s">
        <v>38</v>
      </c>
      <c r="B3234" s="87" t="s">
        <v>365</v>
      </c>
      <c r="C3234" s="87">
        <v>1991</v>
      </c>
      <c r="D3234" s="87" t="s">
        <v>15</v>
      </c>
      <c r="E3234" s="116">
        <v>-1</v>
      </c>
      <c r="F3234" s="87" t="s">
        <v>862</v>
      </c>
      <c r="G3234" s="87" t="s">
        <v>272</v>
      </c>
      <c r="H3234" s="87" t="s">
        <v>934</v>
      </c>
      <c r="I3234" s="87">
        <v>16</v>
      </c>
    </row>
    <row r="3235" spans="1:9" ht="15" customHeight="1" x14ac:dyDescent="0.25">
      <c r="A3235" s="87" t="s">
        <v>38</v>
      </c>
      <c r="B3235" s="87" t="s">
        <v>365</v>
      </c>
      <c r="C3235" s="87">
        <v>1992</v>
      </c>
      <c r="D3235" s="87" t="s">
        <v>15</v>
      </c>
      <c r="E3235" s="116">
        <v>-1</v>
      </c>
      <c r="F3235" s="87" t="s">
        <v>862</v>
      </c>
      <c r="G3235" s="87" t="s">
        <v>272</v>
      </c>
      <c r="H3235" s="87" t="s">
        <v>934</v>
      </c>
      <c r="I3235" s="87">
        <v>16</v>
      </c>
    </row>
    <row r="3236" spans="1:9" ht="15" customHeight="1" x14ac:dyDescent="0.25">
      <c r="A3236" s="87" t="s">
        <v>38</v>
      </c>
      <c r="B3236" s="87" t="s">
        <v>365</v>
      </c>
      <c r="C3236" s="87">
        <v>1993</v>
      </c>
      <c r="D3236" s="87" t="s">
        <v>15</v>
      </c>
      <c r="E3236" s="116">
        <v>-1</v>
      </c>
      <c r="F3236" s="87" t="s">
        <v>862</v>
      </c>
      <c r="G3236" s="87" t="s">
        <v>272</v>
      </c>
      <c r="H3236" s="87" t="s">
        <v>934</v>
      </c>
      <c r="I3236" s="87">
        <v>16</v>
      </c>
    </row>
    <row r="3237" spans="1:9" ht="15" customHeight="1" x14ac:dyDescent="0.25">
      <c r="A3237" s="87" t="s">
        <v>38</v>
      </c>
      <c r="B3237" s="87" t="s">
        <v>365</v>
      </c>
      <c r="C3237" s="87">
        <v>1994</v>
      </c>
      <c r="D3237" s="87" t="s">
        <v>15</v>
      </c>
      <c r="E3237" s="116">
        <v>-1</v>
      </c>
      <c r="F3237" s="87" t="s">
        <v>862</v>
      </c>
      <c r="G3237" s="87" t="s">
        <v>272</v>
      </c>
      <c r="H3237" s="87" t="s">
        <v>934</v>
      </c>
      <c r="I3237" s="87">
        <v>16</v>
      </c>
    </row>
    <row r="3238" spans="1:9" ht="15" customHeight="1" x14ac:dyDescent="0.25">
      <c r="A3238" s="87" t="s">
        <v>38</v>
      </c>
      <c r="B3238" s="87" t="s">
        <v>365</v>
      </c>
      <c r="C3238" s="87">
        <v>1995</v>
      </c>
      <c r="D3238" s="87" t="s">
        <v>15</v>
      </c>
      <c r="E3238" s="116">
        <v>166.33503126783762</v>
      </c>
      <c r="F3238" s="87" t="s">
        <v>967</v>
      </c>
      <c r="G3238" s="87" t="s">
        <v>967</v>
      </c>
      <c r="H3238" s="87" t="s">
        <v>863</v>
      </c>
      <c r="I3238" s="87">
        <v>16</v>
      </c>
    </row>
    <row r="3239" spans="1:9" ht="15" customHeight="1" x14ac:dyDescent="0.25">
      <c r="A3239" s="87" t="s">
        <v>38</v>
      </c>
      <c r="B3239" s="87" t="s">
        <v>365</v>
      </c>
      <c r="C3239" s="87">
        <v>1996</v>
      </c>
      <c r="D3239" s="87" t="s">
        <v>15</v>
      </c>
      <c r="E3239" s="116">
        <v>100</v>
      </c>
      <c r="F3239" s="87" t="s">
        <v>967</v>
      </c>
      <c r="G3239" s="87" t="s">
        <v>967</v>
      </c>
      <c r="H3239" s="87" t="s">
        <v>967</v>
      </c>
      <c r="I3239" s="87">
        <v>16</v>
      </c>
    </row>
    <row r="3240" spans="1:9" ht="15" customHeight="1" x14ac:dyDescent="0.25">
      <c r="A3240" s="87" t="s">
        <v>38</v>
      </c>
      <c r="B3240" s="87" t="s">
        <v>365</v>
      </c>
      <c r="C3240" s="87">
        <v>1997</v>
      </c>
      <c r="D3240" s="87" t="s">
        <v>15</v>
      </c>
      <c r="E3240" s="116">
        <v>229</v>
      </c>
      <c r="F3240" s="87" t="s">
        <v>967</v>
      </c>
      <c r="G3240" s="87" t="s">
        <v>967</v>
      </c>
      <c r="H3240" s="87" t="s">
        <v>967</v>
      </c>
      <c r="I3240" s="87">
        <v>16</v>
      </c>
    </row>
    <row r="3241" spans="1:9" ht="15" customHeight="1" x14ac:dyDescent="0.25">
      <c r="A3241" s="87" t="s">
        <v>38</v>
      </c>
      <c r="B3241" s="87" t="s">
        <v>365</v>
      </c>
      <c r="C3241" s="87">
        <v>1998</v>
      </c>
      <c r="D3241" s="87" t="s">
        <v>15</v>
      </c>
      <c r="E3241" s="116">
        <v>68</v>
      </c>
      <c r="F3241" s="87" t="s">
        <v>967</v>
      </c>
      <c r="G3241" s="87" t="s">
        <v>272</v>
      </c>
      <c r="H3241" s="87" t="s">
        <v>967</v>
      </c>
      <c r="I3241" s="87">
        <v>16</v>
      </c>
    </row>
    <row r="3242" spans="1:9" ht="15" customHeight="1" x14ac:dyDescent="0.25">
      <c r="A3242" s="87" t="s">
        <v>38</v>
      </c>
      <c r="B3242" s="87" t="s">
        <v>365</v>
      </c>
      <c r="C3242" s="87">
        <v>1999</v>
      </c>
      <c r="D3242" s="87" t="s">
        <v>15</v>
      </c>
      <c r="E3242" s="116">
        <v>141</v>
      </c>
      <c r="F3242" s="87" t="s">
        <v>967</v>
      </c>
      <c r="G3242" s="87" t="s">
        <v>272</v>
      </c>
      <c r="H3242" s="87" t="s">
        <v>864</v>
      </c>
      <c r="I3242" s="87">
        <v>16</v>
      </c>
    </row>
    <row r="3243" spans="1:9" ht="15" customHeight="1" x14ac:dyDescent="0.25">
      <c r="A3243" s="87" t="s">
        <v>38</v>
      </c>
      <c r="B3243" s="87" t="s">
        <v>365</v>
      </c>
      <c r="C3243" s="87">
        <v>2000</v>
      </c>
      <c r="D3243" s="87" t="s">
        <v>15</v>
      </c>
      <c r="E3243" s="116">
        <v>300</v>
      </c>
      <c r="F3243" s="87" t="s">
        <v>967</v>
      </c>
      <c r="G3243" s="87" t="s">
        <v>272</v>
      </c>
      <c r="H3243" s="87" t="s">
        <v>967</v>
      </c>
      <c r="I3243" s="87">
        <v>16</v>
      </c>
    </row>
    <row r="3244" spans="1:9" ht="15" customHeight="1" x14ac:dyDescent="0.25">
      <c r="A3244" s="87" t="s">
        <v>38</v>
      </c>
      <c r="B3244" s="87" t="s">
        <v>365</v>
      </c>
      <c r="C3244" s="87">
        <v>2001</v>
      </c>
      <c r="D3244" s="87" t="s">
        <v>15</v>
      </c>
      <c r="E3244" s="116">
        <v>198</v>
      </c>
      <c r="F3244" s="87" t="s">
        <v>967</v>
      </c>
      <c r="G3244" s="87" t="s">
        <v>272</v>
      </c>
      <c r="H3244" s="87" t="s">
        <v>967</v>
      </c>
      <c r="I3244" s="87">
        <v>16</v>
      </c>
    </row>
    <row r="3245" spans="1:9" ht="15" customHeight="1" x14ac:dyDescent="0.25">
      <c r="A3245" s="87" t="s">
        <v>38</v>
      </c>
      <c r="B3245" s="87" t="s">
        <v>365</v>
      </c>
      <c r="C3245" s="87">
        <v>2002</v>
      </c>
      <c r="D3245" s="87" t="s">
        <v>15</v>
      </c>
      <c r="E3245" s="116">
        <v>28</v>
      </c>
      <c r="F3245" s="87" t="s">
        <v>967</v>
      </c>
      <c r="G3245" s="87" t="s">
        <v>272</v>
      </c>
      <c r="H3245" s="87" t="s">
        <v>865</v>
      </c>
      <c r="I3245" s="87">
        <v>16</v>
      </c>
    </row>
    <row r="3246" spans="1:9" ht="15" customHeight="1" x14ac:dyDescent="0.25">
      <c r="A3246" s="87" t="s">
        <v>38</v>
      </c>
      <c r="B3246" s="87" t="s">
        <v>365</v>
      </c>
      <c r="C3246" s="87">
        <v>2003</v>
      </c>
      <c r="D3246" s="87" t="s">
        <v>15</v>
      </c>
      <c r="E3246" s="116">
        <v>152</v>
      </c>
      <c r="F3246" s="87" t="s">
        <v>967</v>
      </c>
      <c r="G3246" s="87" t="s">
        <v>272</v>
      </c>
      <c r="H3246" s="87" t="s">
        <v>866</v>
      </c>
      <c r="I3246" s="87">
        <v>16</v>
      </c>
    </row>
    <row r="3247" spans="1:9" ht="15" customHeight="1" x14ac:dyDescent="0.25">
      <c r="A3247" s="87" t="s">
        <v>38</v>
      </c>
      <c r="B3247" s="87" t="s">
        <v>365</v>
      </c>
      <c r="C3247" s="87">
        <v>2004</v>
      </c>
      <c r="D3247" s="87" t="s">
        <v>15</v>
      </c>
      <c r="E3247" s="116">
        <v>208</v>
      </c>
      <c r="F3247" s="87" t="s">
        <v>967</v>
      </c>
      <c r="G3247" s="87" t="s">
        <v>272</v>
      </c>
      <c r="H3247" s="87" t="s">
        <v>867</v>
      </c>
      <c r="I3247" s="87">
        <v>16</v>
      </c>
    </row>
    <row r="3248" spans="1:9" ht="15" customHeight="1" x14ac:dyDescent="0.25">
      <c r="A3248" s="87" t="s">
        <v>38</v>
      </c>
      <c r="B3248" s="87" t="s">
        <v>365</v>
      </c>
      <c r="C3248" s="87">
        <v>2005</v>
      </c>
      <c r="D3248" s="87" t="s">
        <v>15</v>
      </c>
      <c r="E3248" s="116">
        <v>198</v>
      </c>
      <c r="F3248" s="87" t="s">
        <v>967</v>
      </c>
      <c r="G3248" s="87" t="s">
        <v>272</v>
      </c>
      <c r="H3248" s="87" t="s">
        <v>967</v>
      </c>
      <c r="I3248" s="87">
        <v>16</v>
      </c>
    </row>
    <row r="3249" spans="1:9" ht="15" customHeight="1" x14ac:dyDescent="0.25">
      <c r="A3249" s="87" t="s">
        <v>38</v>
      </c>
      <c r="B3249" s="87" t="s">
        <v>365</v>
      </c>
      <c r="C3249" s="87">
        <v>2006</v>
      </c>
      <c r="D3249" s="87" t="s">
        <v>15</v>
      </c>
      <c r="E3249" s="116">
        <v>25</v>
      </c>
      <c r="F3249" s="87" t="s">
        <v>967</v>
      </c>
      <c r="G3249" s="87" t="s">
        <v>272</v>
      </c>
      <c r="H3249" s="87" t="s">
        <v>868</v>
      </c>
      <c r="I3249" s="87">
        <v>16</v>
      </c>
    </row>
    <row r="3250" spans="1:9" ht="15" customHeight="1" x14ac:dyDescent="0.25">
      <c r="A3250" s="87" t="s">
        <v>38</v>
      </c>
      <c r="B3250" s="87" t="s">
        <v>365</v>
      </c>
      <c r="C3250" s="87">
        <v>2007</v>
      </c>
      <c r="D3250" s="87" t="s">
        <v>15</v>
      </c>
      <c r="E3250" s="116">
        <v>12</v>
      </c>
      <c r="F3250" s="87" t="s">
        <v>967</v>
      </c>
      <c r="G3250" s="87" t="s">
        <v>272</v>
      </c>
      <c r="H3250" s="87" t="s">
        <v>869</v>
      </c>
      <c r="I3250" s="87">
        <v>16</v>
      </c>
    </row>
    <row r="3251" spans="1:9" ht="15" customHeight="1" x14ac:dyDescent="0.25">
      <c r="A3251" s="87" t="s">
        <v>38</v>
      </c>
      <c r="B3251" s="87" t="s">
        <v>365</v>
      </c>
      <c r="C3251" s="87">
        <v>2008</v>
      </c>
      <c r="D3251" s="87" t="s">
        <v>15</v>
      </c>
      <c r="E3251" s="116">
        <v>214</v>
      </c>
      <c r="F3251" s="87" t="s">
        <v>967</v>
      </c>
      <c r="G3251" s="87" t="s">
        <v>272</v>
      </c>
      <c r="H3251" s="87" t="s">
        <v>967</v>
      </c>
      <c r="I3251" s="87">
        <v>16</v>
      </c>
    </row>
    <row r="3252" spans="1:9" ht="15" customHeight="1" x14ac:dyDescent="0.25">
      <c r="A3252" s="87" t="s">
        <v>38</v>
      </c>
      <c r="B3252" s="87" t="s">
        <v>365</v>
      </c>
      <c r="C3252" s="87">
        <v>2009</v>
      </c>
      <c r="D3252" s="87" t="s">
        <v>15</v>
      </c>
      <c r="E3252" s="116">
        <v>35</v>
      </c>
      <c r="F3252" s="87" t="s">
        <v>967</v>
      </c>
      <c r="G3252" s="87" t="s">
        <v>272</v>
      </c>
      <c r="H3252" s="87" t="s">
        <v>870</v>
      </c>
      <c r="I3252" s="87">
        <v>16</v>
      </c>
    </row>
    <row r="3253" spans="1:9" ht="15" customHeight="1" x14ac:dyDescent="0.25">
      <c r="A3253" s="87" t="s">
        <v>38</v>
      </c>
      <c r="B3253" s="87" t="s">
        <v>365</v>
      </c>
      <c r="C3253" s="87">
        <v>2010</v>
      </c>
      <c r="D3253" s="87" t="s">
        <v>15</v>
      </c>
      <c r="E3253" s="116">
        <v>-1</v>
      </c>
      <c r="F3253" s="87" t="s">
        <v>967</v>
      </c>
      <c r="G3253" s="87" t="s">
        <v>272</v>
      </c>
      <c r="H3253" s="87" t="s">
        <v>871</v>
      </c>
      <c r="I3253" s="87">
        <v>16</v>
      </c>
    </row>
    <row r="3254" spans="1:9" ht="15" customHeight="1" x14ac:dyDescent="0.25">
      <c r="A3254" s="87" t="s">
        <v>38</v>
      </c>
      <c r="B3254" s="87" t="s">
        <v>365</v>
      </c>
      <c r="C3254" s="87">
        <v>2011</v>
      </c>
      <c r="D3254" s="87" t="s">
        <v>15</v>
      </c>
      <c r="E3254" s="116">
        <v>51</v>
      </c>
      <c r="F3254" s="87" t="s">
        <v>967</v>
      </c>
      <c r="G3254" s="87" t="s">
        <v>272</v>
      </c>
      <c r="H3254" s="87" t="s">
        <v>967</v>
      </c>
      <c r="I3254" s="87">
        <v>16</v>
      </c>
    </row>
    <row r="3255" spans="1:9" ht="15" customHeight="1" x14ac:dyDescent="0.25">
      <c r="A3255" s="87" t="s">
        <v>38</v>
      </c>
      <c r="B3255" s="87" t="s">
        <v>365</v>
      </c>
      <c r="C3255" s="87">
        <v>2012</v>
      </c>
      <c r="D3255" s="87" t="s">
        <v>15</v>
      </c>
      <c r="E3255" s="116">
        <v>137</v>
      </c>
      <c r="F3255" s="87" t="s">
        <v>967</v>
      </c>
      <c r="G3255" s="87" t="s">
        <v>272</v>
      </c>
      <c r="H3255" s="87" t="s">
        <v>872</v>
      </c>
      <c r="I3255" s="87">
        <v>16</v>
      </c>
    </row>
    <row r="3256" spans="1:9" ht="15" customHeight="1" x14ac:dyDescent="0.25">
      <c r="A3256" s="87" t="s">
        <v>38</v>
      </c>
      <c r="B3256" s="87" t="s">
        <v>365</v>
      </c>
      <c r="C3256" s="87">
        <v>2013</v>
      </c>
      <c r="D3256" s="87" t="s">
        <v>15</v>
      </c>
      <c r="E3256" s="116">
        <v>0</v>
      </c>
      <c r="F3256" s="87" t="s">
        <v>967</v>
      </c>
      <c r="G3256" s="87" t="s">
        <v>272</v>
      </c>
      <c r="H3256" s="87" t="s">
        <v>967</v>
      </c>
      <c r="I3256" s="87">
        <v>16</v>
      </c>
    </row>
    <row r="3257" spans="1:9" ht="15" customHeight="1" x14ac:dyDescent="0.25">
      <c r="A3257" s="87" t="s">
        <v>38</v>
      </c>
      <c r="B3257" s="87" t="s">
        <v>365</v>
      </c>
      <c r="C3257" s="87">
        <v>2014</v>
      </c>
      <c r="D3257" s="87" t="s">
        <v>15</v>
      </c>
      <c r="E3257" s="116">
        <v>5</v>
      </c>
      <c r="F3257" s="87" t="s">
        <v>967</v>
      </c>
      <c r="G3257" s="87" t="s">
        <v>272</v>
      </c>
      <c r="H3257" s="87" t="s">
        <v>873</v>
      </c>
      <c r="I3257" s="87">
        <v>16</v>
      </c>
    </row>
    <row r="3258" spans="1:9" ht="15" customHeight="1" x14ac:dyDescent="0.25">
      <c r="A3258" s="87" t="s">
        <v>38</v>
      </c>
      <c r="B3258" s="87" t="s">
        <v>365</v>
      </c>
      <c r="C3258" s="87">
        <v>2015</v>
      </c>
      <c r="D3258" s="87" t="s">
        <v>15</v>
      </c>
      <c r="E3258" s="116">
        <v>0</v>
      </c>
      <c r="F3258" s="87" t="s">
        <v>967</v>
      </c>
      <c r="G3258" s="87" t="s">
        <v>272</v>
      </c>
      <c r="H3258" s="87" t="s">
        <v>874</v>
      </c>
      <c r="I3258" s="87">
        <v>16</v>
      </c>
    </row>
    <row r="3259" spans="1:9" ht="15" customHeight="1" x14ac:dyDescent="0.25">
      <c r="A3259" s="87" t="s">
        <v>38</v>
      </c>
      <c r="B3259" s="87" t="s">
        <v>365</v>
      </c>
      <c r="C3259" s="87">
        <v>2016</v>
      </c>
      <c r="D3259" s="87" t="s">
        <v>15</v>
      </c>
      <c r="E3259" s="116">
        <v>37</v>
      </c>
      <c r="F3259" s="87" t="s">
        <v>967</v>
      </c>
      <c r="G3259" s="87" t="s">
        <v>272</v>
      </c>
      <c r="H3259" s="87" t="s">
        <v>875</v>
      </c>
      <c r="I3259" s="87">
        <v>16</v>
      </c>
    </row>
    <row r="3260" spans="1:9" ht="15" customHeight="1" x14ac:dyDescent="0.25">
      <c r="A3260" s="87" t="s">
        <v>38</v>
      </c>
      <c r="B3260" s="87" t="s">
        <v>365</v>
      </c>
      <c r="C3260" s="87">
        <v>2017</v>
      </c>
      <c r="D3260" s="87" t="s">
        <v>15</v>
      </c>
      <c r="E3260" s="116">
        <v>0</v>
      </c>
      <c r="F3260" s="87" t="s">
        <v>967</v>
      </c>
      <c r="G3260" s="87" t="s">
        <v>272</v>
      </c>
      <c r="H3260" s="87" t="s">
        <v>967</v>
      </c>
      <c r="I3260" s="87">
        <v>16</v>
      </c>
    </row>
    <row r="3261" spans="1:9" ht="15" customHeight="1" x14ac:dyDescent="0.25">
      <c r="A3261" s="87" t="s">
        <v>38</v>
      </c>
      <c r="B3261" s="87" t="s">
        <v>365</v>
      </c>
      <c r="C3261" s="87">
        <v>2018</v>
      </c>
      <c r="D3261" s="87" t="s">
        <v>15</v>
      </c>
      <c r="E3261" s="116">
        <v>2</v>
      </c>
      <c r="F3261" s="87" t="s">
        <v>967</v>
      </c>
      <c r="G3261" s="87" t="s">
        <v>272</v>
      </c>
      <c r="H3261" s="87" t="s">
        <v>935</v>
      </c>
      <c r="I3261" s="87">
        <v>16</v>
      </c>
    </row>
    <row r="3262" spans="1:9" ht="15" customHeight="1" x14ac:dyDescent="0.25">
      <c r="A3262" s="87" t="s">
        <v>38</v>
      </c>
      <c r="B3262" s="87" t="s">
        <v>365</v>
      </c>
      <c r="C3262" s="87">
        <v>2019</v>
      </c>
      <c r="D3262" s="87" t="s">
        <v>15</v>
      </c>
      <c r="E3262" s="116">
        <v>48</v>
      </c>
      <c r="F3262" s="87" t="s">
        <v>967</v>
      </c>
      <c r="G3262" s="87" t="s">
        <v>272</v>
      </c>
      <c r="H3262" s="87" t="s">
        <v>967</v>
      </c>
      <c r="I3262" s="87">
        <v>16</v>
      </c>
    </row>
    <row r="3263" spans="1:9" ht="15" customHeight="1" x14ac:dyDescent="0.25">
      <c r="A3263" s="87" t="s">
        <v>38</v>
      </c>
      <c r="B3263" s="87" t="s">
        <v>365</v>
      </c>
      <c r="C3263" s="87">
        <v>2020</v>
      </c>
      <c r="D3263" s="87" t="s">
        <v>15</v>
      </c>
      <c r="E3263" s="116">
        <v>169</v>
      </c>
      <c r="F3263" s="87" t="s">
        <v>967</v>
      </c>
      <c r="G3263" s="87" t="s">
        <v>272</v>
      </c>
      <c r="H3263" s="87" t="s">
        <v>967</v>
      </c>
      <c r="I3263" s="87">
        <v>16</v>
      </c>
    </row>
    <row r="3264" spans="1:9" ht="15" customHeight="1" x14ac:dyDescent="0.25">
      <c r="A3264" s="87" t="s">
        <v>38</v>
      </c>
      <c r="B3264" s="87" t="s">
        <v>365</v>
      </c>
      <c r="C3264" s="87">
        <v>2021</v>
      </c>
      <c r="D3264" s="87" t="s">
        <v>15</v>
      </c>
      <c r="E3264" s="116">
        <v>5</v>
      </c>
      <c r="F3264" s="87" t="s">
        <v>967</v>
      </c>
      <c r="G3264" s="87" t="s">
        <v>272</v>
      </c>
      <c r="H3264" s="87" t="s">
        <v>967</v>
      </c>
      <c r="I3264" s="87">
        <v>16</v>
      </c>
    </row>
    <row r="3265" spans="1:9" ht="15" customHeight="1" x14ac:dyDescent="0.25">
      <c r="A3265" s="87" t="s">
        <v>38</v>
      </c>
      <c r="B3265" s="87" t="s">
        <v>365</v>
      </c>
      <c r="C3265" s="87">
        <v>2022</v>
      </c>
      <c r="D3265" s="87" t="s">
        <v>15</v>
      </c>
      <c r="E3265" s="116">
        <v>-1</v>
      </c>
      <c r="F3265" s="87" t="s">
        <v>967</v>
      </c>
      <c r="G3265" s="87" t="s">
        <v>967</v>
      </c>
      <c r="H3265" s="87" t="s">
        <v>967</v>
      </c>
      <c r="I3265" s="87">
        <v>16</v>
      </c>
    </row>
    <row r="3266" spans="1:9" ht="15" customHeight="1" x14ac:dyDescent="0.25">
      <c r="A3266" s="87" t="s">
        <v>38</v>
      </c>
      <c r="B3266" s="87" t="s">
        <v>361</v>
      </c>
      <c r="C3266" s="87">
        <v>1975</v>
      </c>
      <c r="D3266" s="87" t="s">
        <v>15</v>
      </c>
      <c r="E3266" s="116">
        <v>5</v>
      </c>
      <c r="F3266" s="87" t="s">
        <v>855</v>
      </c>
      <c r="G3266" s="87" t="s">
        <v>967</v>
      </c>
      <c r="H3266" s="87" t="s">
        <v>855</v>
      </c>
      <c r="I3266" s="87" t="s">
        <v>983</v>
      </c>
    </row>
    <row r="3267" spans="1:9" ht="15" customHeight="1" x14ac:dyDescent="0.25">
      <c r="A3267" s="87" t="s">
        <v>38</v>
      </c>
      <c r="B3267" s="87" t="s">
        <v>361</v>
      </c>
      <c r="C3267" s="87">
        <v>1976</v>
      </c>
      <c r="D3267" s="87" t="s">
        <v>15</v>
      </c>
      <c r="E3267" s="116">
        <v>-1</v>
      </c>
      <c r="F3267" s="87" t="s">
        <v>900</v>
      </c>
      <c r="G3267" s="87" t="s">
        <v>272</v>
      </c>
      <c r="H3267" s="87" t="s">
        <v>900</v>
      </c>
      <c r="I3267" s="87" t="s">
        <v>983</v>
      </c>
    </row>
    <row r="3268" spans="1:9" ht="15" customHeight="1" x14ac:dyDescent="0.25">
      <c r="A3268" s="87" t="s">
        <v>38</v>
      </c>
      <c r="B3268" s="87" t="s">
        <v>361</v>
      </c>
      <c r="C3268" s="87">
        <v>1977</v>
      </c>
      <c r="D3268" s="87" t="s">
        <v>15</v>
      </c>
      <c r="E3268" s="116">
        <v>10</v>
      </c>
      <c r="F3268" s="87" t="s">
        <v>855</v>
      </c>
      <c r="G3268" s="87" t="s">
        <v>967</v>
      </c>
      <c r="H3268" s="87" t="s">
        <v>855</v>
      </c>
      <c r="I3268" s="87" t="s">
        <v>983</v>
      </c>
    </row>
    <row r="3269" spans="1:9" ht="15" customHeight="1" x14ac:dyDescent="0.25">
      <c r="A3269" s="87" t="s">
        <v>38</v>
      </c>
      <c r="B3269" s="87" t="s">
        <v>361</v>
      </c>
      <c r="C3269" s="87">
        <v>1978</v>
      </c>
      <c r="D3269" s="87" t="s">
        <v>15</v>
      </c>
      <c r="E3269" s="116">
        <v>-1</v>
      </c>
      <c r="F3269" s="87" t="s">
        <v>900</v>
      </c>
      <c r="G3269" s="87" t="s">
        <v>272</v>
      </c>
      <c r="H3269" s="87" t="s">
        <v>900</v>
      </c>
      <c r="I3269" s="87" t="s">
        <v>983</v>
      </c>
    </row>
    <row r="3270" spans="1:9" ht="15" customHeight="1" x14ac:dyDescent="0.25">
      <c r="A3270" s="87" t="s">
        <v>38</v>
      </c>
      <c r="B3270" s="87" t="s">
        <v>361</v>
      </c>
      <c r="C3270" s="87">
        <v>1979</v>
      </c>
      <c r="D3270" s="87" t="s">
        <v>15</v>
      </c>
      <c r="E3270" s="116">
        <v>25</v>
      </c>
      <c r="F3270" s="87" t="s">
        <v>855</v>
      </c>
      <c r="G3270" s="87" t="s">
        <v>967</v>
      </c>
      <c r="H3270" s="87" t="s">
        <v>855</v>
      </c>
      <c r="I3270" s="87" t="s">
        <v>983</v>
      </c>
    </row>
    <row r="3271" spans="1:9" ht="15" customHeight="1" x14ac:dyDescent="0.25">
      <c r="A3271" s="87" t="s">
        <v>38</v>
      </c>
      <c r="B3271" s="87" t="s">
        <v>361</v>
      </c>
      <c r="C3271" s="87">
        <v>1980</v>
      </c>
      <c r="D3271" s="87" t="s">
        <v>15</v>
      </c>
      <c r="E3271" s="116">
        <v>-1</v>
      </c>
      <c r="F3271" s="87" t="s">
        <v>900</v>
      </c>
      <c r="G3271" s="87" t="s">
        <v>272</v>
      </c>
      <c r="H3271" s="87" t="s">
        <v>900</v>
      </c>
      <c r="I3271" s="87" t="s">
        <v>983</v>
      </c>
    </row>
    <row r="3272" spans="1:9" ht="15" customHeight="1" x14ac:dyDescent="0.25">
      <c r="A3272" s="87" t="s">
        <v>38</v>
      </c>
      <c r="B3272" s="87" t="s">
        <v>361</v>
      </c>
      <c r="C3272" s="87">
        <v>1981</v>
      </c>
      <c r="D3272" s="87" t="s">
        <v>15</v>
      </c>
      <c r="E3272" s="116">
        <v>10</v>
      </c>
      <c r="F3272" s="87" t="s">
        <v>855</v>
      </c>
      <c r="G3272" s="87" t="s">
        <v>967</v>
      </c>
      <c r="H3272" s="87" t="s">
        <v>855</v>
      </c>
      <c r="I3272" s="87" t="s">
        <v>983</v>
      </c>
    </row>
    <row r="3273" spans="1:9" ht="15" customHeight="1" x14ac:dyDescent="0.25">
      <c r="A3273" s="87" t="s">
        <v>38</v>
      </c>
      <c r="B3273" s="87" t="s">
        <v>361</v>
      </c>
      <c r="C3273" s="87">
        <v>1982</v>
      </c>
      <c r="D3273" s="87" t="s">
        <v>15</v>
      </c>
      <c r="E3273" s="116">
        <v>20</v>
      </c>
      <c r="F3273" s="87" t="s">
        <v>855</v>
      </c>
      <c r="G3273" s="87" t="s">
        <v>967</v>
      </c>
      <c r="H3273" s="87" t="s">
        <v>855</v>
      </c>
      <c r="I3273" s="87" t="s">
        <v>983</v>
      </c>
    </row>
    <row r="3274" spans="1:9" ht="15" customHeight="1" x14ac:dyDescent="0.25">
      <c r="A3274" s="87" t="s">
        <v>38</v>
      </c>
      <c r="B3274" s="87" t="s">
        <v>361</v>
      </c>
      <c r="C3274" s="87">
        <v>1983</v>
      </c>
      <c r="D3274" s="87" t="s">
        <v>15</v>
      </c>
      <c r="E3274" s="116">
        <v>10</v>
      </c>
      <c r="F3274" s="87" t="s">
        <v>855</v>
      </c>
      <c r="G3274" s="87" t="s">
        <v>967</v>
      </c>
      <c r="H3274" s="87" t="s">
        <v>855</v>
      </c>
      <c r="I3274" s="87" t="s">
        <v>983</v>
      </c>
    </row>
    <row r="3275" spans="1:9" ht="15" customHeight="1" x14ac:dyDescent="0.25">
      <c r="A3275" s="87" t="s">
        <v>38</v>
      </c>
      <c r="B3275" s="87" t="s">
        <v>361</v>
      </c>
      <c r="C3275" s="87">
        <v>1984</v>
      </c>
      <c r="D3275" s="87" t="s">
        <v>15</v>
      </c>
      <c r="E3275" s="116">
        <v>45</v>
      </c>
      <c r="F3275" s="87" t="s">
        <v>855</v>
      </c>
      <c r="G3275" s="87" t="s">
        <v>967</v>
      </c>
      <c r="H3275" s="87" t="s">
        <v>855</v>
      </c>
      <c r="I3275" s="87" t="s">
        <v>983</v>
      </c>
    </row>
    <row r="3276" spans="1:9" ht="15" customHeight="1" x14ac:dyDescent="0.25">
      <c r="A3276" s="87" t="s">
        <v>38</v>
      </c>
      <c r="B3276" s="87" t="s">
        <v>361</v>
      </c>
      <c r="C3276" s="87">
        <v>1985</v>
      </c>
      <c r="D3276" s="87" t="s">
        <v>15</v>
      </c>
      <c r="E3276" s="116">
        <v>50</v>
      </c>
      <c r="F3276" s="87" t="s">
        <v>855</v>
      </c>
      <c r="G3276" s="87" t="s">
        <v>967</v>
      </c>
      <c r="H3276" s="87" t="s">
        <v>855</v>
      </c>
      <c r="I3276" s="87" t="s">
        <v>983</v>
      </c>
    </row>
    <row r="3277" spans="1:9" ht="15" customHeight="1" x14ac:dyDescent="0.25">
      <c r="A3277" s="87" t="s">
        <v>38</v>
      </c>
      <c r="B3277" s="87" t="s">
        <v>361</v>
      </c>
      <c r="C3277" s="87">
        <v>1986</v>
      </c>
      <c r="D3277" s="87" t="s">
        <v>15</v>
      </c>
      <c r="E3277" s="116">
        <v>50</v>
      </c>
      <c r="F3277" s="87" t="s">
        <v>855</v>
      </c>
      <c r="G3277" s="87" t="s">
        <v>967</v>
      </c>
      <c r="H3277" s="87" t="s">
        <v>855</v>
      </c>
      <c r="I3277" s="87" t="s">
        <v>983</v>
      </c>
    </row>
    <row r="3278" spans="1:9" ht="15" customHeight="1" x14ac:dyDescent="0.25">
      <c r="A3278" s="87" t="s">
        <v>38</v>
      </c>
      <c r="B3278" s="87" t="s">
        <v>361</v>
      </c>
      <c r="C3278" s="87">
        <v>1987</v>
      </c>
      <c r="D3278" s="87" t="s">
        <v>15</v>
      </c>
      <c r="E3278" s="116">
        <v>105</v>
      </c>
      <c r="F3278" s="87" t="s">
        <v>855</v>
      </c>
      <c r="G3278" s="87" t="s">
        <v>967</v>
      </c>
      <c r="H3278" s="87" t="s">
        <v>855</v>
      </c>
      <c r="I3278" s="87" t="s">
        <v>983</v>
      </c>
    </row>
    <row r="3279" spans="1:9" ht="15" customHeight="1" x14ac:dyDescent="0.25">
      <c r="A3279" s="87" t="s">
        <v>38</v>
      </c>
      <c r="B3279" s="87" t="s">
        <v>361</v>
      </c>
      <c r="C3279" s="87">
        <v>1988</v>
      </c>
      <c r="D3279" s="87" t="s">
        <v>15</v>
      </c>
      <c r="E3279" s="116">
        <v>70</v>
      </c>
      <c r="F3279" s="87" t="s">
        <v>855</v>
      </c>
      <c r="G3279" s="87" t="s">
        <v>967</v>
      </c>
      <c r="H3279" s="87" t="s">
        <v>855</v>
      </c>
      <c r="I3279" s="87" t="s">
        <v>983</v>
      </c>
    </row>
    <row r="3280" spans="1:9" ht="15" customHeight="1" x14ac:dyDescent="0.25">
      <c r="A3280" s="87" t="s">
        <v>38</v>
      </c>
      <c r="B3280" s="87" t="s">
        <v>361</v>
      </c>
      <c r="C3280" s="87">
        <v>1989</v>
      </c>
      <c r="D3280" s="87" t="s">
        <v>15</v>
      </c>
      <c r="E3280" s="116">
        <v>20</v>
      </c>
      <c r="F3280" s="87" t="s">
        <v>855</v>
      </c>
      <c r="G3280" s="87" t="s">
        <v>967</v>
      </c>
      <c r="H3280" s="87" t="s">
        <v>855</v>
      </c>
      <c r="I3280" s="87" t="s">
        <v>983</v>
      </c>
    </row>
    <row r="3281" spans="1:9" ht="15" customHeight="1" x14ac:dyDescent="0.25">
      <c r="A3281" s="87" t="s">
        <v>38</v>
      </c>
      <c r="B3281" s="87" t="s">
        <v>361</v>
      </c>
      <c r="C3281" s="87">
        <v>1990</v>
      </c>
      <c r="D3281" s="87" t="s">
        <v>15</v>
      </c>
      <c r="E3281" s="116">
        <v>70</v>
      </c>
      <c r="F3281" s="87" t="s">
        <v>855</v>
      </c>
      <c r="G3281" s="87" t="s">
        <v>967</v>
      </c>
      <c r="H3281" s="87" t="s">
        <v>855</v>
      </c>
      <c r="I3281" s="87" t="s">
        <v>983</v>
      </c>
    </row>
    <row r="3282" spans="1:9" ht="15" customHeight="1" x14ac:dyDescent="0.25">
      <c r="A3282" s="87" t="s">
        <v>38</v>
      </c>
      <c r="B3282" s="87" t="s">
        <v>361</v>
      </c>
      <c r="C3282" s="87">
        <v>1991</v>
      </c>
      <c r="D3282" s="87" t="s">
        <v>15</v>
      </c>
      <c r="E3282" s="116">
        <v>42</v>
      </c>
      <c r="F3282" s="87" t="s">
        <v>855</v>
      </c>
      <c r="G3282" s="87" t="s">
        <v>967</v>
      </c>
      <c r="H3282" s="87" t="s">
        <v>855</v>
      </c>
      <c r="I3282" s="87" t="s">
        <v>983</v>
      </c>
    </row>
    <row r="3283" spans="1:9" ht="15" customHeight="1" x14ac:dyDescent="0.25">
      <c r="A3283" s="87" t="s">
        <v>38</v>
      </c>
      <c r="B3283" s="87" t="s">
        <v>361</v>
      </c>
      <c r="C3283" s="87">
        <v>1992</v>
      </c>
      <c r="D3283" s="87" t="s">
        <v>15</v>
      </c>
      <c r="E3283" s="116">
        <v>50</v>
      </c>
      <c r="F3283" s="87" t="s">
        <v>855</v>
      </c>
      <c r="G3283" s="87" t="s">
        <v>967</v>
      </c>
      <c r="H3283" s="87" t="s">
        <v>855</v>
      </c>
      <c r="I3283" s="87" t="s">
        <v>983</v>
      </c>
    </row>
    <row r="3284" spans="1:9" ht="15" customHeight="1" x14ac:dyDescent="0.25">
      <c r="A3284" s="87" t="s">
        <v>38</v>
      </c>
      <c r="B3284" s="87" t="s">
        <v>361</v>
      </c>
      <c r="C3284" s="87">
        <v>1993</v>
      </c>
      <c r="D3284" s="87" t="s">
        <v>15</v>
      </c>
      <c r="E3284" s="116">
        <v>60</v>
      </c>
      <c r="F3284" s="87" t="s">
        <v>855</v>
      </c>
      <c r="G3284" s="87" t="s">
        <v>967</v>
      </c>
      <c r="H3284" s="87" t="s">
        <v>855</v>
      </c>
      <c r="I3284" s="87" t="s">
        <v>983</v>
      </c>
    </row>
    <row r="3285" spans="1:9" ht="15" customHeight="1" x14ac:dyDescent="0.25">
      <c r="A3285" s="87" t="s">
        <v>38</v>
      </c>
      <c r="B3285" s="87" t="s">
        <v>361</v>
      </c>
      <c r="C3285" s="87">
        <v>1994</v>
      </c>
      <c r="D3285" s="87" t="s">
        <v>15</v>
      </c>
      <c r="E3285" s="116">
        <v>43</v>
      </c>
      <c r="F3285" s="87" t="s">
        <v>855</v>
      </c>
      <c r="G3285" s="87" t="s">
        <v>967</v>
      </c>
      <c r="H3285" s="87" t="s">
        <v>855</v>
      </c>
      <c r="I3285" s="87" t="s">
        <v>983</v>
      </c>
    </row>
    <row r="3286" spans="1:9" ht="15" customHeight="1" x14ac:dyDescent="0.25">
      <c r="A3286" s="87" t="s">
        <v>38</v>
      </c>
      <c r="B3286" s="87" t="s">
        <v>361</v>
      </c>
      <c r="C3286" s="87">
        <v>1995</v>
      </c>
      <c r="D3286" s="87" t="s">
        <v>15</v>
      </c>
      <c r="E3286" s="116">
        <v>-1</v>
      </c>
      <c r="F3286" s="87" t="s">
        <v>900</v>
      </c>
      <c r="G3286" s="87" t="s">
        <v>272</v>
      </c>
      <c r="H3286" s="87" t="s">
        <v>900</v>
      </c>
      <c r="I3286" s="87" t="s">
        <v>983</v>
      </c>
    </row>
    <row r="3287" spans="1:9" ht="15" customHeight="1" x14ac:dyDescent="0.25">
      <c r="A3287" s="87" t="s">
        <v>38</v>
      </c>
      <c r="B3287" s="87" t="s">
        <v>361</v>
      </c>
      <c r="C3287" s="87">
        <v>1996</v>
      </c>
      <c r="D3287" s="87" t="s">
        <v>15</v>
      </c>
      <c r="E3287" s="116">
        <v>75</v>
      </c>
      <c r="F3287" s="87" t="s">
        <v>967</v>
      </c>
      <c r="G3287" s="87" t="s">
        <v>967</v>
      </c>
      <c r="H3287" s="87" t="s">
        <v>967</v>
      </c>
      <c r="I3287" s="87" t="s">
        <v>983</v>
      </c>
    </row>
    <row r="3288" spans="1:9" ht="15" customHeight="1" x14ac:dyDescent="0.25">
      <c r="A3288" s="87" t="s">
        <v>38</v>
      </c>
      <c r="B3288" s="87" t="s">
        <v>361</v>
      </c>
      <c r="C3288" s="87">
        <v>1997</v>
      </c>
      <c r="D3288" s="87" t="s">
        <v>15</v>
      </c>
      <c r="E3288" s="116">
        <v>-1</v>
      </c>
      <c r="F3288" s="87" t="s">
        <v>900</v>
      </c>
      <c r="G3288" s="87" t="s">
        <v>272</v>
      </c>
      <c r="H3288" s="87" t="s">
        <v>900</v>
      </c>
      <c r="I3288" s="87" t="s">
        <v>983</v>
      </c>
    </row>
    <row r="3289" spans="1:9" ht="15" customHeight="1" x14ac:dyDescent="0.25">
      <c r="A3289" s="87" t="s">
        <v>38</v>
      </c>
      <c r="B3289" s="87" t="s">
        <v>361</v>
      </c>
      <c r="C3289" s="87">
        <v>1998</v>
      </c>
      <c r="D3289" s="87" t="s">
        <v>15</v>
      </c>
      <c r="E3289" s="116">
        <v>88</v>
      </c>
      <c r="F3289" s="87" t="s">
        <v>856</v>
      </c>
      <c r="G3289" s="87" t="s">
        <v>272</v>
      </c>
      <c r="H3289" s="87" t="s">
        <v>856</v>
      </c>
      <c r="I3289" s="87" t="s">
        <v>983</v>
      </c>
    </row>
    <row r="3290" spans="1:9" ht="15" customHeight="1" x14ac:dyDescent="0.25">
      <c r="A3290" s="87" t="s">
        <v>38</v>
      </c>
      <c r="B3290" s="87" t="s">
        <v>361</v>
      </c>
      <c r="C3290" s="87">
        <v>1999</v>
      </c>
      <c r="D3290" s="87" t="s">
        <v>15</v>
      </c>
      <c r="E3290" s="116">
        <v>-1</v>
      </c>
      <c r="F3290" s="87" t="s">
        <v>904</v>
      </c>
      <c r="G3290" s="87" t="s">
        <v>272</v>
      </c>
      <c r="H3290" s="87" t="s">
        <v>904</v>
      </c>
      <c r="I3290" s="87" t="s">
        <v>983</v>
      </c>
    </row>
    <row r="3291" spans="1:9" ht="15" customHeight="1" x14ac:dyDescent="0.25">
      <c r="A3291" s="87" t="s">
        <v>38</v>
      </c>
      <c r="B3291" s="87" t="s">
        <v>361</v>
      </c>
      <c r="C3291" s="87">
        <v>2000</v>
      </c>
      <c r="D3291" s="87" t="s">
        <v>15</v>
      </c>
      <c r="E3291" s="116">
        <v>52</v>
      </c>
      <c r="F3291" s="87" t="s">
        <v>967</v>
      </c>
      <c r="G3291" s="87" t="s">
        <v>272</v>
      </c>
      <c r="H3291" s="87" t="s">
        <v>967</v>
      </c>
      <c r="I3291" s="87" t="s">
        <v>983</v>
      </c>
    </row>
    <row r="3292" spans="1:9" ht="15" customHeight="1" x14ac:dyDescent="0.25">
      <c r="A3292" s="87" t="s">
        <v>38</v>
      </c>
      <c r="B3292" s="87" t="s">
        <v>361</v>
      </c>
      <c r="C3292" s="87">
        <v>2001</v>
      </c>
      <c r="D3292" s="87" t="s">
        <v>15</v>
      </c>
      <c r="E3292" s="116">
        <v>49</v>
      </c>
      <c r="F3292" s="87" t="s">
        <v>967</v>
      </c>
      <c r="G3292" s="87" t="s">
        <v>272</v>
      </c>
      <c r="H3292" s="87" t="s">
        <v>967</v>
      </c>
      <c r="I3292" s="87" t="s">
        <v>983</v>
      </c>
    </row>
    <row r="3293" spans="1:9" ht="15" customHeight="1" x14ac:dyDescent="0.25">
      <c r="A3293" s="87" t="s">
        <v>38</v>
      </c>
      <c r="B3293" s="87" t="s">
        <v>361</v>
      </c>
      <c r="C3293" s="87">
        <v>2002</v>
      </c>
      <c r="D3293" s="87" t="s">
        <v>15</v>
      </c>
      <c r="E3293" s="116">
        <v>73</v>
      </c>
      <c r="F3293" s="87" t="s">
        <v>967</v>
      </c>
      <c r="G3293" s="87" t="s">
        <v>967</v>
      </c>
      <c r="H3293" s="87" t="s">
        <v>967</v>
      </c>
      <c r="I3293" s="87" t="s">
        <v>983</v>
      </c>
    </row>
    <row r="3294" spans="1:9" ht="15" customHeight="1" x14ac:dyDescent="0.25">
      <c r="A3294" s="87" t="s">
        <v>38</v>
      </c>
      <c r="B3294" s="87" t="s">
        <v>361</v>
      </c>
      <c r="C3294" s="87">
        <v>2003</v>
      </c>
      <c r="D3294" s="87" t="s">
        <v>15</v>
      </c>
      <c r="E3294" s="116">
        <v>160</v>
      </c>
      <c r="F3294" s="87" t="s">
        <v>967</v>
      </c>
      <c r="G3294" s="87" t="s">
        <v>272</v>
      </c>
      <c r="H3294" s="87" t="s">
        <v>967</v>
      </c>
      <c r="I3294" s="87" t="s">
        <v>983</v>
      </c>
    </row>
    <row r="3295" spans="1:9" ht="15" customHeight="1" x14ac:dyDescent="0.25">
      <c r="A3295" s="87" t="s">
        <v>38</v>
      </c>
      <c r="B3295" s="87" t="s">
        <v>361</v>
      </c>
      <c r="C3295" s="87">
        <v>2004</v>
      </c>
      <c r="D3295" s="87" t="s">
        <v>15</v>
      </c>
      <c r="E3295" s="116">
        <v>102</v>
      </c>
      <c r="F3295" s="87" t="s">
        <v>967</v>
      </c>
      <c r="G3295" s="87" t="s">
        <v>272</v>
      </c>
      <c r="H3295" s="87" t="s">
        <v>967</v>
      </c>
      <c r="I3295" s="87" t="s">
        <v>983</v>
      </c>
    </row>
    <row r="3296" spans="1:9" ht="15" customHeight="1" x14ac:dyDescent="0.25">
      <c r="A3296" s="87" t="s">
        <v>38</v>
      </c>
      <c r="B3296" s="87" t="s">
        <v>361</v>
      </c>
      <c r="C3296" s="87">
        <v>2005</v>
      </c>
      <c r="D3296" s="87" t="s">
        <v>15</v>
      </c>
      <c r="E3296" s="116">
        <v>70</v>
      </c>
      <c r="F3296" s="87" t="s">
        <v>967</v>
      </c>
      <c r="G3296" s="87" t="s">
        <v>272</v>
      </c>
      <c r="H3296" s="87" t="s">
        <v>967</v>
      </c>
      <c r="I3296" s="87" t="s">
        <v>983</v>
      </c>
    </row>
    <row r="3297" spans="1:9" ht="15" customHeight="1" x14ac:dyDescent="0.25">
      <c r="A3297" s="87" t="s">
        <v>38</v>
      </c>
      <c r="B3297" s="87" t="s">
        <v>361</v>
      </c>
      <c r="C3297" s="87">
        <v>2006</v>
      </c>
      <c r="D3297" s="87" t="s">
        <v>15</v>
      </c>
      <c r="E3297" s="116">
        <v>100</v>
      </c>
      <c r="F3297" s="87" t="s">
        <v>967</v>
      </c>
      <c r="G3297" s="87" t="s">
        <v>272</v>
      </c>
      <c r="H3297" s="87" t="s">
        <v>967</v>
      </c>
      <c r="I3297" s="87" t="s">
        <v>983</v>
      </c>
    </row>
    <row r="3298" spans="1:9" ht="15" customHeight="1" x14ac:dyDescent="0.25">
      <c r="A3298" s="87" t="s">
        <v>38</v>
      </c>
      <c r="B3298" s="87" t="s">
        <v>361</v>
      </c>
      <c r="C3298" s="87">
        <v>2007</v>
      </c>
      <c r="D3298" s="87" t="s">
        <v>15</v>
      </c>
      <c r="E3298" s="116">
        <v>20</v>
      </c>
      <c r="F3298" s="87" t="s">
        <v>967</v>
      </c>
      <c r="G3298" s="87" t="s">
        <v>272</v>
      </c>
      <c r="H3298" s="87" t="s">
        <v>967</v>
      </c>
      <c r="I3298" s="87" t="s">
        <v>983</v>
      </c>
    </row>
    <row r="3299" spans="1:9" ht="15" customHeight="1" x14ac:dyDescent="0.25">
      <c r="A3299" s="87" t="s">
        <v>38</v>
      </c>
      <c r="B3299" s="87" t="s">
        <v>361</v>
      </c>
      <c r="C3299" s="87">
        <v>2008</v>
      </c>
      <c r="D3299" s="87" t="s">
        <v>15</v>
      </c>
      <c r="E3299" s="116">
        <v>34</v>
      </c>
      <c r="F3299" s="87" t="s">
        <v>967</v>
      </c>
      <c r="G3299" s="87" t="s">
        <v>272</v>
      </c>
      <c r="H3299" s="87" t="s">
        <v>967</v>
      </c>
      <c r="I3299" s="87" t="s">
        <v>983</v>
      </c>
    </row>
    <row r="3300" spans="1:9" ht="15" customHeight="1" x14ac:dyDescent="0.25">
      <c r="A3300" s="87" t="s">
        <v>38</v>
      </c>
      <c r="B3300" s="87" t="s">
        <v>361</v>
      </c>
      <c r="C3300" s="87">
        <v>2009</v>
      </c>
      <c r="D3300" s="87" t="s">
        <v>15</v>
      </c>
      <c r="E3300" s="116">
        <v>196</v>
      </c>
      <c r="F3300" s="87" t="s">
        <v>967</v>
      </c>
      <c r="G3300" s="87" t="s">
        <v>272</v>
      </c>
      <c r="H3300" s="87" t="s">
        <v>967</v>
      </c>
      <c r="I3300" s="87" t="s">
        <v>983</v>
      </c>
    </row>
    <row r="3301" spans="1:9" ht="15" customHeight="1" x14ac:dyDescent="0.25">
      <c r="A3301" s="87" t="s">
        <v>38</v>
      </c>
      <c r="B3301" s="87" t="s">
        <v>361</v>
      </c>
      <c r="C3301" s="87">
        <v>2010</v>
      </c>
      <c r="D3301" s="87" t="s">
        <v>15</v>
      </c>
      <c r="E3301" s="116">
        <v>23</v>
      </c>
      <c r="F3301" s="87" t="s">
        <v>967</v>
      </c>
      <c r="G3301" s="87" t="s">
        <v>272</v>
      </c>
      <c r="H3301" s="87" t="s">
        <v>967</v>
      </c>
      <c r="I3301" s="87" t="s">
        <v>983</v>
      </c>
    </row>
    <row r="3302" spans="1:9" ht="15" customHeight="1" x14ac:dyDescent="0.25">
      <c r="A3302" s="87" t="s">
        <v>38</v>
      </c>
      <c r="B3302" s="87" t="s">
        <v>361</v>
      </c>
      <c r="C3302" s="87">
        <v>2011</v>
      </c>
      <c r="D3302" s="87" t="s">
        <v>15</v>
      </c>
      <c r="E3302" s="116">
        <v>17</v>
      </c>
      <c r="F3302" s="87" t="s">
        <v>967</v>
      </c>
      <c r="G3302" s="87" t="s">
        <v>272</v>
      </c>
      <c r="H3302" s="87" t="s">
        <v>967</v>
      </c>
      <c r="I3302" s="87" t="s">
        <v>983</v>
      </c>
    </row>
    <row r="3303" spans="1:9" ht="15" customHeight="1" x14ac:dyDescent="0.25">
      <c r="A3303" s="87" t="s">
        <v>38</v>
      </c>
      <c r="B3303" s="87" t="s">
        <v>361</v>
      </c>
      <c r="C3303" s="87">
        <v>2012</v>
      </c>
      <c r="D3303" s="87" t="s">
        <v>15</v>
      </c>
      <c r="E3303" s="116">
        <v>51</v>
      </c>
      <c r="F3303" s="87" t="s">
        <v>967</v>
      </c>
      <c r="G3303" s="87" t="s">
        <v>272</v>
      </c>
      <c r="H3303" s="87" t="s">
        <v>967</v>
      </c>
      <c r="I3303" s="87" t="s">
        <v>983</v>
      </c>
    </row>
    <row r="3304" spans="1:9" ht="15" customHeight="1" x14ac:dyDescent="0.25">
      <c r="A3304" s="87" t="s">
        <v>38</v>
      </c>
      <c r="B3304" s="87" t="s">
        <v>361</v>
      </c>
      <c r="C3304" s="87">
        <v>2013</v>
      </c>
      <c r="D3304" s="87" t="s">
        <v>15</v>
      </c>
      <c r="E3304" s="116">
        <v>73</v>
      </c>
      <c r="F3304" s="87" t="s">
        <v>967</v>
      </c>
      <c r="G3304" s="87" t="s">
        <v>272</v>
      </c>
      <c r="H3304" s="87" t="s">
        <v>967</v>
      </c>
      <c r="I3304" s="87" t="s">
        <v>983</v>
      </c>
    </row>
    <row r="3305" spans="1:9" ht="15" customHeight="1" x14ac:dyDescent="0.25">
      <c r="A3305" s="87" t="s">
        <v>38</v>
      </c>
      <c r="B3305" s="87" t="s">
        <v>361</v>
      </c>
      <c r="C3305" s="87">
        <v>2014</v>
      </c>
      <c r="D3305" s="87" t="s">
        <v>15</v>
      </c>
      <c r="E3305" s="116">
        <v>97</v>
      </c>
      <c r="F3305" s="87" t="s">
        <v>967</v>
      </c>
      <c r="G3305" s="87" t="s">
        <v>274</v>
      </c>
      <c r="H3305" s="87" t="s">
        <v>967</v>
      </c>
      <c r="I3305" s="87" t="s">
        <v>983</v>
      </c>
    </row>
    <row r="3306" spans="1:9" ht="15" customHeight="1" x14ac:dyDescent="0.25">
      <c r="A3306" s="87" t="s">
        <v>38</v>
      </c>
      <c r="B3306" s="87" t="s">
        <v>361</v>
      </c>
      <c r="C3306" s="87">
        <v>2015</v>
      </c>
      <c r="D3306" s="87" t="s">
        <v>15</v>
      </c>
      <c r="E3306" s="116">
        <v>21</v>
      </c>
      <c r="F3306" s="87" t="s">
        <v>967</v>
      </c>
      <c r="G3306" s="87" t="s">
        <v>272</v>
      </c>
      <c r="H3306" s="87" t="s">
        <v>857</v>
      </c>
      <c r="I3306" s="87" t="s">
        <v>983</v>
      </c>
    </row>
    <row r="3307" spans="1:9" ht="15" customHeight="1" x14ac:dyDescent="0.25">
      <c r="A3307" s="87" t="s">
        <v>38</v>
      </c>
      <c r="B3307" s="87" t="s">
        <v>361</v>
      </c>
      <c r="C3307" s="87">
        <v>2016</v>
      </c>
      <c r="D3307" s="87" t="s">
        <v>15</v>
      </c>
      <c r="E3307" s="116">
        <v>24</v>
      </c>
      <c r="F3307" s="87" t="s">
        <v>967</v>
      </c>
      <c r="G3307" s="87" t="s">
        <v>272</v>
      </c>
      <c r="H3307" s="87" t="s">
        <v>967</v>
      </c>
      <c r="I3307" s="87" t="s">
        <v>983</v>
      </c>
    </row>
    <row r="3308" spans="1:9" ht="15" customHeight="1" x14ac:dyDescent="0.25">
      <c r="A3308" s="87" t="s">
        <v>38</v>
      </c>
      <c r="B3308" s="87" t="s">
        <v>361</v>
      </c>
      <c r="C3308" s="87">
        <v>2017</v>
      </c>
      <c r="D3308" s="87" t="s">
        <v>15</v>
      </c>
      <c r="E3308" s="116">
        <v>56</v>
      </c>
      <c r="F3308" s="87" t="s">
        <v>967</v>
      </c>
      <c r="G3308" s="87" t="s">
        <v>272</v>
      </c>
      <c r="H3308" s="87" t="s">
        <v>967</v>
      </c>
      <c r="I3308" s="87" t="s">
        <v>983</v>
      </c>
    </row>
    <row r="3309" spans="1:9" ht="15" customHeight="1" x14ac:dyDescent="0.25">
      <c r="A3309" s="87" t="s">
        <v>38</v>
      </c>
      <c r="B3309" s="87" t="s">
        <v>361</v>
      </c>
      <c r="C3309" s="87">
        <v>2018</v>
      </c>
      <c r="D3309" s="87" t="s">
        <v>15</v>
      </c>
      <c r="E3309" s="116">
        <v>52</v>
      </c>
      <c r="F3309" s="87" t="s">
        <v>967</v>
      </c>
      <c r="G3309" s="87" t="s">
        <v>272</v>
      </c>
      <c r="H3309" s="87" t="s">
        <v>967</v>
      </c>
      <c r="I3309" s="87" t="s">
        <v>983</v>
      </c>
    </row>
    <row r="3310" spans="1:9" ht="15" customHeight="1" x14ac:dyDescent="0.25">
      <c r="A3310" s="87" t="s">
        <v>38</v>
      </c>
      <c r="B3310" s="87" t="s">
        <v>361</v>
      </c>
      <c r="C3310" s="87">
        <v>2019</v>
      </c>
      <c r="D3310" s="87" t="s">
        <v>15</v>
      </c>
      <c r="E3310" s="116">
        <v>-1</v>
      </c>
      <c r="F3310" s="87" t="s">
        <v>967</v>
      </c>
      <c r="G3310" s="87" t="s">
        <v>272</v>
      </c>
      <c r="H3310" s="87" t="s">
        <v>984</v>
      </c>
      <c r="I3310" s="87" t="s">
        <v>983</v>
      </c>
    </row>
    <row r="3311" spans="1:9" ht="15" customHeight="1" x14ac:dyDescent="0.25">
      <c r="A3311" s="87" t="s">
        <v>38</v>
      </c>
      <c r="B3311" s="87" t="s">
        <v>361</v>
      </c>
      <c r="C3311" s="87">
        <v>2020</v>
      </c>
      <c r="D3311" s="87" t="s">
        <v>15</v>
      </c>
      <c r="E3311" s="116">
        <v>-1</v>
      </c>
      <c r="F3311" s="87" t="s">
        <v>967</v>
      </c>
      <c r="G3311" s="87" t="s">
        <v>272</v>
      </c>
      <c r="H3311" s="87" t="s">
        <v>1017</v>
      </c>
      <c r="I3311" s="87" t="s">
        <v>983</v>
      </c>
    </row>
    <row r="3312" spans="1:9" ht="15" customHeight="1" x14ac:dyDescent="0.25">
      <c r="A3312" s="87" t="s">
        <v>38</v>
      </c>
      <c r="B3312" s="87" t="s">
        <v>361</v>
      </c>
      <c r="C3312" s="87">
        <v>2021</v>
      </c>
      <c r="D3312" s="87" t="s">
        <v>15</v>
      </c>
      <c r="E3312" s="116">
        <v>2</v>
      </c>
      <c r="F3312" s="87" t="s">
        <v>967</v>
      </c>
      <c r="G3312" s="87" t="s">
        <v>277</v>
      </c>
      <c r="H3312" s="87" t="s">
        <v>967</v>
      </c>
      <c r="I3312" s="87" t="s">
        <v>983</v>
      </c>
    </row>
    <row r="3313" spans="1:9" ht="15" customHeight="1" x14ac:dyDescent="0.25">
      <c r="A3313" s="87" t="s">
        <v>38</v>
      </c>
      <c r="B3313" s="87" t="s">
        <v>361</v>
      </c>
      <c r="C3313" s="87">
        <v>2022</v>
      </c>
      <c r="D3313" s="87" t="s">
        <v>15</v>
      </c>
      <c r="E3313" s="116">
        <v>58</v>
      </c>
      <c r="F3313" s="87" t="s">
        <v>967</v>
      </c>
      <c r="G3313" s="87" t="s">
        <v>1074</v>
      </c>
      <c r="H3313" s="87" t="s">
        <v>967</v>
      </c>
      <c r="I3313" s="154">
        <v>7</v>
      </c>
    </row>
    <row r="3314" spans="1:9" ht="15" customHeight="1" x14ac:dyDescent="0.25">
      <c r="A3314" s="87" t="s">
        <v>38</v>
      </c>
      <c r="B3314" s="87" t="s">
        <v>366</v>
      </c>
      <c r="C3314" s="87">
        <v>1975</v>
      </c>
      <c r="D3314" s="87" t="s">
        <v>15</v>
      </c>
      <c r="E3314" s="116">
        <v>75</v>
      </c>
      <c r="F3314" s="87" t="s">
        <v>1039</v>
      </c>
      <c r="G3314" s="87" t="s">
        <v>967</v>
      </c>
      <c r="H3314" s="87" t="s">
        <v>1039</v>
      </c>
      <c r="I3314" s="87">
        <v>16</v>
      </c>
    </row>
    <row r="3315" spans="1:9" ht="15" customHeight="1" x14ac:dyDescent="0.25">
      <c r="A3315" s="87" t="s">
        <v>38</v>
      </c>
      <c r="B3315" s="87" t="s">
        <v>366</v>
      </c>
      <c r="C3315" s="87">
        <v>1976</v>
      </c>
      <c r="D3315" s="87" t="s">
        <v>15</v>
      </c>
      <c r="E3315" s="116">
        <v>75</v>
      </c>
      <c r="F3315" s="87" t="s">
        <v>1039</v>
      </c>
      <c r="G3315" s="87" t="s">
        <v>967</v>
      </c>
      <c r="H3315" s="87" t="s">
        <v>1039</v>
      </c>
      <c r="I3315" s="87">
        <v>16</v>
      </c>
    </row>
    <row r="3316" spans="1:9" ht="15" customHeight="1" x14ac:dyDescent="0.25">
      <c r="A3316" s="87" t="s">
        <v>38</v>
      </c>
      <c r="B3316" s="87" t="s">
        <v>366</v>
      </c>
      <c r="C3316" s="87">
        <v>1977</v>
      </c>
      <c r="D3316" s="87" t="s">
        <v>15</v>
      </c>
      <c r="E3316" s="116">
        <v>115</v>
      </c>
      <c r="F3316" s="87" t="s">
        <v>1039</v>
      </c>
      <c r="G3316" s="87" t="s">
        <v>967</v>
      </c>
      <c r="H3316" s="87" t="s">
        <v>1039</v>
      </c>
      <c r="I3316" s="87">
        <v>16</v>
      </c>
    </row>
    <row r="3317" spans="1:9" ht="15" customHeight="1" x14ac:dyDescent="0.25">
      <c r="A3317" s="87" t="s">
        <v>38</v>
      </c>
      <c r="B3317" s="87" t="s">
        <v>366</v>
      </c>
      <c r="C3317" s="87">
        <v>1978</v>
      </c>
      <c r="D3317" s="87" t="s">
        <v>15</v>
      </c>
      <c r="E3317" s="116">
        <v>200</v>
      </c>
      <c r="F3317" s="87" t="s">
        <v>1039</v>
      </c>
      <c r="G3317" s="87" t="s">
        <v>967</v>
      </c>
      <c r="H3317" s="87" t="s">
        <v>1039</v>
      </c>
      <c r="I3317" s="87">
        <v>16</v>
      </c>
    </row>
    <row r="3318" spans="1:9" ht="15" customHeight="1" x14ac:dyDescent="0.25">
      <c r="A3318" s="87" t="s">
        <v>38</v>
      </c>
      <c r="B3318" s="87" t="s">
        <v>366</v>
      </c>
      <c r="C3318" s="87">
        <v>1979</v>
      </c>
      <c r="D3318" s="87" t="s">
        <v>15</v>
      </c>
      <c r="E3318" s="116">
        <v>750</v>
      </c>
      <c r="F3318" s="87" t="s">
        <v>1039</v>
      </c>
      <c r="G3318" s="87" t="s">
        <v>967</v>
      </c>
      <c r="H3318" s="87" t="s">
        <v>1039</v>
      </c>
      <c r="I3318" s="87">
        <v>16</v>
      </c>
    </row>
    <row r="3319" spans="1:9" ht="15" customHeight="1" x14ac:dyDescent="0.25">
      <c r="A3319" s="87" t="s">
        <v>38</v>
      </c>
      <c r="B3319" s="87" t="s">
        <v>366</v>
      </c>
      <c r="C3319" s="87">
        <v>1980</v>
      </c>
      <c r="D3319" s="87" t="s">
        <v>15</v>
      </c>
      <c r="E3319" s="116">
        <v>500</v>
      </c>
      <c r="F3319" s="87" t="s">
        <v>1039</v>
      </c>
      <c r="G3319" s="87" t="s">
        <v>967</v>
      </c>
      <c r="H3319" s="87" t="s">
        <v>1039</v>
      </c>
      <c r="I3319" s="87">
        <v>16</v>
      </c>
    </row>
    <row r="3320" spans="1:9" ht="15" customHeight="1" x14ac:dyDescent="0.25">
      <c r="A3320" s="87" t="s">
        <v>38</v>
      </c>
      <c r="B3320" s="87" t="s">
        <v>366</v>
      </c>
      <c r="C3320" s="87">
        <v>1981</v>
      </c>
      <c r="D3320" s="87" t="s">
        <v>15</v>
      </c>
      <c r="E3320" s="116">
        <v>440</v>
      </c>
      <c r="F3320" s="87" t="s">
        <v>1039</v>
      </c>
      <c r="G3320" s="87" t="s">
        <v>967</v>
      </c>
      <c r="H3320" s="87" t="s">
        <v>1039</v>
      </c>
      <c r="I3320" s="87">
        <v>16</v>
      </c>
    </row>
    <row r="3321" spans="1:9" ht="15" customHeight="1" x14ac:dyDescent="0.25">
      <c r="A3321" s="87" t="s">
        <v>38</v>
      </c>
      <c r="B3321" s="87" t="s">
        <v>366</v>
      </c>
      <c r="C3321" s="87">
        <v>1982</v>
      </c>
      <c r="D3321" s="87" t="s">
        <v>15</v>
      </c>
      <c r="E3321" s="116">
        <v>450</v>
      </c>
      <c r="F3321" s="87" t="s">
        <v>1039</v>
      </c>
      <c r="G3321" s="87" t="s">
        <v>967</v>
      </c>
      <c r="H3321" s="87" t="s">
        <v>1039</v>
      </c>
      <c r="I3321" s="87">
        <v>16</v>
      </c>
    </row>
    <row r="3322" spans="1:9" ht="15" customHeight="1" x14ac:dyDescent="0.25">
      <c r="A3322" s="87" t="s">
        <v>38</v>
      </c>
      <c r="B3322" s="87" t="s">
        <v>366</v>
      </c>
      <c r="C3322" s="87">
        <v>1983</v>
      </c>
      <c r="D3322" s="87" t="s">
        <v>15</v>
      </c>
      <c r="E3322" s="116">
        <v>780</v>
      </c>
      <c r="F3322" s="87" t="s">
        <v>1039</v>
      </c>
      <c r="G3322" s="87" t="s">
        <v>967</v>
      </c>
      <c r="H3322" s="87" t="s">
        <v>1039</v>
      </c>
      <c r="I3322" s="87">
        <v>16</v>
      </c>
    </row>
    <row r="3323" spans="1:9" ht="15" customHeight="1" x14ac:dyDescent="0.25">
      <c r="A3323" s="87" t="s">
        <v>38</v>
      </c>
      <c r="B3323" s="87" t="s">
        <v>366</v>
      </c>
      <c r="C3323" s="87">
        <v>1984</v>
      </c>
      <c r="D3323" s="87" t="s">
        <v>15</v>
      </c>
      <c r="E3323" s="116">
        <v>350</v>
      </c>
      <c r="F3323" s="87" t="s">
        <v>1039</v>
      </c>
      <c r="G3323" s="87" t="s">
        <v>967</v>
      </c>
      <c r="H3323" s="87" t="s">
        <v>1039</v>
      </c>
      <c r="I3323" s="87">
        <v>16</v>
      </c>
    </row>
    <row r="3324" spans="1:9" ht="15" customHeight="1" x14ac:dyDescent="0.25">
      <c r="A3324" s="87" t="s">
        <v>38</v>
      </c>
      <c r="B3324" s="87" t="s">
        <v>366</v>
      </c>
      <c r="C3324" s="87">
        <v>1985</v>
      </c>
      <c r="D3324" s="87" t="s">
        <v>15</v>
      </c>
      <c r="E3324" s="116">
        <v>1400</v>
      </c>
      <c r="F3324" s="87" t="s">
        <v>1039</v>
      </c>
      <c r="G3324" s="87" t="s">
        <v>967</v>
      </c>
      <c r="H3324" s="87" t="s">
        <v>1039</v>
      </c>
      <c r="I3324" s="87">
        <v>16</v>
      </c>
    </row>
    <row r="3325" spans="1:9" ht="15" customHeight="1" x14ac:dyDescent="0.25">
      <c r="A3325" s="87" t="s">
        <v>38</v>
      </c>
      <c r="B3325" s="87" t="s">
        <v>366</v>
      </c>
      <c r="C3325" s="87">
        <v>1986</v>
      </c>
      <c r="D3325" s="87" t="s">
        <v>15</v>
      </c>
      <c r="E3325" s="116">
        <v>1450</v>
      </c>
      <c r="F3325" s="87" t="s">
        <v>1039</v>
      </c>
      <c r="G3325" s="87" t="s">
        <v>967</v>
      </c>
      <c r="H3325" s="87" t="s">
        <v>1039</v>
      </c>
      <c r="I3325" s="87">
        <v>16</v>
      </c>
    </row>
    <row r="3326" spans="1:9" ht="15" customHeight="1" x14ac:dyDescent="0.25">
      <c r="A3326" s="87" t="s">
        <v>38</v>
      </c>
      <c r="B3326" s="87" t="s">
        <v>366</v>
      </c>
      <c r="C3326" s="87">
        <v>1987</v>
      </c>
      <c r="D3326" s="87" t="s">
        <v>15</v>
      </c>
      <c r="E3326" s="116">
        <v>1600</v>
      </c>
      <c r="F3326" s="87" t="s">
        <v>1039</v>
      </c>
      <c r="G3326" s="87" t="s">
        <v>967</v>
      </c>
      <c r="H3326" s="87" t="s">
        <v>1039</v>
      </c>
      <c r="I3326" s="87">
        <v>16</v>
      </c>
    </row>
    <row r="3327" spans="1:9" ht="15" customHeight="1" x14ac:dyDescent="0.25">
      <c r="A3327" s="87" t="s">
        <v>38</v>
      </c>
      <c r="B3327" s="87" t="s">
        <v>366</v>
      </c>
      <c r="C3327" s="87">
        <v>1988</v>
      </c>
      <c r="D3327" s="87" t="s">
        <v>15</v>
      </c>
      <c r="E3327" s="116">
        <v>1800</v>
      </c>
      <c r="F3327" s="87" t="s">
        <v>1039</v>
      </c>
      <c r="G3327" s="87" t="s">
        <v>967</v>
      </c>
      <c r="H3327" s="87" t="s">
        <v>1039</v>
      </c>
      <c r="I3327" s="87">
        <v>16</v>
      </c>
    </row>
    <row r="3328" spans="1:9" ht="15" customHeight="1" x14ac:dyDescent="0.25">
      <c r="A3328" s="87" t="s">
        <v>38</v>
      </c>
      <c r="B3328" s="87" t="s">
        <v>366</v>
      </c>
      <c r="C3328" s="87">
        <v>1989</v>
      </c>
      <c r="D3328" s="87" t="s">
        <v>15</v>
      </c>
      <c r="E3328" s="116">
        <v>1200</v>
      </c>
      <c r="F3328" s="87" t="s">
        <v>1039</v>
      </c>
      <c r="G3328" s="87" t="s">
        <v>967</v>
      </c>
      <c r="H3328" s="87" t="s">
        <v>1039</v>
      </c>
      <c r="I3328" s="87">
        <v>16</v>
      </c>
    </row>
    <row r="3329" spans="1:9" ht="15" customHeight="1" x14ac:dyDescent="0.25">
      <c r="A3329" s="87" t="s">
        <v>38</v>
      </c>
      <c r="B3329" s="87" t="s">
        <v>366</v>
      </c>
      <c r="C3329" s="87">
        <v>1990</v>
      </c>
      <c r="D3329" s="87" t="s">
        <v>15</v>
      </c>
      <c r="E3329" s="116">
        <v>1800</v>
      </c>
      <c r="F3329" s="87" t="s">
        <v>1039</v>
      </c>
      <c r="G3329" s="87" t="s">
        <v>967</v>
      </c>
      <c r="H3329" s="87" t="s">
        <v>1039</v>
      </c>
      <c r="I3329" s="87">
        <v>16</v>
      </c>
    </row>
    <row r="3330" spans="1:9" ht="15" customHeight="1" x14ac:dyDescent="0.25">
      <c r="A3330" s="87" t="s">
        <v>38</v>
      </c>
      <c r="B3330" s="87" t="s">
        <v>366</v>
      </c>
      <c r="C3330" s="87">
        <v>1991</v>
      </c>
      <c r="D3330" s="87" t="s">
        <v>15</v>
      </c>
      <c r="E3330" s="116">
        <v>550</v>
      </c>
      <c r="F3330" s="87" t="s">
        <v>1039</v>
      </c>
      <c r="G3330" s="87" t="s">
        <v>967</v>
      </c>
      <c r="H3330" s="87" t="s">
        <v>1039</v>
      </c>
      <c r="I3330" s="87">
        <v>16</v>
      </c>
    </row>
    <row r="3331" spans="1:9" ht="15" customHeight="1" x14ac:dyDescent="0.25">
      <c r="A3331" s="87" t="s">
        <v>38</v>
      </c>
      <c r="B3331" s="87" t="s">
        <v>366</v>
      </c>
      <c r="C3331" s="87">
        <v>1992</v>
      </c>
      <c r="D3331" s="87" t="s">
        <v>15</v>
      </c>
      <c r="E3331" s="116">
        <v>700</v>
      </c>
      <c r="F3331" s="87" t="s">
        <v>1039</v>
      </c>
      <c r="G3331" s="87" t="s">
        <v>967</v>
      </c>
      <c r="H3331" s="87" t="s">
        <v>1039</v>
      </c>
      <c r="I3331" s="87">
        <v>16</v>
      </c>
    </row>
    <row r="3332" spans="1:9" ht="15" customHeight="1" x14ac:dyDescent="0.25">
      <c r="A3332" s="87" t="s">
        <v>38</v>
      </c>
      <c r="B3332" s="87" t="s">
        <v>366</v>
      </c>
      <c r="C3332" s="87">
        <v>1993</v>
      </c>
      <c r="D3332" s="87" t="s">
        <v>15</v>
      </c>
      <c r="E3332" s="116">
        <v>600</v>
      </c>
      <c r="F3332" s="87" t="s">
        <v>1039</v>
      </c>
      <c r="G3332" s="87" t="s">
        <v>967</v>
      </c>
      <c r="H3332" s="87" t="s">
        <v>1039</v>
      </c>
      <c r="I3332" s="87">
        <v>16</v>
      </c>
    </row>
    <row r="3333" spans="1:9" ht="15" customHeight="1" x14ac:dyDescent="0.25">
      <c r="A3333" s="87" t="s">
        <v>38</v>
      </c>
      <c r="B3333" s="87" t="s">
        <v>366</v>
      </c>
      <c r="C3333" s="87">
        <v>1994</v>
      </c>
      <c r="D3333" s="87" t="s">
        <v>15</v>
      </c>
      <c r="E3333" s="116">
        <v>1170</v>
      </c>
      <c r="F3333" s="87" t="s">
        <v>1039</v>
      </c>
      <c r="G3333" s="87" t="s">
        <v>967</v>
      </c>
      <c r="H3333" s="87" t="s">
        <v>1039</v>
      </c>
      <c r="I3333" s="87">
        <v>16</v>
      </c>
    </row>
    <row r="3334" spans="1:9" ht="15" customHeight="1" x14ac:dyDescent="0.25">
      <c r="A3334" s="87" t="s">
        <v>38</v>
      </c>
      <c r="B3334" s="87" t="s">
        <v>366</v>
      </c>
      <c r="C3334" s="87">
        <v>1995</v>
      </c>
      <c r="D3334" s="87" t="s">
        <v>15</v>
      </c>
      <c r="E3334" s="116">
        <v>718</v>
      </c>
      <c r="F3334" s="87" t="s">
        <v>1039</v>
      </c>
      <c r="G3334" s="87" t="s">
        <v>967</v>
      </c>
      <c r="H3334" s="87" t="s">
        <v>1039</v>
      </c>
      <c r="I3334" s="87">
        <v>16</v>
      </c>
    </row>
    <row r="3335" spans="1:9" ht="15" customHeight="1" x14ac:dyDescent="0.25">
      <c r="A3335" s="87" t="s">
        <v>38</v>
      </c>
      <c r="B3335" s="87" t="s">
        <v>366</v>
      </c>
      <c r="C3335" s="87">
        <v>1996</v>
      </c>
      <c r="D3335" s="87" t="s">
        <v>15</v>
      </c>
      <c r="E3335" s="116">
        <v>1240</v>
      </c>
      <c r="F3335" s="87" t="s">
        <v>1039</v>
      </c>
      <c r="G3335" s="87" t="s">
        <v>967</v>
      </c>
      <c r="H3335" s="87" t="s">
        <v>1039</v>
      </c>
      <c r="I3335" s="87">
        <v>16</v>
      </c>
    </row>
    <row r="3336" spans="1:9" ht="15" customHeight="1" x14ac:dyDescent="0.25">
      <c r="A3336" s="87" t="s">
        <v>38</v>
      </c>
      <c r="B3336" s="87" t="s">
        <v>366</v>
      </c>
      <c r="C3336" s="87">
        <v>1997</v>
      </c>
      <c r="D3336" s="87" t="s">
        <v>15</v>
      </c>
      <c r="E3336" s="116">
        <v>1640</v>
      </c>
      <c r="F3336" s="87" t="s">
        <v>1039</v>
      </c>
      <c r="G3336" s="87" t="s">
        <v>967</v>
      </c>
      <c r="H3336" s="87" t="s">
        <v>1039</v>
      </c>
      <c r="I3336" s="87">
        <v>16</v>
      </c>
    </row>
    <row r="3337" spans="1:9" ht="15" customHeight="1" x14ac:dyDescent="0.25">
      <c r="A3337" s="87" t="s">
        <v>38</v>
      </c>
      <c r="B3337" s="87" t="s">
        <v>366</v>
      </c>
      <c r="C3337" s="87">
        <v>1998</v>
      </c>
      <c r="D3337" s="87" t="s">
        <v>15</v>
      </c>
      <c r="E3337" s="116">
        <v>1520</v>
      </c>
      <c r="F3337" s="87" t="s">
        <v>967</v>
      </c>
      <c r="G3337" s="87" t="s">
        <v>272</v>
      </c>
      <c r="H3337" s="87" t="s">
        <v>967</v>
      </c>
      <c r="I3337" s="87">
        <v>16</v>
      </c>
    </row>
    <row r="3338" spans="1:9" ht="15" customHeight="1" x14ac:dyDescent="0.25">
      <c r="A3338" s="87" t="s">
        <v>38</v>
      </c>
      <c r="B3338" s="87" t="s">
        <v>366</v>
      </c>
      <c r="C3338" s="87">
        <v>1999</v>
      </c>
      <c r="D3338" s="87" t="s">
        <v>15</v>
      </c>
      <c r="E3338" s="116">
        <v>575</v>
      </c>
      <c r="F3338" s="87" t="s">
        <v>967</v>
      </c>
      <c r="G3338" s="87" t="s">
        <v>272</v>
      </c>
      <c r="H3338" s="87" t="s">
        <v>967</v>
      </c>
      <c r="I3338" s="87">
        <v>16</v>
      </c>
    </row>
    <row r="3339" spans="1:9" ht="15" customHeight="1" x14ac:dyDescent="0.25">
      <c r="A3339" s="87" t="s">
        <v>38</v>
      </c>
      <c r="B3339" s="87" t="s">
        <v>366</v>
      </c>
      <c r="C3339" s="87">
        <v>2000</v>
      </c>
      <c r="D3339" s="87" t="s">
        <v>15</v>
      </c>
      <c r="E3339" s="116">
        <v>977</v>
      </c>
      <c r="F3339" s="87" t="s">
        <v>967</v>
      </c>
      <c r="G3339" s="87" t="s">
        <v>272</v>
      </c>
      <c r="H3339" s="87" t="s">
        <v>967</v>
      </c>
      <c r="I3339" s="87">
        <v>16</v>
      </c>
    </row>
    <row r="3340" spans="1:9" ht="15" customHeight="1" x14ac:dyDescent="0.25">
      <c r="A3340" s="87" t="s">
        <v>38</v>
      </c>
      <c r="B3340" s="87" t="s">
        <v>366</v>
      </c>
      <c r="C3340" s="87">
        <v>2001</v>
      </c>
      <c r="D3340" s="87" t="s">
        <v>15</v>
      </c>
      <c r="E3340" s="116">
        <v>695</v>
      </c>
      <c r="F3340" s="87" t="s">
        <v>967</v>
      </c>
      <c r="G3340" s="87" t="s">
        <v>272</v>
      </c>
      <c r="H3340" s="87" t="s">
        <v>967</v>
      </c>
      <c r="I3340" s="87">
        <v>16</v>
      </c>
    </row>
    <row r="3341" spans="1:9" ht="15" customHeight="1" x14ac:dyDescent="0.25">
      <c r="A3341" s="87" t="s">
        <v>38</v>
      </c>
      <c r="B3341" s="87" t="s">
        <v>366</v>
      </c>
      <c r="C3341" s="87">
        <v>2002</v>
      </c>
      <c r="D3341" s="87" t="s">
        <v>15</v>
      </c>
      <c r="E3341" s="116">
        <v>1018</v>
      </c>
      <c r="F3341" s="87" t="s">
        <v>967</v>
      </c>
      <c r="G3341" s="87" t="s">
        <v>272</v>
      </c>
      <c r="H3341" s="87" t="s">
        <v>967</v>
      </c>
      <c r="I3341" s="87">
        <v>16</v>
      </c>
    </row>
    <row r="3342" spans="1:9" ht="15" customHeight="1" x14ac:dyDescent="0.25">
      <c r="A3342" s="87" t="s">
        <v>38</v>
      </c>
      <c r="B3342" s="87" t="s">
        <v>366</v>
      </c>
      <c r="C3342" s="87">
        <v>2003</v>
      </c>
      <c r="D3342" s="87" t="s">
        <v>15</v>
      </c>
      <c r="E3342" s="116">
        <v>1587</v>
      </c>
      <c r="F3342" s="87" t="s">
        <v>340</v>
      </c>
      <c r="G3342" s="87" t="s">
        <v>272</v>
      </c>
      <c r="H3342" s="87" t="s">
        <v>967</v>
      </c>
      <c r="I3342" s="87">
        <v>16</v>
      </c>
    </row>
    <row r="3343" spans="1:9" ht="15" customHeight="1" x14ac:dyDescent="0.25">
      <c r="A3343" s="87" t="s">
        <v>38</v>
      </c>
      <c r="B3343" s="87" t="s">
        <v>366</v>
      </c>
      <c r="C3343" s="87">
        <v>2004</v>
      </c>
      <c r="D3343" s="87" t="s">
        <v>15</v>
      </c>
      <c r="E3343" s="116">
        <v>1679</v>
      </c>
      <c r="F3343" s="87" t="s">
        <v>967</v>
      </c>
      <c r="G3343" s="87" t="s">
        <v>272</v>
      </c>
      <c r="H3343" s="87" t="s">
        <v>967</v>
      </c>
      <c r="I3343" s="87">
        <v>16</v>
      </c>
    </row>
    <row r="3344" spans="1:9" ht="15" customHeight="1" x14ac:dyDescent="0.25">
      <c r="A3344" s="87" t="s">
        <v>38</v>
      </c>
      <c r="B3344" s="87" t="s">
        <v>366</v>
      </c>
      <c r="C3344" s="87">
        <v>2005</v>
      </c>
      <c r="D3344" s="87" t="s">
        <v>15</v>
      </c>
      <c r="E3344" s="116">
        <v>812</v>
      </c>
      <c r="F3344" s="87" t="s">
        <v>967</v>
      </c>
      <c r="G3344" s="87" t="s">
        <v>272</v>
      </c>
      <c r="H3344" s="87" t="s">
        <v>967</v>
      </c>
      <c r="I3344" s="87">
        <v>16</v>
      </c>
    </row>
    <row r="3345" spans="1:9" ht="15" customHeight="1" x14ac:dyDescent="0.25">
      <c r="A3345" s="87" t="s">
        <v>38</v>
      </c>
      <c r="B3345" s="87" t="s">
        <v>366</v>
      </c>
      <c r="C3345" s="87">
        <v>2006</v>
      </c>
      <c r="D3345" s="87" t="s">
        <v>15</v>
      </c>
      <c r="E3345" s="116">
        <v>1180</v>
      </c>
      <c r="F3345" s="87" t="s">
        <v>967</v>
      </c>
      <c r="G3345" s="87" t="s">
        <v>272</v>
      </c>
      <c r="H3345" s="87" t="s">
        <v>967</v>
      </c>
      <c r="I3345" s="87">
        <v>16</v>
      </c>
    </row>
    <row r="3346" spans="1:9" ht="15" customHeight="1" x14ac:dyDescent="0.25">
      <c r="A3346" s="87" t="s">
        <v>38</v>
      </c>
      <c r="B3346" s="87" t="s">
        <v>366</v>
      </c>
      <c r="C3346" s="87">
        <v>2007</v>
      </c>
      <c r="D3346" s="87" t="s">
        <v>15</v>
      </c>
      <c r="E3346" s="116">
        <v>368</v>
      </c>
      <c r="F3346" s="87" t="s">
        <v>967</v>
      </c>
      <c r="G3346" s="87" t="s">
        <v>272</v>
      </c>
      <c r="H3346" s="87" t="s">
        <v>967</v>
      </c>
      <c r="I3346" s="87">
        <v>16</v>
      </c>
    </row>
    <row r="3347" spans="1:9" ht="15" customHeight="1" x14ac:dyDescent="0.25">
      <c r="A3347" s="87" t="s">
        <v>38</v>
      </c>
      <c r="B3347" s="87" t="s">
        <v>366</v>
      </c>
      <c r="C3347" s="87">
        <v>2008</v>
      </c>
      <c r="D3347" s="87" t="s">
        <v>15</v>
      </c>
      <c r="E3347" s="116">
        <v>453</v>
      </c>
      <c r="F3347" s="87" t="s">
        <v>967</v>
      </c>
      <c r="G3347" s="87" t="s">
        <v>272</v>
      </c>
      <c r="H3347" s="87" t="s">
        <v>967</v>
      </c>
      <c r="I3347" s="87">
        <v>16</v>
      </c>
    </row>
    <row r="3348" spans="1:9" ht="15" customHeight="1" x14ac:dyDescent="0.25">
      <c r="A3348" s="87" t="s">
        <v>38</v>
      </c>
      <c r="B3348" s="87" t="s">
        <v>366</v>
      </c>
      <c r="C3348" s="87">
        <v>2009</v>
      </c>
      <c r="D3348" s="87" t="s">
        <v>15</v>
      </c>
      <c r="E3348" s="116">
        <v>967</v>
      </c>
      <c r="F3348" s="87" t="s">
        <v>967</v>
      </c>
      <c r="G3348" s="87" t="s">
        <v>272</v>
      </c>
      <c r="H3348" s="87" t="s">
        <v>967</v>
      </c>
      <c r="I3348" s="87">
        <v>16</v>
      </c>
    </row>
    <row r="3349" spans="1:9" ht="15" customHeight="1" x14ac:dyDescent="0.25">
      <c r="A3349" s="87" t="s">
        <v>38</v>
      </c>
      <c r="B3349" s="87" t="s">
        <v>366</v>
      </c>
      <c r="C3349" s="87">
        <v>2010</v>
      </c>
      <c r="D3349" s="87" t="s">
        <v>15</v>
      </c>
      <c r="E3349" s="116">
        <v>566</v>
      </c>
      <c r="F3349" s="87" t="s">
        <v>967</v>
      </c>
      <c r="G3349" s="87" t="s">
        <v>272</v>
      </c>
      <c r="H3349" s="87" t="s">
        <v>967</v>
      </c>
      <c r="I3349" s="87">
        <v>16</v>
      </c>
    </row>
    <row r="3350" spans="1:9" ht="15" customHeight="1" x14ac:dyDescent="0.25">
      <c r="A3350" s="87" t="s">
        <v>38</v>
      </c>
      <c r="B3350" s="87" t="s">
        <v>366</v>
      </c>
      <c r="C3350" s="87">
        <v>2011</v>
      </c>
      <c r="D3350" s="87" t="s">
        <v>15</v>
      </c>
      <c r="E3350" s="116">
        <v>608</v>
      </c>
      <c r="F3350" s="87" t="s">
        <v>967</v>
      </c>
      <c r="G3350" s="87" t="s">
        <v>272</v>
      </c>
      <c r="H3350" s="87" t="s">
        <v>967</v>
      </c>
      <c r="I3350" s="87">
        <v>16</v>
      </c>
    </row>
    <row r="3351" spans="1:9" ht="15" customHeight="1" x14ac:dyDescent="0.25">
      <c r="A3351" s="87" t="s">
        <v>38</v>
      </c>
      <c r="B3351" s="87" t="s">
        <v>366</v>
      </c>
      <c r="C3351" s="87">
        <v>2012</v>
      </c>
      <c r="D3351" s="87" t="s">
        <v>15</v>
      </c>
      <c r="E3351" s="116">
        <v>343</v>
      </c>
      <c r="F3351" s="87" t="s">
        <v>967</v>
      </c>
      <c r="G3351" s="87" t="s">
        <v>272</v>
      </c>
      <c r="H3351" s="87" t="s">
        <v>967</v>
      </c>
      <c r="I3351" s="87">
        <v>16</v>
      </c>
    </row>
    <row r="3352" spans="1:9" ht="15" customHeight="1" x14ac:dyDescent="0.25">
      <c r="A3352" s="87" t="s">
        <v>38</v>
      </c>
      <c r="B3352" s="87" t="s">
        <v>366</v>
      </c>
      <c r="C3352" s="87">
        <v>2013</v>
      </c>
      <c r="D3352" s="87" t="s">
        <v>15</v>
      </c>
      <c r="E3352" s="116">
        <v>592</v>
      </c>
      <c r="F3352" s="87" t="s">
        <v>967</v>
      </c>
      <c r="G3352" s="87" t="s">
        <v>272</v>
      </c>
      <c r="H3352" s="87" t="s">
        <v>1040</v>
      </c>
      <c r="I3352" s="87">
        <v>16</v>
      </c>
    </row>
    <row r="3353" spans="1:9" ht="15" customHeight="1" x14ac:dyDescent="0.25">
      <c r="A3353" s="87" t="s">
        <v>38</v>
      </c>
      <c r="B3353" s="87" t="s">
        <v>366</v>
      </c>
      <c r="C3353" s="87">
        <v>2014</v>
      </c>
      <c r="D3353" s="87" t="s">
        <v>15</v>
      </c>
      <c r="E3353" s="116">
        <v>1469</v>
      </c>
      <c r="F3353" s="87" t="s">
        <v>967</v>
      </c>
      <c r="G3353" s="87" t="s">
        <v>272</v>
      </c>
      <c r="H3353" s="87" t="s">
        <v>1041</v>
      </c>
      <c r="I3353" s="87">
        <v>16</v>
      </c>
    </row>
    <row r="3354" spans="1:9" ht="15" customHeight="1" x14ac:dyDescent="0.25">
      <c r="A3354" s="87" t="s">
        <v>38</v>
      </c>
      <c r="B3354" s="87" t="s">
        <v>366</v>
      </c>
      <c r="C3354" s="87">
        <v>2015</v>
      </c>
      <c r="D3354" s="87" t="s">
        <v>15</v>
      </c>
      <c r="E3354" s="116">
        <v>868</v>
      </c>
      <c r="F3354" s="87" t="s">
        <v>967</v>
      </c>
      <c r="G3354" s="87" t="s">
        <v>272</v>
      </c>
      <c r="H3354" s="87" t="s">
        <v>1042</v>
      </c>
      <c r="I3354" s="87">
        <v>16</v>
      </c>
    </row>
    <row r="3355" spans="1:9" ht="15" customHeight="1" x14ac:dyDescent="0.25">
      <c r="A3355" s="87" t="s">
        <v>38</v>
      </c>
      <c r="B3355" s="87" t="s">
        <v>366</v>
      </c>
      <c r="C3355" s="87">
        <v>2016</v>
      </c>
      <c r="D3355" s="87" t="s">
        <v>15</v>
      </c>
      <c r="E3355" s="116">
        <v>358</v>
      </c>
      <c r="F3355" s="87" t="s">
        <v>967</v>
      </c>
      <c r="G3355" s="87" t="s">
        <v>272</v>
      </c>
      <c r="H3355" s="87" t="s">
        <v>1043</v>
      </c>
      <c r="I3355" s="87">
        <v>16</v>
      </c>
    </row>
    <row r="3356" spans="1:9" ht="15" customHeight="1" x14ac:dyDescent="0.25">
      <c r="A3356" s="87" t="s">
        <v>38</v>
      </c>
      <c r="B3356" s="87" t="s">
        <v>366</v>
      </c>
      <c r="C3356" s="87">
        <v>2017</v>
      </c>
      <c r="D3356" s="87" t="s">
        <v>15</v>
      </c>
      <c r="E3356" s="116">
        <v>301</v>
      </c>
      <c r="F3356" s="87" t="s">
        <v>967</v>
      </c>
      <c r="G3356" s="87" t="s">
        <v>272</v>
      </c>
      <c r="H3356" s="87" t="s">
        <v>967</v>
      </c>
      <c r="I3356" s="87">
        <v>16</v>
      </c>
    </row>
    <row r="3357" spans="1:9" ht="15" customHeight="1" x14ac:dyDescent="0.25">
      <c r="A3357" s="87" t="s">
        <v>38</v>
      </c>
      <c r="B3357" s="87" t="s">
        <v>366</v>
      </c>
      <c r="C3357" s="87">
        <v>2018</v>
      </c>
      <c r="D3357" s="87" t="s">
        <v>15</v>
      </c>
      <c r="E3357" s="116">
        <v>237</v>
      </c>
      <c r="F3357" s="87" t="s">
        <v>967</v>
      </c>
      <c r="G3357" s="87" t="s">
        <v>272</v>
      </c>
      <c r="H3357" s="87" t="s">
        <v>967</v>
      </c>
      <c r="I3357" s="87">
        <v>16</v>
      </c>
    </row>
    <row r="3358" spans="1:9" ht="15" customHeight="1" x14ac:dyDescent="0.25">
      <c r="A3358" s="87" t="s">
        <v>38</v>
      </c>
      <c r="B3358" s="87" t="s">
        <v>366</v>
      </c>
      <c r="C3358" s="87">
        <v>2019</v>
      </c>
      <c r="D3358" s="87" t="s">
        <v>15</v>
      </c>
      <c r="E3358" s="116">
        <v>314</v>
      </c>
      <c r="F3358" s="87" t="s">
        <v>967</v>
      </c>
      <c r="G3358" s="87" t="s">
        <v>272</v>
      </c>
      <c r="H3358" s="87" t="s">
        <v>967</v>
      </c>
      <c r="I3358" s="87">
        <v>16</v>
      </c>
    </row>
    <row r="3359" spans="1:9" ht="15" customHeight="1" x14ac:dyDescent="0.25">
      <c r="A3359" s="87" t="s">
        <v>38</v>
      </c>
      <c r="B3359" s="87" t="s">
        <v>366</v>
      </c>
      <c r="C3359" s="87">
        <v>2020</v>
      </c>
      <c r="D3359" s="87" t="s">
        <v>15</v>
      </c>
      <c r="E3359" s="116">
        <v>1069</v>
      </c>
      <c r="F3359" s="87" t="s">
        <v>967</v>
      </c>
      <c r="G3359" s="87" t="s">
        <v>272</v>
      </c>
      <c r="H3359" s="87" t="s">
        <v>967</v>
      </c>
      <c r="I3359" s="87">
        <v>16</v>
      </c>
    </row>
    <row r="3360" spans="1:9" ht="15" customHeight="1" x14ac:dyDescent="0.25">
      <c r="A3360" s="87" t="s">
        <v>38</v>
      </c>
      <c r="B3360" s="87" t="s">
        <v>366</v>
      </c>
      <c r="C3360" s="87">
        <v>2021</v>
      </c>
      <c r="D3360" s="87" t="s">
        <v>15</v>
      </c>
      <c r="E3360" s="116">
        <v>929</v>
      </c>
      <c r="F3360" s="87" t="s">
        <v>967</v>
      </c>
      <c r="G3360" s="87" t="s">
        <v>272</v>
      </c>
      <c r="H3360" s="87" t="s">
        <v>967</v>
      </c>
      <c r="I3360" s="87">
        <v>16</v>
      </c>
    </row>
    <row r="3361" spans="1:9" ht="15" customHeight="1" x14ac:dyDescent="0.25">
      <c r="A3361" s="87" t="s">
        <v>38</v>
      </c>
      <c r="B3361" s="87" t="s">
        <v>366</v>
      </c>
      <c r="C3361" s="87">
        <v>2022</v>
      </c>
      <c r="D3361" s="87" t="s">
        <v>15</v>
      </c>
      <c r="E3361" s="116">
        <v>658</v>
      </c>
      <c r="F3361" s="87" t="s">
        <v>967</v>
      </c>
      <c r="G3361" s="87" t="s">
        <v>272</v>
      </c>
      <c r="H3361" s="87" t="s">
        <v>967</v>
      </c>
      <c r="I3361" s="87">
        <v>16</v>
      </c>
    </row>
    <row r="3362" spans="1:9" ht="15" customHeight="1" x14ac:dyDescent="0.25">
      <c r="A3362" s="87" t="s">
        <v>10</v>
      </c>
      <c r="B3362" s="87" t="s">
        <v>367</v>
      </c>
      <c r="C3362" s="87">
        <v>1975</v>
      </c>
      <c r="D3362" s="87" t="s">
        <v>9</v>
      </c>
      <c r="E3362" s="116">
        <v>1300</v>
      </c>
      <c r="F3362" s="87" t="s">
        <v>464</v>
      </c>
      <c r="G3362" s="87" t="s">
        <v>332</v>
      </c>
      <c r="H3362" s="87" t="s">
        <v>464</v>
      </c>
      <c r="I3362" s="87">
        <v>48</v>
      </c>
    </row>
    <row r="3363" spans="1:9" ht="15" customHeight="1" x14ac:dyDescent="0.25">
      <c r="A3363" s="87" t="s">
        <v>10</v>
      </c>
      <c r="B3363" s="87" t="s">
        <v>367</v>
      </c>
      <c r="C3363" s="87">
        <v>1976</v>
      </c>
      <c r="D3363" s="87" t="s">
        <v>9</v>
      </c>
      <c r="E3363" s="116">
        <v>400</v>
      </c>
      <c r="F3363" s="87" t="s">
        <v>464</v>
      </c>
      <c r="G3363" s="87" t="s">
        <v>332</v>
      </c>
      <c r="H3363" s="87" t="s">
        <v>464</v>
      </c>
      <c r="I3363" s="87">
        <v>48</v>
      </c>
    </row>
    <row r="3364" spans="1:9" ht="15" customHeight="1" x14ac:dyDescent="0.25">
      <c r="A3364" s="87" t="s">
        <v>10</v>
      </c>
      <c r="B3364" s="87" t="s">
        <v>367</v>
      </c>
      <c r="C3364" s="87">
        <v>1977</v>
      </c>
      <c r="D3364" s="87" t="s">
        <v>9</v>
      </c>
      <c r="E3364" s="116">
        <v>1750</v>
      </c>
      <c r="F3364" s="87" t="s">
        <v>464</v>
      </c>
      <c r="G3364" s="87" t="s">
        <v>332</v>
      </c>
      <c r="H3364" s="87" t="s">
        <v>464</v>
      </c>
      <c r="I3364" s="87">
        <v>48</v>
      </c>
    </row>
    <row r="3365" spans="1:9" ht="15" customHeight="1" x14ac:dyDescent="0.25">
      <c r="A3365" s="87" t="s">
        <v>10</v>
      </c>
      <c r="B3365" s="87" t="s">
        <v>367</v>
      </c>
      <c r="C3365" s="87">
        <v>1978</v>
      </c>
      <c r="D3365" s="87" t="s">
        <v>9</v>
      </c>
      <c r="E3365" s="116">
        <v>2200</v>
      </c>
      <c r="F3365" s="87" t="s">
        <v>464</v>
      </c>
      <c r="G3365" s="87" t="s">
        <v>332</v>
      </c>
      <c r="H3365" s="87" t="s">
        <v>464</v>
      </c>
      <c r="I3365" s="87">
        <v>48</v>
      </c>
    </row>
    <row r="3366" spans="1:9" ht="15" customHeight="1" x14ac:dyDescent="0.25">
      <c r="A3366" s="87" t="s">
        <v>10</v>
      </c>
      <c r="B3366" s="87" t="s">
        <v>367</v>
      </c>
      <c r="C3366" s="87">
        <v>1979</v>
      </c>
      <c r="D3366" s="87" t="s">
        <v>9</v>
      </c>
      <c r="E3366" s="116">
        <v>1000</v>
      </c>
      <c r="F3366" s="87" t="s">
        <v>464</v>
      </c>
      <c r="G3366" s="87" t="s">
        <v>332</v>
      </c>
      <c r="H3366" s="87" t="s">
        <v>464</v>
      </c>
      <c r="I3366" s="87">
        <v>48</v>
      </c>
    </row>
    <row r="3367" spans="1:9" ht="15" customHeight="1" x14ac:dyDescent="0.25">
      <c r="A3367" s="87" t="s">
        <v>10</v>
      </c>
      <c r="B3367" s="87" t="s">
        <v>367</v>
      </c>
      <c r="C3367" s="87">
        <v>1980</v>
      </c>
      <c r="D3367" s="87" t="s">
        <v>9</v>
      </c>
      <c r="E3367" s="116">
        <v>350</v>
      </c>
      <c r="F3367" s="87" t="s">
        <v>464</v>
      </c>
      <c r="G3367" s="87" t="s">
        <v>332</v>
      </c>
      <c r="H3367" s="87" t="s">
        <v>464</v>
      </c>
      <c r="I3367" s="87">
        <v>48</v>
      </c>
    </row>
    <row r="3368" spans="1:9" ht="15" customHeight="1" x14ac:dyDescent="0.25">
      <c r="A3368" s="87" t="s">
        <v>10</v>
      </c>
      <c r="B3368" s="87" t="s">
        <v>367</v>
      </c>
      <c r="C3368" s="87">
        <v>1981</v>
      </c>
      <c r="D3368" s="87" t="s">
        <v>9</v>
      </c>
      <c r="E3368" s="116">
        <v>700</v>
      </c>
      <c r="F3368" s="87" t="s">
        <v>464</v>
      </c>
      <c r="G3368" s="87" t="s">
        <v>332</v>
      </c>
      <c r="H3368" s="87" t="s">
        <v>464</v>
      </c>
      <c r="I3368" s="87">
        <v>48</v>
      </c>
    </row>
    <row r="3369" spans="1:9" ht="15" customHeight="1" x14ac:dyDescent="0.25">
      <c r="A3369" s="87" t="s">
        <v>10</v>
      </c>
      <c r="B3369" s="87" t="s">
        <v>367</v>
      </c>
      <c r="C3369" s="87">
        <v>1982</v>
      </c>
      <c r="D3369" s="87" t="s">
        <v>9</v>
      </c>
      <c r="E3369" s="116">
        <v>500</v>
      </c>
      <c r="F3369" s="87" t="s">
        <v>464</v>
      </c>
      <c r="G3369" s="87" t="s">
        <v>332</v>
      </c>
      <c r="H3369" s="87" t="s">
        <v>464</v>
      </c>
      <c r="I3369" s="87">
        <v>48</v>
      </c>
    </row>
    <row r="3370" spans="1:9" ht="15" customHeight="1" x14ac:dyDescent="0.25">
      <c r="A3370" s="87" t="s">
        <v>10</v>
      </c>
      <c r="B3370" s="87" t="s">
        <v>367</v>
      </c>
      <c r="C3370" s="87">
        <v>1983</v>
      </c>
      <c r="D3370" s="87" t="s">
        <v>9</v>
      </c>
      <c r="E3370" s="116">
        <v>250</v>
      </c>
      <c r="F3370" s="87" t="s">
        <v>464</v>
      </c>
      <c r="G3370" s="87" t="s">
        <v>332</v>
      </c>
      <c r="H3370" s="87" t="s">
        <v>464</v>
      </c>
      <c r="I3370" s="87">
        <v>48</v>
      </c>
    </row>
    <row r="3371" spans="1:9" ht="15" customHeight="1" x14ac:dyDescent="0.25">
      <c r="A3371" s="87" t="s">
        <v>10</v>
      </c>
      <c r="B3371" s="87" t="s">
        <v>367</v>
      </c>
      <c r="C3371" s="87">
        <v>1984</v>
      </c>
      <c r="D3371" s="87" t="s">
        <v>9</v>
      </c>
      <c r="E3371" s="116">
        <v>650</v>
      </c>
      <c r="F3371" s="87" t="s">
        <v>464</v>
      </c>
      <c r="G3371" s="87" t="s">
        <v>332</v>
      </c>
      <c r="H3371" s="87" t="s">
        <v>464</v>
      </c>
      <c r="I3371" s="87">
        <v>48</v>
      </c>
    </row>
    <row r="3372" spans="1:9" ht="15" customHeight="1" x14ac:dyDescent="0.25">
      <c r="A3372" s="87" t="s">
        <v>10</v>
      </c>
      <c r="B3372" s="87" t="s">
        <v>367</v>
      </c>
      <c r="C3372" s="87">
        <v>1985</v>
      </c>
      <c r="D3372" s="87" t="s">
        <v>9</v>
      </c>
      <c r="E3372" s="116">
        <v>750</v>
      </c>
      <c r="F3372" s="87" t="s">
        <v>464</v>
      </c>
      <c r="G3372" s="87" t="s">
        <v>332</v>
      </c>
      <c r="H3372" s="87" t="s">
        <v>464</v>
      </c>
      <c r="I3372" s="87">
        <v>48</v>
      </c>
    </row>
    <row r="3373" spans="1:9" ht="15" customHeight="1" x14ac:dyDescent="0.25">
      <c r="A3373" s="87" t="s">
        <v>10</v>
      </c>
      <c r="B3373" s="87" t="s">
        <v>367</v>
      </c>
      <c r="C3373" s="87">
        <v>1986</v>
      </c>
      <c r="D3373" s="87" t="s">
        <v>9</v>
      </c>
      <c r="E3373" s="116">
        <v>2500</v>
      </c>
      <c r="F3373" s="87" t="s">
        <v>464</v>
      </c>
      <c r="G3373" s="87" t="s">
        <v>332</v>
      </c>
      <c r="H3373" s="87" t="s">
        <v>464</v>
      </c>
      <c r="I3373" s="87">
        <v>48</v>
      </c>
    </row>
    <row r="3374" spans="1:9" ht="15" customHeight="1" x14ac:dyDescent="0.25">
      <c r="A3374" s="87" t="s">
        <v>10</v>
      </c>
      <c r="B3374" s="87" t="s">
        <v>367</v>
      </c>
      <c r="C3374" s="87">
        <v>1987</v>
      </c>
      <c r="D3374" s="87" t="s">
        <v>9</v>
      </c>
      <c r="E3374" s="116">
        <v>2000</v>
      </c>
      <c r="F3374" s="87" t="s">
        <v>464</v>
      </c>
      <c r="G3374" s="87" t="s">
        <v>332</v>
      </c>
      <c r="H3374" s="87" t="s">
        <v>464</v>
      </c>
      <c r="I3374" s="87">
        <v>48</v>
      </c>
    </row>
    <row r="3375" spans="1:9" ht="15" customHeight="1" x14ac:dyDescent="0.25">
      <c r="A3375" s="87" t="s">
        <v>10</v>
      </c>
      <c r="B3375" s="87" t="s">
        <v>367</v>
      </c>
      <c r="C3375" s="87">
        <v>1988</v>
      </c>
      <c r="D3375" s="87" t="s">
        <v>9</v>
      </c>
      <c r="E3375" s="116">
        <v>1600</v>
      </c>
      <c r="F3375" s="87" t="s">
        <v>464</v>
      </c>
      <c r="G3375" s="87" t="s">
        <v>332</v>
      </c>
      <c r="H3375" s="87" t="s">
        <v>464</v>
      </c>
      <c r="I3375" s="87">
        <v>48</v>
      </c>
    </row>
    <row r="3376" spans="1:9" ht="15" customHeight="1" x14ac:dyDescent="0.25">
      <c r="A3376" s="87" t="s">
        <v>10</v>
      </c>
      <c r="B3376" s="87" t="s">
        <v>367</v>
      </c>
      <c r="C3376" s="87">
        <v>1989</v>
      </c>
      <c r="D3376" s="87" t="s">
        <v>9</v>
      </c>
      <c r="E3376" s="116">
        <v>1250</v>
      </c>
      <c r="F3376" s="87" t="s">
        <v>464</v>
      </c>
      <c r="G3376" s="87" t="s">
        <v>332</v>
      </c>
      <c r="H3376" s="87" t="s">
        <v>464</v>
      </c>
      <c r="I3376" s="87">
        <v>48</v>
      </c>
    </row>
    <row r="3377" spans="1:9" ht="15" customHeight="1" x14ac:dyDescent="0.25">
      <c r="A3377" s="87" t="s">
        <v>10</v>
      </c>
      <c r="B3377" s="87" t="s">
        <v>367</v>
      </c>
      <c r="C3377" s="87">
        <v>1990</v>
      </c>
      <c r="D3377" s="87" t="s">
        <v>9</v>
      </c>
      <c r="E3377" s="116">
        <v>1397</v>
      </c>
      <c r="F3377" s="87" t="s">
        <v>368</v>
      </c>
      <c r="G3377" s="87" t="s">
        <v>272</v>
      </c>
      <c r="H3377" s="87" t="s">
        <v>967</v>
      </c>
      <c r="I3377" s="87">
        <v>48</v>
      </c>
    </row>
    <row r="3378" spans="1:9" ht="15" customHeight="1" x14ac:dyDescent="0.25">
      <c r="A3378" s="87" t="s">
        <v>10</v>
      </c>
      <c r="B3378" s="87" t="s">
        <v>367</v>
      </c>
      <c r="C3378" s="87">
        <v>1991</v>
      </c>
      <c r="D3378" s="87" t="s">
        <v>9</v>
      </c>
      <c r="E3378" s="116">
        <v>2488</v>
      </c>
      <c r="F3378" s="87" t="s">
        <v>368</v>
      </c>
      <c r="G3378" s="87" t="s">
        <v>272</v>
      </c>
      <c r="H3378" s="87" t="s">
        <v>967</v>
      </c>
      <c r="I3378" s="87">
        <v>48</v>
      </c>
    </row>
    <row r="3379" spans="1:9" ht="15" customHeight="1" x14ac:dyDescent="0.25">
      <c r="A3379" s="87" t="s">
        <v>10</v>
      </c>
      <c r="B3379" s="87" t="s">
        <v>367</v>
      </c>
      <c r="C3379" s="87">
        <v>1992</v>
      </c>
      <c r="D3379" s="87" t="s">
        <v>9</v>
      </c>
      <c r="E3379" s="116">
        <v>1245</v>
      </c>
      <c r="F3379" s="87" t="s">
        <v>368</v>
      </c>
      <c r="G3379" s="87" t="s">
        <v>272</v>
      </c>
      <c r="H3379" s="87" t="s">
        <v>967</v>
      </c>
      <c r="I3379" s="87">
        <v>48</v>
      </c>
    </row>
    <row r="3380" spans="1:9" ht="15" customHeight="1" x14ac:dyDescent="0.25">
      <c r="A3380" s="87" t="s">
        <v>10</v>
      </c>
      <c r="B3380" s="87" t="s">
        <v>367</v>
      </c>
      <c r="C3380" s="87">
        <v>1993</v>
      </c>
      <c r="D3380" s="87" t="s">
        <v>9</v>
      </c>
      <c r="E3380" s="116">
        <v>885</v>
      </c>
      <c r="F3380" s="87" t="s">
        <v>368</v>
      </c>
      <c r="G3380" s="87" t="s">
        <v>272</v>
      </c>
      <c r="H3380" s="87" t="s">
        <v>967</v>
      </c>
      <c r="I3380" s="87">
        <v>48</v>
      </c>
    </row>
    <row r="3381" spans="1:9" ht="15" customHeight="1" x14ac:dyDescent="0.25">
      <c r="A3381" s="87" t="s">
        <v>10</v>
      </c>
      <c r="B3381" s="87" t="s">
        <v>367</v>
      </c>
      <c r="C3381" s="87">
        <v>1994</v>
      </c>
      <c r="D3381" s="87" t="s">
        <v>9</v>
      </c>
      <c r="E3381" s="116">
        <v>1168</v>
      </c>
      <c r="F3381" s="87" t="s">
        <v>368</v>
      </c>
      <c r="G3381" s="87" t="s">
        <v>272</v>
      </c>
      <c r="H3381" s="87" t="s">
        <v>967</v>
      </c>
      <c r="I3381" s="87">
        <v>48</v>
      </c>
    </row>
    <row r="3382" spans="1:9" ht="15" customHeight="1" x14ac:dyDescent="0.25">
      <c r="A3382" s="87" t="s">
        <v>10</v>
      </c>
      <c r="B3382" s="87" t="s">
        <v>367</v>
      </c>
      <c r="C3382" s="87">
        <v>1995</v>
      </c>
      <c r="D3382" s="87" t="s">
        <v>9</v>
      </c>
      <c r="E3382" s="116">
        <v>1900</v>
      </c>
      <c r="F3382" s="87" t="s">
        <v>464</v>
      </c>
      <c r="G3382" s="87" t="s">
        <v>332</v>
      </c>
      <c r="H3382" s="87" t="s">
        <v>967</v>
      </c>
      <c r="I3382" s="87">
        <v>48</v>
      </c>
    </row>
    <row r="3383" spans="1:9" ht="15" customHeight="1" x14ac:dyDescent="0.25">
      <c r="A3383" s="87" t="s">
        <v>10</v>
      </c>
      <c r="B3383" s="87" t="s">
        <v>367</v>
      </c>
      <c r="C3383" s="87">
        <v>1996</v>
      </c>
      <c r="D3383" s="87" t="s">
        <v>9</v>
      </c>
      <c r="E3383" s="116">
        <v>2200</v>
      </c>
      <c r="F3383" s="87" t="s">
        <v>464</v>
      </c>
      <c r="G3383" s="87" t="s">
        <v>332</v>
      </c>
      <c r="H3383" s="87" t="s">
        <v>967</v>
      </c>
      <c r="I3383" s="87">
        <v>48</v>
      </c>
    </row>
    <row r="3384" spans="1:9" ht="15" customHeight="1" x14ac:dyDescent="0.25">
      <c r="A3384" s="87" t="s">
        <v>10</v>
      </c>
      <c r="B3384" s="87" t="s">
        <v>367</v>
      </c>
      <c r="C3384" s="87">
        <v>1997</v>
      </c>
      <c r="D3384" s="87" t="s">
        <v>9</v>
      </c>
      <c r="E3384" s="116">
        <v>3397</v>
      </c>
      <c r="F3384" s="87" t="s">
        <v>967</v>
      </c>
      <c r="G3384" s="87" t="s">
        <v>272</v>
      </c>
      <c r="H3384" s="87" t="s">
        <v>967</v>
      </c>
      <c r="I3384" s="87">
        <v>48</v>
      </c>
    </row>
    <row r="3385" spans="1:9" ht="15" customHeight="1" x14ac:dyDescent="0.25">
      <c r="A3385" s="87" t="s">
        <v>10</v>
      </c>
      <c r="B3385" s="87" t="s">
        <v>367</v>
      </c>
      <c r="C3385" s="87">
        <v>1998</v>
      </c>
      <c r="D3385" s="87" t="s">
        <v>9</v>
      </c>
      <c r="E3385" s="116">
        <v>4182</v>
      </c>
      <c r="F3385" s="87" t="s">
        <v>313</v>
      </c>
      <c r="G3385" s="87" t="s">
        <v>272</v>
      </c>
      <c r="H3385" s="87" t="s">
        <v>967</v>
      </c>
      <c r="I3385" s="87">
        <v>48</v>
      </c>
    </row>
    <row r="3386" spans="1:9" ht="15" customHeight="1" x14ac:dyDescent="0.25">
      <c r="A3386" s="87" t="s">
        <v>10</v>
      </c>
      <c r="B3386" s="87" t="s">
        <v>367</v>
      </c>
      <c r="C3386" s="87">
        <v>1999</v>
      </c>
      <c r="D3386" s="87" t="s">
        <v>9</v>
      </c>
      <c r="E3386" s="116">
        <v>2335</v>
      </c>
      <c r="F3386" s="87" t="s">
        <v>466</v>
      </c>
      <c r="G3386" s="87" t="s">
        <v>272</v>
      </c>
      <c r="H3386" s="87" t="s">
        <v>465</v>
      </c>
      <c r="I3386" s="87">
        <v>48</v>
      </c>
    </row>
    <row r="3387" spans="1:9" ht="15" customHeight="1" x14ac:dyDescent="0.25">
      <c r="A3387" s="87" t="s">
        <v>10</v>
      </c>
      <c r="B3387" s="87" t="s">
        <v>367</v>
      </c>
      <c r="C3387" s="87">
        <v>2000</v>
      </c>
      <c r="D3387" s="87" t="s">
        <v>9</v>
      </c>
      <c r="E3387" s="116">
        <v>2266</v>
      </c>
      <c r="F3387" s="87" t="s">
        <v>467</v>
      </c>
      <c r="G3387" s="87" t="s">
        <v>272</v>
      </c>
      <c r="H3387" s="87" t="s">
        <v>967</v>
      </c>
      <c r="I3387" s="87">
        <v>48</v>
      </c>
    </row>
    <row r="3388" spans="1:9" ht="15" customHeight="1" x14ac:dyDescent="0.25">
      <c r="A3388" s="87" t="s">
        <v>10</v>
      </c>
      <c r="B3388" s="87" t="s">
        <v>367</v>
      </c>
      <c r="C3388" s="87">
        <v>2001</v>
      </c>
      <c r="D3388" s="87" t="s">
        <v>9</v>
      </c>
      <c r="E3388" s="116">
        <v>5889</v>
      </c>
      <c r="F3388" s="87" t="s">
        <v>313</v>
      </c>
      <c r="G3388" s="87" t="s">
        <v>272</v>
      </c>
      <c r="H3388" s="87" t="s">
        <v>967</v>
      </c>
      <c r="I3388" s="87">
        <v>48</v>
      </c>
    </row>
    <row r="3389" spans="1:9" ht="15" customHeight="1" x14ac:dyDescent="0.25">
      <c r="A3389" s="87" t="s">
        <v>10</v>
      </c>
      <c r="B3389" s="87" t="s">
        <v>367</v>
      </c>
      <c r="C3389" s="87">
        <v>2002</v>
      </c>
      <c r="D3389" s="87" t="s">
        <v>9</v>
      </c>
      <c r="E3389" s="116">
        <v>3090</v>
      </c>
      <c r="F3389" s="87" t="s">
        <v>313</v>
      </c>
      <c r="G3389" s="87" t="s">
        <v>272</v>
      </c>
      <c r="H3389" s="87" t="s">
        <v>967</v>
      </c>
      <c r="I3389" s="87">
        <v>48</v>
      </c>
    </row>
    <row r="3390" spans="1:9" ht="15" customHeight="1" x14ac:dyDescent="0.25">
      <c r="A3390" s="87" t="s">
        <v>10</v>
      </c>
      <c r="B3390" s="87" t="s">
        <v>367</v>
      </c>
      <c r="C3390" s="87">
        <v>2003</v>
      </c>
      <c r="D3390" s="87" t="s">
        <v>9</v>
      </c>
      <c r="E3390" s="116">
        <v>1920</v>
      </c>
      <c r="F3390" s="87" t="s">
        <v>466</v>
      </c>
      <c r="G3390" s="87" t="s">
        <v>272</v>
      </c>
      <c r="H3390" s="87" t="s">
        <v>967</v>
      </c>
      <c r="I3390" s="87">
        <v>48</v>
      </c>
    </row>
    <row r="3391" spans="1:9" ht="15" customHeight="1" x14ac:dyDescent="0.25">
      <c r="A3391" s="87" t="s">
        <v>10</v>
      </c>
      <c r="B3391" s="87" t="s">
        <v>367</v>
      </c>
      <c r="C3391" s="87">
        <v>2004</v>
      </c>
      <c r="D3391" s="87" t="s">
        <v>9</v>
      </c>
      <c r="E3391" s="116">
        <v>1704</v>
      </c>
      <c r="F3391" s="87" t="s">
        <v>467</v>
      </c>
      <c r="G3391" s="87" t="s">
        <v>272</v>
      </c>
      <c r="H3391" s="87" t="s">
        <v>967</v>
      </c>
      <c r="I3391" s="87">
        <v>48</v>
      </c>
    </row>
    <row r="3392" spans="1:9" ht="15" customHeight="1" x14ac:dyDescent="0.25">
      <c r="A3392" s="87" t="s">
        <v>10</v>
      </c>
      <c r="B3392" s="87" t="s">
        <v>367</v>
      </c>
      <c r="C3392" s="87">
        <v>2005</v>
      </c>
      <c r="D3392" s="87" t="s">
        <v>9</v>
      </c>
      <c r="E3392" s="116">
        <v>3837</v>
      </c>
      <c r="F3392" s="87" t="s">
        <v>967</v>
      </c>
      <c r="G3392" s="87" t="s">
        <v>272</v>
      </c>
      <c r="H3392" s="87" t="s">
        <v>967</v>
      </c>
      <c r="I3392" s="87">
        <v>48</v>
      </c>
    </row>
    <row r="3393" spans="1:9" ht="15" customHeight="1" x14ac:dyDescent="0.25">
      <c r="A3393" s="87" t="s">
        <v>10</v>
      </c>
      <c r="B3393" s="87" t="s">
        <v>367</v>
      </c>
      <c r="C3393" s="87">
        <v>2006</v>
      </c>
      <c r="D3393" s="87" t="s">
        <v>9</v>
      </c>
      <c r="E3393" s="116">
        <v>6344</v>
      </c>
      <c r="F3393" s="87" t="s">
        <v>967</v>
      </c>
      <c r="G3393" s="87" t="s">
        <v>272</v>
      </c>
      <c r="H3393" s="87" t="s">
        <v>967</v>
      </c>
      <c r="I3393" s="87">
        <v>48</v>
      </c>
    </row>
    <row r="3394" spans="1:9" ht="15" customHeight="1" x14ac:dyDescent="0.25">
      <c r="A3394" s="87" t="s">
        <v>10</v>
      </c>
      <c r="B3394" s="87" t="s">
        <v>367</v>
      </c>
      <c r="C3394" s="87">
        <v>2007</v>
      </c>
      <c r="D3394" s="87" t="s">
        <v>9</v>
      </c>
      <c r="E3394" s="116">
        <v>3181</v>
      </c>
      <c r="F3394" s="87" t="s">
        <v>967</v>
      </c>
      <c r="G3394" s="87" t="s">
        <v>272</v>
      </c>
      <c r="H3394" s="87" t="s">
        <v>967</v>
      </c>
      <c r="I3394" s="87">
        <v>48</v>
      </c>
    </row>
    <row r="3395" spans="1:9" ht="15" customHeight="1" x14ac:dyDescent="0.25">
      <c r="A3395" s="87" t="s">
        <v>10</v>
      </c>
      <c r="B3395" s="87" t="s">
        <v>367</v>
      </c>
      <c r="C3395" s="87">
        <v>2008</v>
      </c>
      <c r="D3395" s="87" t="s">
        <v>9</v>
      </c>
      <c r="E3395" s="116">
        <v>3474</v>
      </c>
      <c r="F3395" s="87" t="s">
        <v>967</v>
      </c>
      <c r="G3395" s="87" t="s">
        <v>272</v>
      </c>
      <c r="H3395" s="87" t="s">
        <v>967</v>
      </c>
      <c r="I3395" s="87">
        <v>48</v>
      </c>
    </row>
    <row r="3396" spans="1:9" ht="15" customHeight="1" x14ac:dyDescent="0.25">
      <c r="A3396" s="87" t="s">
        <v>10</v>
      </c>
      <c r="B3396" s="87" t="s">
        <v>367</v>
      </c>
      <c r="C3396" s="87">
        <v>2009</v>
      </c>
      <c r="D3396" s="87" t="s">
        <v>9</v>
      </c>
      <c r="E3396" s="116">
        <v>6397</v>
      </c>
      <c r="F3396" s="87" t="s">
        <v>967</v>
      </c>
      <c r="G3396" s="87" t="s">
        <v>272</v>
      </c>
      <c r="H3396" s="87" t="s">
        <v>967</v>
      </c>
      <c r="I3396" s="87">
        <v>48</v>
      </c>
    </row>
    <row r="3397" spans="1:9" ht="15" customHeight="1" x14ac:dyDescent="0.25">
      <c r="A3397" s="87" t="s">
        <v>10</v>
      </c>
      <c r="B3397" s="87" t="s">
        <v>367</v>
      </c>
      <c r="C3397" s="87">
        <v>2010</v>
      </c>
      <c r="D3397" s="87" t="s">
        <v>9</v>
      </c>
      <c r="E3397" s="116">
        <v>9691</v>
      </c>
      <c r="F3397" s="87" t="s">
        <v>967</v>
      </c>
      <c r="G3397" s="87" t="s">
        <v>272</v>
      </c>
      <c r="H3397" s="87" t="s">
        <v>468</v>
      </c>
      <c r="I3397" s="87">
        <v>48</v>
      </c>
    </row>
    <row r="3398" spans="1:9" ht="15" customHeight="1" x14ac:dyDescent="0.25">
      <c r="A3398" s="87" t="s">
        <v>10</v>
      </c>
      <c r="B3398" s="87" t="s">
        <v>367</v>
      </c>
      <c r="C3398" s="87">
        <v>2011</v>
      </c>
      <c r="D3398" s="87" t="s">
        <v>9</v>
      </c>
      <c r="E3398" s="116">
        <v>4188</v>
      </c>
      <c r="F3398" s="87" t="s">
        <v>967</v>
      </c>
      <c r="G3398" s="87" t="s">
        <v>272</v>
      </c>
      <c r="H3398" s="87" t="s">
        <v>967</v>
      </c>
      <c r="I3398" s="87">
        <v>48</v>
      </c>
    </row>
    <row r="3399" spans="1:9" ht="15" customHeight="1" x14ac:dyDescent="0.25">
      <c r="A3399" s="87" t="s">
        <v>10</v>
      </c>
      <c r="B3399" s="87" t="s">
        <v>367</v>
      </c>
      <c r="C3399" s="87">
        <v>2012</v>
      </c>
      <c r="D3399" s="87" t="s">
        <v>9</v>
      </c>
      <c r="E3399" s="116">
        <v>2835</v>
      </c>
      <c r="F3399" s="87" t="s">
        <v>967</v>
      </c>
      <c r="G3399" s="87" t="s">
        <v>272</v>
      </c>
      <c r="H3399" s="87" t="s">
        <v>967</v>
      </c>
      <c r="I3399" s="87">
        <v>48</v>
      </c>
    </row>
    <row r="3400" spans="1:9" ht="15" customHeight="1" x14ac:dyDescent="0.25">
      <c r="A3400" s="87" t="s">
        <v>10</v>
      </c>
      <c r="B3400" s="87" t="s">
        <v>367</v>
      </c>
      <c r="C3400" s="87">
        <v>2013</v>
      </c>
      <c r="D3400" s="87" t="s">
        <v>9</v>
      </c>
      <c r="E3400" s="116">
        <v>6499</v>
      </c>
      <c r="F3400" s="87" t="s">
        <v>967</v>
      </c>
      <c r="G3400" s="87" t="s">
        <v>272</v>
      </c>
      <c r="H3400" s="87" t="s">
        <v>967</v>
      </c>
      <c r="I3400" s="87">
        <v>48</v>
      </c>
    </row>
    <row r="3401" spans="1:9" ht="15" customHeight="1" x14ac:dyDescent="0.25">
      <c r="A3401" s="87" t="s">
        <v>10</v>
      </c>
      <c r="B3401" s="87" t="s">
        <v>367</v>
      </c>
      <c r="C3401" s="87">
        <v>2014</v>
      </c>
      <c r="D3401" s="87" t="s">
        <v>9</v>
      </c>
      <c r="E3401" s="116">
        <v>5322</v>
      </c>
      <c r="F3401" s="87" t="s">
        <v>967</v>
      </c>
      <c r="G3401" s="87" t="s">
        <v>272</v>
      </c>
      <c r="H3401" s="87" t="s">
        <v>967</v>
      </c>
      <c r="I3401" s="87">
        <v>48</v>
      </c>
    </row>
    <row r="3402" spans="1:9" ht="15" customHeight="1" x14ac:dyDescent="0.25">
      <c r="A3402" s="87" t="s">
        <v>10</v>
      </c>
      <c r="B3402" s="87" t="s">
        <v>367</v>
      </c>
      <c r="C3402" s="87">
        <v>2015</v>
      </c>
      <c r="D3402" s="87" t="s">
        <v>9</v>
      </c>
      <c r="E3402" s="116">
        <v>12753</v>
      </c>
      <c r="F3402" s="87" t="s">
        <v>967</v>
      </c>
      <c r="G3402" s="87" t="s">
        <v>272</v>
      </c>
      <c r="H3402" s="87" t="s">
        <v>469</v>
      </c>
      <c r="I3402" s="87">
        <v>48</v>
      </c>
    </row>
    <row r="3403" spans="1:9" ht="15" customHeight="1" x14ac:dyDescent="0.25">
      <c r="A3403" s="87" t="s">
        <v>10</v>
      </c>
      <c r="B3403" s="87" t="s">
        <v>367</v>
      </c>
      <c r="C3403" s="87">
        <v>2016</v>
      </c>
      <c r="D3403" s="87" t="s">
        <v>9</v>
      </c>
      <c r="E3403" s="116">
        <v>3246</v>
      </c>
      <c r="F3403" s="87" t="s">
        <v>967</v>
      </c>
      <c r="G3403" s="87" t="s">
        <v>272</v>
      </c>
      <c r="H3403" s="87" t="s">
        <v>967</v>
      </c>
      <c r="I3403" s="87">
        <v>48</v>
      </c>
    </row>
    <row r="3404" spans="1:9" ht="15" customHeight="1" x14ac:dyDescent="0.25">
      <c r="A3404" s="87" t="s">
        <v>10</v>
      </c>
      <c r="B3404" s="87" t="s">
        <v>367</v>
      </c>
      <c r="C3404" s="87">
        <v>2017</v>
      </c>
      <c r="D3404" s="87" t="s">
        <v>9</v>
      </c>
      <c r="E3404" s="116">
        <v>4319</v>
      </c>
      <c r="F3404" s="87" t="s">
        <v>967</v>
      </c>
      <c r="G3404" s="87" t="s">
        <v>272</v>
      </c>
      <c r="H3404" s="87" t="s">
        <v>967</v>
      </c>
      <c r="I3404" s="87">
        <v>48</v>
      </c>
    </row>
    <row r="3405" spans="1:9" ht="15" customHeight="1" x14ac:dyDescent="0.25">
      <c r="A3405" s="87" t="s">
        <v>10</v>
      </c>
      <c r="B3405" s="87" t="s">
        <v>367</v>
      </c>
      <c r="C3405" s="87">
        <v>2018</v>
      </c>
      <c r="D3405" s="87" t="s">
        <v>9</v>
      </c>
      <c r="E3405" s="116">
        <v>3406</v>
      </c>
      <c r="F3405" s="87" t="s">
        <v>967</v>
      </c>
      <c r="G3405" s="87" t="s">
        <v>272</v>
      </c>
      <c r="H3405" s="87" t="s">
        <v>967</v>
      </c>
      <c r="I3405" s="87">
        <v>48</v>
      </c>
    </row>
    <row r="3406" spans="1:9" ht="15" customHeight="1" x14ac:dyDescent="0.25">
      <c r="A3406" s="87" t="s">
        <v>10</v>
      </c>
      <c r="B3406" s="87" t="s">
        <v>367</v>
      </c>
      <c r="C3406" s="87">
        <v>2019</v>
      </c>
      <c r="D3406" s="87" t="s">
        <v>9</v>
      </c>
      <c r="E3406" s="116">
        <v>8448</v>
      </c>
      <c r="F3406" s="87" t="s">
        <v>967</v>
      </c>
      <c r="G3406" s="87" t="s">
        <v>272</v>
      </c>
      <c r="H3406" s="87" t="s">
        <v>967</v>
      </c>
      <c r="I3406" s="87">
        <v>48</v>
      </c>
    </row>
    <row r="3407" spans="1:9" ht="15" customHeight="1" x14ac:dyDescent="0.25">
      <c r="A3407" s="87" t="s">
        <v>10</v>
      </c>
      <c r="B3407" s="87" t="s">
        <v>367</v>
      </c>
      <c r="C3407" s="87">
        <v>2020</v>
      </c>
      <c r="D3407" s="87" t="s">
        <v>9</v>
      </c>
      <c r="E3407" s="116">
        <v>5252</v>
      </c>
      <c r="F3407" s="87" t="s">
        <v>967</v>
      </c>
      <c r="G3407" s="87" t="s">
        <v>272</v>
      </c>
      <c r="H3407" s="87" t="s">
        <v>967</v>
      </c>
      <c r="I3407" s="87">
        <v>48</v>
      </c>
    </row>
    <row r="3408" spans="1:9" ht="15" customHeight="1" x14ac:dyDescent="0.25">
      <c r="A3408" s="87" t="s">
        <v>10</v>
      </c>
      <c r="B3408" s="87" t="s">
        <v>367</v>
      </c>
      <c r="C3408" s="87">
        <v>2021</v>
      </c>
      <c r="D3408" s="87" t="s">
        <v>9</v>
      </c>
      <c r="E3408" s="116">
        <v>6526</v>
      </c>
      <c r="F3408" s="87" t="s">
        <v>967</v>
      </c>
      <c r="G3408" s="87" t="s">
        <v>272</v>
      </c>
      <c r="H3408" s="87" t="s">
        <v>967</v>
      </c>
      <c r="I3408" s="87">
        <v>48</v>
      </c>
    </row>
    <row r="3409" spans="1:9" ht="15" customHeight="1" x14ac:dyDescent="0.25">
      <c r="A3409" s="87" t="s">
        <v>10</v>
      </c>
      <c r="B3409" s="87" t="s">
        <v>367</v>
      </c>
      <c r="C3409" s="87">
        <v>2022</v>
      </c>
      <c r="D3409" s="87" t="s">
        <v>9</v>
      </c>
      <c r="E3409" s="116">
        <v>3117</v>
      </c>
      <c r="F3409" s="87" t="s">
        <v>967</v>
      </c>
      <c r="G3409" s="87" t="s">
        <v>272</v>
      </c>
      <c r="H3409" s="87" t="s">
        <v>967</v>
      </c>
      <c r="I3409" s="87">
        <v>48</v>
      </c>
    </row>
    <row r="3410" spans="1:9" ht="15" customHeight="1" x14ac:dyDescent="0.25">
      <c r="A3410" s="87" t="s">
        <v>10</v>
      </c>
      <c r="B3410" s="87" t="s">
        <v>369</v>
      </c>
      <c r="C3410" s="87">
        <v>1975</v>
      </c>
      <c r="D3410" s="87" t="s">
        <v>9</v>
      </c>
      <c r="E3410" s="116">
        <v>400</v>
      </c>
      <c r="F3410" s="87" t="s">
        <v>508</v>
      </c>
      <c r="G3410" s="87" t="s">
        <v>967</v>
      </c>
      <c r="H3410" s="87" t="s">
        <v>508</v>
      </c>
      <c r="I3410" s="87">
        <v>49</v>
      </c>
    </row>
    <row r="3411" spans="1:9" ht="15" customHeight="1" x14ac:dyDescent="0.25">
      <c r="A3411" s="87" t="s">
        <v>10</v>
      </c>
      <c r="B3411" s="87" t="s">
        <v>369</v>
      </c>
      <c r="C3411" s="87">
        <v>1976</v>
      </c>
      <c r="D3411" s="87" t="s">
        <v>9</v>
      </c>
      <c r="E3411" s="116">
        <v>100</v>
      </c>
      <c r="F3411" s="87" t="s">
        <v>508</v>
      </c>
      <c r="G3411" s="87" t="s">
        <v>967</v>
      </c>
      <c r="H3411" s="87" t="s">
        <v>508</v>
      </c>
      <c r="I3411" s="87">
        <v>49</v>
      </c>
    </row>
    <row r="3412" spans="1:9" ht="15" customHeight="1" x14ac:dyDescent="0.25">
      <c r="A3412" s="87" t="s">
        <v>10</v>
      </c>
      <c r="B3412" s="87" t="s">
        <v>369</v>
      </c>
      <c r="C3412" s="87">
        <v>1977</v>
      </c>
      <c r="D3412" s="87" t="s">
        <v>9</v>
      </c>
      <c r="E3412" s="116">
        <v>600</v>
      </c>
      <c r="F3412" s="87" t="s">
        <v>508</v>
      </c>
      <c r="G3412" s="87" t="s">
        <v>967</v>
      </c>
      <c r="H3412" s="87" t="s">
        <v>508</v>
      </c>
      <c r="I3412" s="87">
        <v>49</v>
      </c>
    </row>
    <row r="3413" spans="1:9" ht="15" customHeight="1" x14ac:dyDescent="0.25">
      <c r="A3413" s="87" t="s">
        <v>10</v>
      </c>
      <c r="B3413" s="87" t="s">
        <v>369</v>
      </c>
      <c r="C3413" s="87">
        <v>1978</v>
      </c>
      <c r="D3413" s="87" t="s">
        <v>9</v>
      </c>
      <c r="E3413" s="116">
        <v>100</v>
      </c>
      <c r="F3413" s="87" t="s">
        <v>508</v>
      </c>
      <c r="G3413" s="87" t="s">
        <v>967</v>
      </c>
      <c r="H3413" s="87" t="s">
        <v>508</v>
      </c>
      <c r="I3413" s="87">
        <v>49</v>
      </c>
    </row>
    <row r="3414" spans="1:9" ht="15" customHeight="1" x14ac:dyDescent="0.25">
      <c r="A3414" s="87" t="s">
        <v>10</v>
      </c>
      <c r="B3414" s="87" t="s">
        <v>369</v>
      </c>
      <c r="C3414" s="87">
        <v>1979</v>
      </c>
      <c r="D3414" s="87" t="s">
        <v>9</v>
      </c>
      <c r="E3414" s="116">
        <v>700</v>
      </c>
      <c r="F3414" s="87" t="s">
        <v>508</v>
      </c>
      <c r="G3414" s="87" t="s">
        <v>967</v>
      </c>
      <c r="H3414" s="87" t="s">
        <v>508</v>
      </c>
      <c r="I3414" s="87">
        <v>49</v>
      </c>
    </row>
    <row r="3415" spans="1:9" ht="15" customHeight="1" x14ac:dyDescent="0.25">
      <c r="A3415" s="87" t="s">
        <v>10</v>
      </c>
      <c r="B3415" s="87" t="s">
        <v>369</v>
      </c>
      <c r="C3415" s="87">
        <v>1980</v>
      </c>
      <c r="D3415" s="87" t="s">
        <v>9</v>
      </c>
      <c r="E3415" s="116">
        <v>400</v>
      </c>
      <c r="F3415" s="87" t="s">
        <v>508</v>
      </c>
      <c r="G3415" s="87" t="s">
        <v>967</v>
      </c>
      <c r="H3415" s="87" t="s">
        <v>508</v>
      </c>
      <c r="I3415" s="87">
        <v>49</v>
      </c>
    </row>
    <row r="3416" spans="1:9" ht="15" customHeight="1" x14ac:dyDescent="0.25">
      <c r="A3416" s="87" t="s">
        <v>10</v>
      </c>
      <c r="B3416" s="87" t="s">
        <v>369</v>
      </c>
      <c r="C3416" s="87">
        <v>1981</v>
      </c>
      <c r="D3416" s="87" t="s">
        <v>9</v>
      </c>
      <c r="E3416" s="116">
        <v>400</v>
      </c>
      <c r="F3416" s="87" t="s">
        <v>508</v>
      </c>
      <c r="G3416" s="87" t="s">
        <v>967</v>
      </c>
      <c r="H3416" s="87" t="s">
        <v>508</v>
      </c>
      <c r="I3416" s="87">
        <v>49</v>
      </c>
    </row>
    <row r="3417" spans="1:9" ht="15" customHeight="1" x14ac:dyDescent="0.25">
      <c r="A3417" s="87" t="s">
        <v>10</v>
      </c>
      <c r="B3417" s="87" t="s">
        <v>369</v>
      </c>
      <c r="C3417" s="87">
        <v>1982</v>
      </c>
      <c r="D3417" s="87" t="s">
        <v>9</v>
      </c>
      <c r="E3417" s="116">
        <v>100</v>
      </c>
      <c r="F3417" s="87" t="s">
        <v>508</v>
      </c>
      <c r="G3417" s="87" t="s">
        <v>967</v>
      </c>
      <c r="H3417" s="87" t="s">
        <v>508</v>
      </c>
      <c r="I3417" s="87">
        <v>49</v>
      </c>
    </row>
    <row r="3418" spans="1:9" ht="15" customHeight="1" x14ac:dyDescent="0.25">
      <c r="A3418" s="87" t="s">
        <v>10</v>
      </c>
      <c r="B3418" s="87" t="s">
        <v>369</v>
      </c>
      <c r="C3418" s="87">
        <v>1983</v>
      </c>
      <c r="D3418" s="87" t="s">
        <v>9</v>
      </c>
      <c r="E3418" s="116">
        <v>100</v>
      </c>
      <c r="F3418" s="87" t="s">
        <v>508</v>
      </c>
      <c r="G3418" s="87" t="s">
        <v>967</v>
      </c>
      <c r="H3418" s="87" t="s">
        <v>508</v>
      </c>
      <c r="I3418" s="87">
        <v>49</v>
      </c>
    </row>
    <row r="3419" spans="1:9" ht="15" customHeight="1" x14ac:dyDescent="0.25">
      <c r="A3419" s="87" t="s">
        <v>10</v>
      </c>
      <c r="B3419" s="87" t="s">
        <v>369</v>
      </c>
      <c r="C3419" s="87">
        <v>1984</v>
      </c>
      <c r="D3419" s="87" t="s">
        <v>9</v>
      </c>
      <c r="E3419" s="116">
        <v>250</v>
      </c>
      <c r="F3419" s="87" t="s">
        <v>508</v>
      </c>
      <c r="G3419" s="87" t="s">
        <v>967</v>
      </c>
      <c r="H3419" s="87" t="s">
        <v>508</v>
      </c>
      <c r="I3419" s="87">
        <v>49</v>
      </c>
    </row>
    <row r="3420" spans="1:9" ht="15" customHeight="1" x14ac:dyDescent="0.25">
      <c r="A3420" s="87" t="s">
        <v>10</v>
      </c>
      <c r="B3420" s="87" t="s">
        <v>369</v>
      </c>
      <c r="C3420" s="87">
        <v>1985</v>
      </c>
      <c r="D3420" s="87" t="s">
        <v>9</v>
      </c>
      <c r="E3420" s="116">
        <v>450</v>
      </c>
      <c r="F3420" s="87" t="s">
        <v>967</v>
      </c>
      <c r="G3420" s="87" t="s">
        <v>272</v>
      </c>
      <c r="H3420" s="87" t="s">
        <v>967</v>
      </c>
      <c r="I3420" s="87">
        <v>49</v>
      </c>
    </row>
    <row r="3421" spans="1:9" ht="15" customHeight="1" x14ac:dyDescent="0.25">
      <c r="A3421" s="87" t="s">
        <v>10</v>
      </c>
      <c r="B3421" s="87" t="s">
        <v>369</v>
      </c>
      <c r="C3421" s="87">
        <v>1986</v>
      </c>
      <c r="D3421" s="87" t="s">
        <v>9</v>
      </c>
      <c r="E3421" s="116">
        <v>350</v>
      </c>
      <c r="F3421" s="87" t="s">
        <v>967</v>
      </c>
      <c r="G3421" s="87" t="s">
        <v>967</v>
      </c>
      <c r="H3421" s="87" t="s">
        <v>967</v>
      </c>
      <c r="I3421" s="87">
        <v>49</v>
      </c>
    </row>
    <row r="3422" spans="1:9" ht="15" customHeight="1" x14ac:dyDescent="0.25">
      <c r="A3422" s="87" t="s">
        <v>10</v>
      </c>
      <c r="B3422" s="87" t="s">
        <v>369</v>
      </c>
      <c r="C3422" s="87">
        <v>1987</v>
      </c>
      <c r="D3422" s="87" t="s">
        <v>9</v>
      </c>
      <c r="E3422" s="116">
        <v>200</v>
      </c>
      <c r="F3422" s="87" t="s">
        <v>967</v>
      </c>
      <c r="G3422" s="87" t="s">
        <v>967</v>
      </c>
      <c r="H3422" s="87" t="s">
        <v>967</v>
      </c>
      <c r="I3422" s="87">
        <v>49</v>
      </c>
    </row>
    <row r="3423" spans="1:9" ht="15" customHeight="1" x14ac:dyDescent="0.25">
      <c r="A3423" s="87" t="s">
        <v>10</v>
      </c>
      <c r="B3423" s="87" t="s">
        <v>369</v>
      </c>
      <c r="C3423" s="87">
        <v>1988</v>
      </c>
      <c r="D3423" s="87" t="s">
        <v>9</v>
      </c>
      <c r="E3423" s="116">
        <v>400</v>
      </c>
      <c r="F3423" s="87" t="s">
        <v>967</v>
      </c>
      <c r="G3423" s="87" t="s">
        <v>967</v>
      </c>
      <c r="H3423" s="87" t="s">
        <v>967</v>
      </c>
      <c r="I3423" s="87">
        <v>49</v>
      </c>
    </row>
    <row r="3424" spans="1:9" ht="15" customHeight="1" x14ac:dyDescent="0.25">
      <c r="A3424" s="87" t="s">
        <v>10</v>
      </c>
      <c r="B3424" s="87" t="s">
        <v>369</v>
      </c>
      <c r="C3424" s="87">
        <v>1989</v>
      </c>
      <c r="D3424" s="87" t="s">
        <v>9</v>
      </c>
      <c r="E3424" s="116">
        <v>400</v>
      </c>
      <c r="F3424" s="87" t="s">
        <v>967</v>
      </c>
      <c r="G3424" s="87" t="s">
        <v>967</v>
      </c>
      <c r="H3424" s="87" t="s">
        <v>967</v>
      </c>
      <c r="I3424" s="87">
        <v>49</v>
      </c>
    </row>
    <row r="3425" spans="1:9" ht="15" customHeight="1" x14ac:dyDescent="0.25">
      <c r="A3425" s="87" t="s">
        <v>10</v>
      </c>
      <c r="B3425" s="87" t="s">
        <v>369</v>
      </c>
      <c r="C3425" s="87">
        <v>1990</v>
      </c>
      <c r="D3425" s="87" t="s">
        <v>9</v>
      </c>
      <c r="E3425" s="116">
        <v>400</v>
      </c>
      <c r="F3425" s="87" t="s">
        <v>967</v>
      </c>
      <c r="G3425" s="87" t="s">
        <v>967</v>
      </c>
      <c r="H3425" s="87" t="s">
        <v>967</v>
      </c>
      <c r="I3425" s="87">
        <v>49</v>
      </c>
    </row>
    <row r="3426" spans="1:9" ht="15" customHeight="1" x14ac:dyDescent="0.25">
      <c r="A3426" s="87" t="s">
        <v>10</v>
      </c>
      <c r="B3426" s="87" t="s">
        <v>369</v>
      </c>
      <c r="C3426" s="87">
        <v>1991</v>
      </c>
      <c r="D3426" s="87" t="s">
        <v>9</v>
      </c>
      <c r="E3426" s="116">
        <v>250</v>
      </c>
      <c r="F3426" s="87" t="s">
        <v>967</v>
      </c>
      <c r="G3426" s="87" t="s">
        <v>967</v>
      </c>
      <c r="H3426" s="87" t="s">
        <v>967</v>
      </c>
      <c r="I3426" s="87">
        <v>49</v>
      </c>
    </row>
    <row r="3427" spans="1:9" ht="15" customHeight="1" x14ac:dyDescent="0.25">
      <c r="A3427" s="87" t="s">
        <v>10</v>
      </c>
      <c r="B3427" s="87" t="s">
        <v>369</v>
      </c>
      <c r="C3427" s="87">
        <v>1992</v>
      </c>
      <c r="D3427" s="87" t="s">
        <v>9</v>
      </c>
      <c r="E3427" s="116">
        <v>600</v>
      </c>
      <c r="F3427" s="87" t="s">
        <v>967</v>
      </c>
      <c r="G3427" s="87" t="s">
        <v>967</v>
      </c>
      <c r="H3427" s="87" t="s">
        <v>967</v>
      </c>
      <c r="I3427" s="87">
        <v>49</v>
      </c>
    </row>
    <row r="3428" spans="1:9" ht="15" customHeight="1" x14ac:dyDescent="0.25">
      <c r="A3428" s="87" t="s">
        <v>10</v>
      </c>
      <c r="B3428" s="87" t="s">
        <v>369</v>
      </c>
      <c r="C3428" s="87">
        <v>1993</v>
      </c>
      <c r="D3428" s="87" t="s">
        <v>9</v>
      </c>
      <c r="E3428" s="116">
        <v>-1</v>
      </c>
      <c r="F3428" s="87" t="s">
        <v>900</v>
      </c>
      <c r="G3428" s="87" t="s">
        <v>272</v>
      </c>
      <c r="H3428" s="87" t="s">
        <v>900</v>
      </c>
      <c r="I3428" s="87">
        <v>49</v>
      </c>
    </row>
    <row r="3429" spans="1:9" ht="15" customHeight="1" x14ac:dyDescent="0.25">
      <c r="A3429" s="87" t="s">
        <v>10</v>
      </c>
      <c r="B3429" s="87" t="s">
        <v>369</v>
      </c>
      <c r="C3429" s="87">
        <v>1994</v>
      </c>
      <c r="D3429" s="87" t="s">
        <v>9</v>
      </c>
      <c r="E3429" s="116">
        <v>491</v>
      </c>
      <c r="F3429" s="87" t="s">
        <v>368</v>
      </c>
      <c r="G3429" s="87" t="s">
        <v>272</v>
      </c>
      <c r="H3429" s="87" t="s">
        <v>967</v>
      </c>
      <c r="I3429" s="87">
        <v>49</v>
      </c>
    </row>
    <row r="3430" spans="1:9" ht="15" customHeight="1" x14ac:dyDescent="0.25">
      <c r="A3430" s="87" t="s">
        <v>10</v>
      </c>
      <c r="B3430" s="87" t="s">
        <v>369</v>
      </c>
      <c r="C3430" s="87">
        <v>1995</v>
      </c>
      <c r="D3430" s="87" t="s">
        <v>9</v>
      </c>
      <c r="E3430" s="116">
        <v>150</v>
      </c>
      <c r="F3430" s="87" t="s">
        <v>967</v>
      </c>
      <c r="G3430" s="87" t="s">
        <v>967</v>
      </c>
      <c r="H3430" s="87" t="s">
        <v>967</v>
      </c>
      <c r="I3430" s="87">
        <v>49</v>
      </c>
    </row>
    <row r="3431" spans="1:9" ht="15" customHeight="1" x14ac:dyDescent="0.25">
      <c r="A3431" s="87" t="s">
        <v>10</v>
      </c>
      <c r="B3431" s="87" t="s">
        <v>369</v>
      </c>
      <c r="C3431" s="87">
        <v>1996</v>
      </c>
      <c r="D3431" s="87" t="s">
        <v>9</v>
      </c>
      <c r="E3431" s="116">
        <v>3000</v>
      </c>
      <c r="F3431" s="87" t="s">
        <v>967</v>
      </c>
      <c r="G3431" s="87" t="s">
        <v>967</v>
      </c>
      <c r="H3431" s="87" t="s">
        <v>967</v>
      </c>
      <c r="I3431" s="87">
        <v>49</v>
      </c>
    </row>
    <row r="3432" spans="1:9" ht="15" customHeight="1" x14ac:dyDescent="0.25">
      <c r="A3432" s="87" t="s">
        <v>10</v>
      </c>
      <c r="B3432" s="87" t="s">
        <v>369</v>
      </c>
      <c r="C3432" s="87">
        <v>1997</v>
      </c>
      <c r="D3432" s="87" t="s">
        <v>9</v>
      </c>
      <c r="E3432" s="116">
        <v>1358</v>
      </c>
      <c r="F3432" s="87" t="s">
        <v>967</v>
      </c>
      <c r="G3432" s="87" t="s">
        <v>967</v>
      </c>
      <c r="H3432" s="87" t="s">
        <v>696</v>
      </c>
      <c r="I3432" s="87">
        <v>49</v>
      </c>
    </row>
    <row r="3433" spans="1:9" ht="15" customHeight="1" x14ac:dyDescent="0.25">
      <c r="A3433" s="87" t="s">
        <v>10</v>
      </c>
      <c r="B3433" s="87" t="s">
        <v>369</v>
      </c>
      <c r="C3433" s="87">
        <v>1998</v>
      </c>
      <c r="D3433" s="87" t="s">
        <v>9</v>
      </c>
      <c r="E3433" s="116">
        <v>1246</v>
      </c>
      <c r="F3433" s="87" t="s">
        <v>967</v>
      </c>
      <c r="G3433" s="87" t="s">
        <v>272</v>
      </c>
      <c r="H3433" s="87" t="s">
        <v>967</v>
      </c>
      <c r="I3433" s="87">
        <v>49</v>
      </c>
    </row>
    <row r="3434" spans="1:9" ht="15" customHeight="1" x14ac:dyDescent="0.25">
      <c r="A3434" s="87" t="s">
        <v>10</v>
      </c>
      <c r="B3434" s="87" t="s">
        <v>369</v>
      </c>
      <c r="C3434" s="87">
        <v>1999</v>
      </c>
      <c r="D3434" s="87" t="s">
        <v>9</v>
      </c>
      <c r="E3434" s="116">
        <v>1163</v>
      </c>
      <c r="F3434" s="87" t="s">
        <v>967</v>
      </c>
      <c r="G3434" s="87" t="s">
        <v>272</v>
      </c>
      <c r="H3434" s="87" t="s">
        <v>967</v>
      </c>
      <c r="I3434" s="87">
        <v>49</v>
      </c>
    </row>
    <row r="3435" spans="1:9" ht="15" customHeight="1" x14ac:dyDescent="0.25">
      <c r="A3435" s="87" t="s">
        <v>10</v>
      </c>
      <c r="B3435" s="87" t="s">
        <v>369</v>
      </c>
      <c r="C3435" s="87">
        <v>2000</v>
      </c>
      <c r="D3435" s="87" t="s">
        <v>9</v>
      </c>
      <c r="E3435" s="116">
        <v>2043</v>
      </c>
      <c r="F3435" s="87" t="s">
        <v>967</v>
      </c>
      <c r="G3435" s="87" t="s">
        <v>272</v>
      </c>
      <c r="H3435" s="87" t="s">
        <v>967</v>
      </c>
      <c r="I3435" s="87">
        <v>49</v>
      </c>
    </row>
    <row r="3436" spans="1:9" ht="15" customHeight="1" x14ac:dyDescent="0.25">
      <c r="A3436" s="87" t="s">
        <v>10</v>
      </c>
      <c r="B3436" s="87" t="s">
        <v>369</v>
      </c>
      <c r="C3436" s="87">
        <v>2001</v>
      </c>
      <c r="D3436" s="87" t="s">
        <v>9</v>
      </c>
      <c r="E3436" s="116">
        <v>9885</v>
      </c>
      <c r="F3436" s="87" t="s">
        <v>967</v>
      </c>
      <c r="G3436" s="87" t="s">
        <v>272</v>
      </c>
      <c r="H3436" s="87" t="s">
        <v>967</v>
      </c>
      <c r="I3436" s="87">
        <v>49</v>
      </c>
    </row>
    <row r="3437" spans="1:9" ht="15" customHeight="1" x14ac:dyDescent="0.25">
      <c r="A3437" s="87" t="s">
        <v>10</v>
      </c>
      <c r="B3437" s="87" t="s">
        <v>369</v>
      </c>
      <c r="C3437" s="87">
        <v>2002</v>
      </c>
      <c r="D3437" s="87" t="s">
        <v>9</v>
      </c>
      <c r="E3437" s="116">
        <v>2799</v>
      </c>
      <c r="F3437" s="87" t="s">
        <v>967</v>
      </c>
      <c r="G3437" s="87" t="s">
        <v>272</v>
      </c>
      <c r="H3437" s="87" t="s">
        <v>697</v>
      </c>
      <c r="I3437" s="87">
        <v>49</v>
      </c>
    </row>
    <row r="3438" spans="1:9" ht="15" customHeight="1" x14ac:dyDescent="0.25">
      <c r="A3438" s="87" t="s">
        <v>10</v>
      </c>
      <c r="B3438" s="87" t="s">
        <v>369</v>
      </c>
      <c r="C3438" s="87">
        <v>2003</v>
      </c>
      <c r="D3438" s="87" t="s">
        <v>9</v>
      </c>
      <c r="E3438" s="116">
        <v>2488</v>
      </c>
      <c r="F3438" s="87" t="s">
        <v>967</v>
      </c>
      <c r="G3438" s="87" t="s">
        <v>272</v>
      </c>
      <c r="H3438" s="87" t="s">
        <v>967</v>
      </c>
      <c r="I3438" s="87">
        <v>49</v>
      </c>
    </row>
    <row r="3439" spans="1:9" ht="15" customHeight="1" x14ac:dyDescent="0.25">
      <c r="A3439" s="87" t="s">
        <v>10</v>
      </c>
      <c r="B3439" s="87" t="s">
        <v>369</v>
      </c>
      <c r="C3439" s="87">
        <v>2004</v>
      </c>
      <c r="D3439" s="87" t="s">
        <v>9</v>
      </c>
      <c r="E3439" s="116">
        <v>6014</v>
      </c>
      <c r="F3439" s="87" t="s">
        <v>967</v>
      </c>
      <c r="G3439" s="87" t="s">
        <v>272</v>
      </c>
      <c r="H3439" s="87" t="s">
        <v>967</v>
      </c>
      <c r="I3439" s="87">
        <v>49</v>
      </c>
    </row>
    <row r="3440" spans="1:9" ht="15" customHeight="1" x14ac:dyDescent="0.25">
      <c r="A3440" s="87" t="s">
        <v>10</v>
      </c>
      <c r="B3440" s="87" t="s">
        <v>369</v>
      </c>
      <c r="C3440" s="87">
        <v>2005</v>
      </c>
      <c r="D3440" s="87" t="s">
        <v>9</v>
      </c>
      <c r="E3440" s="116">
        <v>9046</v>
      </c>
      <c r="F3440" s="87" t="s">
        <v>967</v>
      </c>
      <c r="G3440" s="87" t="s">
        <v>272</v>
      </c>
      <c r="H3440" s="87" t="s">
        <v>989</v>
      </c>
      <c r="I3440" s="87">
        <v>49</v>
      </c>
    </row>
    <row r="3441" spans="1:9" ht="15" customHeight="1" x14ac:dyDescent="0.25">
      <c r="A3441" s="87" t="s">
        <v>10</v>
      </c>
      <c r="B3441" s="87" t="s">
        <v>369</v>
      </c>
      <c r="C3441" s="87">
        <v>2006</v>
      </c>
      <c r="D3441" s="87" t="s">
        <v>9</v>
      </c>
      <c r="E3441" s="116">
        <v>8590</v>
      </c>
      <c r="F3441" s="87" t="s">
        <v>967</v>
      </c>
      <c r="G3441" s="87" t="s">
        <v>272</v>
      </c>
      <c r="H3441" s="87" t="s">
        <v>967</v>
      </c>
      <c r="I3441" s="87">
        <v>49</v>
      </c>
    </row>
    <row r="3442" spans="1:9" ht="15" customHeight="1" x14ac:dyDescent="0.25">
      <c r="A3442" s="87" t="s">
        <v>10</v>
      </c>
      <c r="B3442" s="87" t="s">
        <v>369</v>
      </c>
      <c r="C3442" s="87">
        <v>2007</v>
      </c>
      <c r="D3442" s="87" t="s">
        <v>9</v>
      </c>
      <c r="E3442" s="116">
        <v>7352</v>
      </c>
      <c r="F3442" s="87" t="s">
        <v>967</v>
      </c>
      <c r="G3442" s="87" t="s">
        <v>272</v>
      </c>
      <c r="H3442" s="87" t="s">
        <v>967</v>
      </c>
      <c r="I3442" s="87">
        <v>49</v>
      </c>
    </row>
    <row r="3443" spans="1:9" ht="15" customHeight="1" x14ac:dyDescent="0.25">
      <c r="A3443" s="87" t="s">
        <v>10</v>
      </c>
      <c r="B3443" s="87" t="s">
        <v>369</v>
      </c>
      <c r="C3443" s="87">
        <v>2008</v>
      </c>
      <c r="D3443" s="87" t="s">
        <v>9</v>
      </c>
      <c r="E3443" s="116">
        <v>11446</v>
      </c>
      <c r="F3443" s="87" t="s">
        <v>967</v>
      </c>
      <c r="G3443" s="87" t="s">
        <v>272</v>
      </c>
      <c r="H3443" s="87" t="s">
        <v>967</v>
      </c>
      <c r="I3443" s="87">
        <v>49</v>
      </c>
    </row>
    <row r="3444" spans="1:9" ht="15" customHeight="1" x14ac:dyDescent="0.25">
      <c r="A3444" s="87" t="s">
        <v>10</v>
      </c>
      <c r="B3444" s="87" t="s">
        <v>369</v>
      </c>
      <c r="C3444" s="87">
        <v>2009</v>
      </c>
      <c r="D3444" s="87" t="s">
        <v>9</v>
      </c>
      <c r="E3444" s="116">
        <v>7286</v>
      </c>
      <c r="F3444" s="87" t="s">
        <v>967</v>
      </c>
      <c r="G3444" s="87" t="s">
        <v>272</v>
      </c>
      <c r="H3444" s="87" t="s">
        <v>967</v>
      </c>
      <c r="I3444" s="87">
        <v>49</v>
      </c>
    </row>
    <row r="3445" spans="1:9" ht="15" customHeight="1" x14ac:dyDescent="0.25">
      <c r="A3445" s="87" t="s">
        <v>10</v>
      </c>
      <c r="B3445" s="87" t="s">
        <v>369</v>
      </c>
      <c r="C3445" s="87">
        <v>2010</v>
      </c>
      <c r="D3445" s="87" t="s">
        <v>9</v>
      </c>
      <c r="E3445" s="116">
        <v>12454</v>
      </c>
      <c r="F3445" s="87" t="s">
        <v>967</v>
      </c>
      <c r="G3445" s="87" t="s">
        <v>272</v>
      </c>
      <c r="H3445" s="87" t="s">
        <v>698</v>
      </c>
      <c r="I3445" s="87">
        <v>49</v>
      </c>
    </row>
    <row r="3446" spans="1:9" ht="15" customHeight="1" x14ac:dyDescent="0.25">
      <c r="A3446" s="87" t="s">
        <v>10</v>
      </c>
      <c r="B3446" s="87" t="s">
        <v>369</v>
      </c>
      <c r="C3446" s="87">
        <v>2011</v>
      </c>
      <c r="D3446" s="87" t="s">
        <v>9</v>
      </c>
      <c r="E3446" s="116">
        <v>16954</v>
      </c>
      <c r="F3446" s="87" t="s">
        <v>967</v>
      </c>
      <c r="G3446" s="87" t="s">
        <v>272</v>
      </c>
      <c r="H3446" s="87" t="s">
        <v>967</v>
      </c>
      <c r="I3446" s="87">
        <v>49</v>
      </c>
    </row>
    <row r="3447" spans="1:9" ht="15" customHeight="1" x14ac:dyDescent="0.25">
      <c r="A3447" s="87" t="s">
        <v>10</v>
      </c>
      <c r="B3447" s="87" t="s">
        <v>369</v>
      </c>
      <c r="C3447" s="87">
        <v>2012</v>
      </c>
      <c r="D3447" s="87" t="s">
        <v>9</v>
      </c>
      <c r="E3447" s="116">
        <v>7196</v>
      </c>
      <c r="F3447" s="87" t="s">
        <v>967</v>
      </c>
      <c r="G3447" s="87" t="s">
        <v>272</v>
      </c>
      <c r="H3447" s="87" t="s">
        <v>967</v>
      </c>
      <c r="I3447" s="87">
        <v>49</v>
      </c>
    </row>
    <row r="3448" spans="1:9" ht="15" customHeight="1" x14ac:dyDescent="0.25">
      <c r="A3448" s="87" t="s">
        <v>10</v>
      </c>
      <c r="B3448" s="87" t="s">
        <v>369</v>
      </c>
      <c r="C3448" s="87">
        <v>2013</v>
      </c>
      <c r="D3448" s="87" t="s">
        <v>9</v>
      </c>
      <c r="E3448" s="116">
        <v>17227</v>
      </c>
      <c r="F3448" s="87" t="s">
        <v>967</v>
      </c>
      <c r="G3448" s="87" t="s">
        <v>272</v>
      </c>
      <c r="H3448" s="87" t="s">
        <v>967</v>
      </c>
      <c r="I3448" s="87">
        <v>49</v>
      </c>
    </row>
    <row r="3449" spans="1:9" ht="15" customHeight="1" x14ac:dyDescent="0.25">
      <c r="A3449" s="87" t="s">
        <v>10</v>
      </c>
      <c r="B3449" s="87" t="s">
        <v>369</v>
      </c>
      <c r="C3449" s="87">
        <v>2014</v>
      </c>
      <c r="D3449" s="87" t="s">
        <v>9</v>
      </c>
      <c r="E3449" s="116">
        <v>3411</v>
      </c>
      <c r="F3449" s="87" t="s">
        <v>967</v>
      </c>
      <c r="G3449" s="87" t="s">
        <v>272</v>
      </c>
      <c r="H3449" s="87" t="s">
        <v>967</v>
      </c>
      <c r="I3449" s="87">
        <v>49</v>
      </c>
    </row>
    <row r="3450" spans="1:9" ht="15" customHeight="1" x14ac:dyDescent="0.25">
      <c r="A3450" s="87" t="s">
        <v>10</v>
      </c>
      <c r="B3450" s="87" t="s">
        <v>369</v>
      </c>
      <c r="C3450" s="87">
        <v>2015</v>
      </c>
      <c r="D3450" s="87" t="s">
        <v>9</v>
      </c>
      <c r="E3450" s="116">
        <v>25296</v>
      </c>
      <c r="F3450" s="87" t="s">
        <v>967</v>
      </c>
      <c r="G3450" s="87" t="s">
        <v>272</v>
      </c>
      <c r="H3450" s="87" t="s">
        <v>699</v>
      </c>
      <c r="I3450" s="87">
        <v>49</v>
      </c>
    </row>
    <row r="3451" spans="1:9" ht="15" customHeight="1" x14ac:dyDescent="0.25">
      <c r="A3451" s="87" t="s">
        <v>10</v>
      </c>
      <c r="B3451" s="87" t="s">
        <v>369</v>
      </c>
      <c r="C3451" s="87">
        <v>2016</v>
      </c>
      <c r="D3451" s="87" t="s">
        <v>9</v>
      </c>
      <c r="E3451" s="116">
        <v>20047</v>
      </c>
      <c r="F3451" s="87" t="s">
        <v>967</v>
      </c>
      <c r="G3451" s="87" t="s">
        <v>272</v>
      </c>
      <c r="H3451" s="87" t="s">
        <v>700</v>
      </c>
      <c r="I3451" s="87">
        <v>49</v>
      </c>
    </row>
    <row r="3452" spans="1:9" ht="15" customHeight="1" x14ac:dyDescent="0.25">
      <c r="A3452" s="87" t="s">
        <v>10</v>
      </c>
      <c r="B3452" s="87" t="s">
        <v>369</v>
      </c>
      <c r="C3452" s="87">
        <v>2017</v>
      </c>
      <c r="D3452" s="87" t="s">
        <v>9</v>
      </c>
      <c r="E3452" s="116">
        <v>22331</v>
      </c>
      <c r="F3452" s="87" t="s">
        <v>967</v>
      </c>
      <c r="G3452" s="87" t="s">
        <v>272</v>
      </c>
      <c r="H3452" s="87" t="s">
        <v>967</v>
      </c>
      <c r="I3452" s="87">
        <v>49</v>
      </c>
    </row>
    <row r="3453" spans="1:9" ht="15" customHeight="1" x14ac:dyDescent="0.25">
      <c r="A3453" s="87" t="s">
        <v>10</v>
      </c>
      <c r="B3453" s="87" t="s">
        <v>369</v>
      </c>
      <c r="C3453" s="87">
        <v>2018</v>
      </c>
      <c r="D3453" s="87" t="s">
        <v>9</v>
      </c>
      <c r="E3453" s="116">
        <v>5577</v>
      </c>
      <c r="F3453" s="87" t="s">
        <v>967</v>
      </c>
      <c r="G3453" s="87" t="s">
        <v>272</v>
      </c>
      <c r="H3453" s="87" t="s">
        <v>936</v>
      </c>
      <c r="I3453" s="87">
        <v>49</v>
      </c>
    </row>
    <row r="3454" spans="1:9" ht="15" customHeight="1" x14ac:dyDescent="0.25">
      <c r="A3454" s="87" t="s">
        <v>10</v>
      </c>
      <c r="B3454" s="87" t="s">
        <v>369</v>
      </c>
      <c r="C3454" s="87">
        <v>2019</v>
      </c>
      <c r="D3454" s="87" t="s">
        <v>9</v>
      </c>
      <c r="E3454" s="116">
        <v>34190</v>
      </c>
      <c r="F3454" s="87" t="s">
        <v>967</v>
      </c>
      <c r="G3454" s="87" t="s">
        <v>272</v>
      </c>
      <c r="H3454" s="87" t="s">
        <v>967</v>
      </c>
      <c r="I3454" s="87">
        <v>49</v>
      </c>
    </row>
    <row r="3455" spans="1:9" ht="15" customHeight="1" x14ac:dyDescent="0.25">
      <c r="A3455" s="87" t="s">
        <v>10</v>
      </c>
      <c r="B3455" s="87" t="s">
        <v>369</v>
      </c>
      <c r="C3455" s="87">
        <v>2020</v>
      </c>
      <c r="D3455" s="87" t="s">
        <v>9</v>
      </c>
      <c r="E3455" s="116">
        <v>23054</v>
      </c>
      <c r="F3455" s="87" t="s">
        <v>967</v>
      </c>
      <c r="G3455" s="87" t="s">
        <v>272</v>
      </c>
      <c r="H3455" s="87" t="s">
        <v>967</v>
      </c>
      <c r="I3455" s="87">
        <v>49</v>
      </c>
    </row>
    <row r="3456" spans="1:9" ht="15" customHeight="1" x14ac:dyDescent="0.25">
      <c r="A3456" s="87" t="s">
        <v>10</v>
      </c>
      <c r="B3456" s="87" t="s">
        <v>369</v>
      </c>
      <c r="C3456" s="87">
        <v>2021</v>
      </c>
      <c r="D3456" s="87" t="s">
        <v>9</v>
      </c>
      <c r="E3456" s="116">
        <v>39416</v>
      </c>
      <c r="F3456" s="87" t="s">
        <v>967</v>
      </c>
      <c r="G3456" s="87" t="s">
        <v>272</v>
      </c>
      <c r="H3456" s="87" t="s">
        <v>967</v>
      </c>
      <c r="I3456" s="87">
        <v>49</v>
      </c>
    </row>
    <row r="3457" spans="1:9" ht="15" customHeight="1" x14ac:dyDescent="0.25">
      <c r="A3457" s="87" t="s">
        <v>10</v>
      </c>
      <c r="B3457" s="87" t="s">
        <v>369</v>
      </c>
      <c r="C3457" s="87">
        <v>2022</v>
      </c>
      <c r="D3457" s="87" t="s">
        <v>9</v>
      </c>
      <c r="E3457" s="116">
        <v>23604</v>
      </c>
      <c r="F3457" s="87" t="s">
        <v>967</v>
      </c>
      <c r="G3457" s="87" t="s">
        <v>272</v>
      </c>
      <c r="H3457" s="87" t="s">
        <v>967</v>
      </c>
      <c r="I3457" s="87">
        <v>49</v>
      </c>
    </row>
    <row r="3458" spans="1:9" ht="15" customHeight="1" x14ac:dyDescent="0.25">
      <c r="A3458" s="87" t="s">
        <v>10</v>
      </c>
      <c r="B3458" s="87" t="s">
        <v>370</v>
      </c>
      <c r="C3458" s="87">
        <v>1975</v>
      </c>
      <c r="D3458" s="87" t="s">
        <v>9</v>
      </c>
      <c r="E3458" s="116">
        <v>7000</v>
      </c>
      <c r="F3458" s="87" t="s">
        <v>768</v>
      </c>
      <c r="G3458" s="87" t="s">
        <v>967</v>
      </c>
      <c r="H3458" s="87" t="s">
        <v>768</v>
      </c>
      <c r="I3458" s="87">
        <v>50</v>
      </c>
    </row>
    <row r="3459" spans="1:9" ht="15" customHeight="1" x14ac:dyDescent="0.25">
      <c r="A3459" s="87" t="s">
        <v>10</v>
      </c>
      <c r="B3459" s="87" t="s">
        <v>370</v>
      </c>
      <c r="C3459" s="87">
        <v>1976</v>
      </c>
      <c r="D3459" s="87" t="s">
        <v>9</v>
      </c>
      <c r="E3459" s="116">
        <v>1500</v>
      </c>
      <c r="F3459" s="87" t="s">
        <v>768</v>
      </c>
      <c r="G3459" s="87" t="s">
        <v>967</v>
      </c>
      <c r="H3459" s="87" t="s">
        <v>768</v>
      </c>
      <c r="I3459" s="87">
        <v>50</v>
      </c>
    </row>
    <row r="3460" spans="1:9" ht="15" customHeight="1" x14ac:dyDescent="0.25">
      <c r="A3460" s="87" t="s">
        <v>10</v>
      </c>
      <c r="B3460" s="87" t="s">
        <v>370</v>
      </c>
      <c r="C3460" s="87">
        <v>1977</v>
      </c>
      <c r="D3460" s="87" t="s">
        <v>9</v>
      </c>
      <c r="E3460" s="116">
        <v>7000</v>
      </c>
      <c r="F3460" s="87" t="s">
        <v>768</v>
      </c>
      <c r="G3460" s="87" t="s">
        <v>967</v>
      </c>
      <c r="H3460" s="87" t="s">
        <v>768</v>
      </c>
      <c r="I3460" s="87">
        <v>50</v>
      </c>
    </row>
    <row r="3461" spans="1:9" ht="15" customHeight="1" x14ac:dyDescent="0.25">
      <c r="A3461" s="87" t="s">
        <v>10</v>
      </c>
      <c r="B3461" s="87" t="s">
        <v>370</v>
      </c>
      <c r="C3461" s="87">
        <v>1978</v>
      </c>
      <c r="D3461" s="87" t="s">
        <v>9</v>
      </c>
      <c r="E3461" s="116">
        <v>3500</v>
      </c>
      <c r="F3461" s="87" t="s">
        <v>768</v>
      </c>
      <c r="G3461" s="87" t="s">
        <v>967</v>
      </c>
      <c r="H3461" s="87" t="s">
        <v>768</v>
      </c>
      <c r="I3461" s="87">
        <v>50</v>
      </c>
    </row>
    <row r="3462" spans="1:9" ht="15" customHeight="1" x14ac:dyDescent="0.25">
      <c r="A3462" s="87" t="s">
        <v>10</v>
      </c>
      <c r="B3462" s="87" t="s">
        <v>370</v>
      </c>
      <c r="C3462" s="87">
        <v>1979</v>
      </c>
      <c r="D3462" s="87" t="s">
        <v>9</v>
      </c>
      <c r="E3462" s="116">
        <v>6000</v>
      </c>
      <c r="F3462" s="87" t="s">
        <v>768</v>
      </c>
      <c r="G3462" s="87" t="s">
        <v>967</v>
      </c>
      <c r="H3462" s="87" t="s">
        <v>768</v>
      </c>
      <c r="I3462" s="87">
        <v>50</v>
      </c>
    </row>
    <row r="3463" spans="1:9" ht="15" customHeight="1" x14ac:dyDescent="0.25">
      <c r="A3463" s="87" t="s">
        <v>10</v>
      </c>
      <c r="B3463" s="87" t="s">
        <v>370</v>
      </c>
      <c r="C3463" s="87">
        <v>1980</v>
      </c>
      <c r="D3463" s="87" t="s">
        <v>9</v>
      </c>
      <c r="E3463" s="116">
        <v>3000</v>
      </c>
      <c r="F3463" s="87" t="s">
        <v>768</v>
      </c>
      <c r="G3463" s="87" t="s">
        <v>967</v>
      </c>
      <c r="H3463" s="87" t="s">
        <v>768</v>
      </c>
      <c r="I3463" s="87">
        <v>50</v>
      </c>
    </row>
    <row r="3464" spans="1:9" ht="15" customHeight="1" x14ac:dyDescent="0.25">
      <c r="A3464" s="87" t="s">
        <v>10</v>
      </c>
      <c r="B3464" s="87" t="s">
        <v>370</v>
      </c>
      <c r="C3464" s="87">
        <v>1981</v>
      </c>
      <c r="D3464" s="87" t="s">
        <v>9</v>
      </c>
      <c r="E3464" s="116">
        <v>6000</v>
      </c>
      <c r="F3464" s="87" t="s">
        <v>768</v>
      </c>
      <c r="G3464" s="87" t="s">
        <v>967</v>
      </c>
      <c r="H3464" s="87" t="s">
        <v>768</v>
      </c>
      <c r="I3464" s="87">
        <v>50</v>
      </c>
    </row>
    <row r="3465" spans="1:9" ht="15" customHeight="1" x14ac:dyDescent="0.25">
      <c r="A3465" s="87" t="s">
        <v>10</v>
      </c>
      <c r="B3465" s="87" t="s">
        <v>370</v>
      </c>
      <c r="C3465" s="87">
        <v>1982</v>
      </c>
      <c r="D3465" s="87" t="s">
        <v>9</v>
      </c>
      <c r="E3465" s="116">
        <v>3500</v>
      </c>
      <c r="F3465" s="87" t="s">
        <v>768</v>
      </c>
      <c r="G3465" s="87" t="s">
        <v>967</v>
      </c>
      <c r="H3465" s="87" t="s">
        <v>768</v>
      </c>
      <c r="I3465" s="87">
        <v>50</v>
      </c>
    </row>
    <row r="3466" spans="1:9" ht="15" customHeight="1" x14ac:dyDescent="0.25">
      <c r="A3466" s="87" t="s">
        <v>10</v>
      </c>
      <c r="B3466" s="87" t="s">
        <v>370</v>
      </c>
      <c r="C3466" s="87">
        <v>1983</v>
      </c>
      <c r="D3466" s="87" t="s">
        <v>9</v>
      </c>
      <c r="E3466" s="116">
        <v>3000</v>
      </c>
      <c r="F3466" s="87" t="s">
        <v>768</v>
      </c>
      <c r="G3466" s="87" t="s">
        <v>967</v>
      </c>
      <c r="H3466" s="87" t="s">
        <v>768</v>
      </c>
      <c r="I3466" s="87">
        <v>50</v>
      </c>
    </row>
    <row r="3467" spans="1:9" ht="15" customHeight="1" x14ac:dyDescent="0.25">
      <c r="A3467" s="87" t="s">
        <v>10</v>
      </c>
      <c r="B3467" s="87" t="s">
        <v>370</v>
      </c>
      <c r="C3467" s="87">
        <v>1984</v>
      </c>
      <c r="D3467" s="87" t="s">
        <v>9</v>
      </c>
      <c r="E3467" s="116">
        <v>6000</v>
      </c>
      <c r="F3467" s="87" t="s">
        <v>768</v>
      </c>
      <c r="G3467" s="87" t="s">
        <v>967</v>
      </c>
      <c r="H3467" s="87" t="s">
        <v>768</v>
      </c>
      <c r="I3467" s="87">
        <v>50</v>
      </c>
    </row>
    <row r="3468" spans="1:9" ht="15" customHeight="1" x14ac:dyDescent="0.25">
      <c r="A3468" s="87" t="s">
        <v>10</v>
      </c>
      <c r="B3468" s="87" t="s">
        <v>370</v>
      </c>
      <c r="C3468" s="87">
        <v>1985</v>
      </c>
      <c r="D3468" s="87" t="s">
        <v>9</v>
      </c>
      <c r="E3468" s="116">
        <v>7000</v>
      </c>
      <c r="F3468" s="87" t="s">
        <v>768</v>
      </c>
      <c r="G3468" s="87" t="s">
        <v>967</v>
      </c>
      <c r="H3468" s="87" t="s">
        <v>768</v>
      </c>
      <c r="I3468" s="87">
        <v>50</v>
      </c>
    </row>
    <row r="3469" spans="1:9" ht="15" customHeight="1" x14ac:dyDescent="0.25">
      <c r="A3469" s="87" t="s">
        <v>10</v>
      </c>
      <c r="B3469" s="87" t="s">
        <v>370</v>
      </c>
      <c r="C3469" s="87">
        <v>1986</v>
      </c>
      <c r="D3469" s="87" t="s">
        <v>9</v>
      </c>
      <c r="E3469" s="116">
        <v>6500</v>
      </c>
      <c r="F3469" s="87" t="s">
        <v>768</v>
      </c>
      <c r="G3469" s="87" t="s">
        <v>967</v>
      </c>
      <c r="H3469" s="87" t="s">
        <v>768</v>
      </c>
      <c r="I3469" s="87">
        <v>50</v>
      </c>
    </row>
    <row r="3470" spans="1:9" ht="15" customHeight="1" x14ac:dyDescent="0.25">
      <c r="A3470" s="87" t="s">
        <v>10</v>
      </c>
      <c r="B3470" s="87" t="s">
        <v>370</v>
      </c>
      <c r="C3470" s="87">
        <v>1987</v>
      </c>
      <c r="D3470" s="87" t="s">
        <v>9</v>
      </c>
      <c r="E3470" s="116">
        <v>8500</v>
      </c>
      <c r="F3470" s="87" t="s">
        <v>768</v>
      </c>
      <c r="G3470" s="87" t="s">
        <v>967</v>
      </c>
      <c r="H3470" s="87" t="s">
        <v>768</v>
      </c>
      <c r="I3470" s="87">
        <v>50</v>
      </c>
    </row>
    <row r="3471" spans="1:9" ht="15" customHeight="1" x14ac:dyDescent="0.25">
      <c r="A3471" s="87" t="s">
        <v>10</v>
      </c>
      <c r="B3471" s="87" t="s">
        <v>370</v>
      </c>
      <c r="C3471" s="87">
        <v>1988</v>
      </c>
      <c r="D3471" s="87" t="s">
        <v>9</v>
      </c>
      <c r="E3471" s="116">
        <v>12000</v>
      </c>
      <c r="F3471" s="87" t="s">
        <v>768</v>
      </c>
      <c r="G3471" s="87" t="s">
        <v>967</v>
      </c>
      <c r="H3471" s="87" t="s">
        <v>768</v>
      </c>
      <c r="I3471" s="87">
        <v>50</v>
      </c>
    </row>
    <row r="3472" spans="1:9" ht="15" customHeight="1" x14ac:dyDescent="0.25">
      <c r="A3472" s="87" t="s">
        <v>10</v>
      </c>
      <c r="B3472" s="87" t="s">
        <v>370</v>
      </c>
      <c r="C3472" s="87">
        <v>1989</v>
      </c>
      <c r="D3472" s="87" t="s">
        <v>9</v>
      </c>
      <c r="E3472" s="116">
        <v>10000</v>
      </c>
      <c r="F3472" s="87" t="s">
        <v>768</v>
      </c>
      <c r="G3472" s="87" t="s">
        <v>967</v>
      </c>
      <c r="H3472" s="87" t="s">
        <v>768</v>
      </c>
      <c r="I3472" s="87">
        <v>50</v>
      </c>
    </row>
    <row r="3473" spans="1:9" ht="15" customHeight="1" x14ac:dyDescent="0.25">
      <c r="A3473" s="87" t="s">
        <v>10</v>
      </c>
      <c r="B3473" s="87" t="s">
        <v>370</v>
      </c>
      <c r="C3473" s="87">
        <v>1990</v>
      </c>
      <c r="D3473" s="87" t="s">
        <v>9</v>
      </c>
      <c r="E3473" s="116">
        <v>6000</v>
      </c>
      <c r="F3473" s="87" t="s">
        <v>768</v>
      </c>
      <c r="G3473" s="87" t="s">
        <v>967</v>
      </c>
      <c r="H3473" s="87" t="s">
        <v>768</v>
      </c>
      <c r="I3473" s="87">
        <v>50</v>
      </c>
    </row>
    <row r="3474" spans="1:9" ht="15" customHeight="1" x14ac:dyDescent="0.25">
      <c r="A3474" s="87" t="s">
        <v>10</v>
      </c>
      <c r="B3474" s="87" t="s">
        <v>370</v>
      </c>
      <c r="C3474" s="87">
        <v>1991</v>
      </c>
      <c r="D3474" s="87" t="s">
        <v>9</v>
      </c>
      <c r="E3474" s="116">
        <v>8000</v>
      </c>
      <c r="F3474" s="87" t="s">
        <v>768</v>
      </c>
      <c r="G3474" s="87" t="s">
        <v>967</v>
      </c>
      <c r="H3474" s="87" t="s">
        <v>768</v>
      </c>
      <c r="I3474" s="87">
        <v>50</v>
      </c>
    </row>
    <row r="3475" spans="1:9" ht="15" customHeight="1" x14ac:dyDescent="0.25">
      <c r="A3475" s="87" t="s">
        <v>10</v>
      </c>
      <c r="B3475" s="87" t="s">
        <v>370</v>
      </c>
      <c r="C3475" s="87">
        <v>1992</v>
      </c>
      <c r="D3475" s="87" t="s">
        <v>9</v>
      </c>
      <c r="E3475" s="116">
        <v>12000</v>
      </c>
      <c r="F3475" s="87" t="s">
        <v>768</v>
      </c>
      <c r="G3475" s="87" t="s">
        <v>967</v>
      </c>
      <c r="H3475" s="87" t="s">
        <v>768</v>
      </c>
      <c r="I3475" s="87">
        <v>50</v>
      </c>
    </row>
    <row r="3476" spans="1:9" ht="15" customHeight="1" x14ac:dyDescent="0.25">
      <c r="A3476" s="87" t="s">
        <v>10</v>
      </c>
      <c r="B3476" s="87" t="s">
        <v>370</v>
      </c>
      <c r="C3476" s="87">
        <v>1993</v>
      </c>
      <c r="D3476" s="87" t="s">
        <v>9</v>
      </c>
      <c r="E3476" s="116">
        <v>4000</v>
      </c>
      <c r="F3476" s="87" t="s">
        <v>768</v>
      </c>
      <c r="G3476" s="87" t="s">
        <v>967</v>
      </c>
      <c r="H3476" s="87" t="s">
        <v>768</v>
      </c>
      <c r="I3476" s="87">
        <v>50</v>
      </c>
    </row>
    <row r="3477" spans="1:9" ht="15" customHeight="1" x14ac:dyDescent="0.25">
      <c r="A3477" s="87" t="s">
        <v>10</v>
      </c>
      <c r="B3477" s="87" t="s">
        <v>370</v>
      </c>
      <c r="C3477" s="87">
        <v>1994</v>
      </c>
      <c r="D3477" s="87" t="s">
        <v>9</v>
      </c>
      <c r="E3477" s="116">
        <v>2118</v>
      </c>
      <c r="F3477" s="87" t="s">
        <v>368</v>
      </c>
      <c r="G3477" s="87" t="s">
        <v>272</v>
      </c>
      <c r="H3477" s="87" t="s">
        <v>967</v>
      </c>
      <c r="I3477" s="87">
        <v>50</v>
      </c>
    </row>
    <row r="3478" spans="1:9" ht="15" customHeight="1" x14ac:dyDescent="0.25">
      <c r="A3478" s="87" t="s">
        <v>10</v>
      </c>
      <c r="B3478" s="87" t="s">
        <v>370</v>
      </c>
      <c r="C3478" s="87">
        <v>1995</v>
      </c>
      <c r="D3478" s="87" t="s">
        <v>9</v>
      </c>
      <c r="E3478" s="116">
        <v>5500</v>
      </c>
      <c r="F3478" s="87" t="s">
        <v>967</v>
      </c>
      <c r="G3478" s="87" t="s">
        <v>967</v>
      </c>
      <c r="H3478" s="87" t="s">
        <v>967</v>
      </c>
      <c r="I3478" s="87">
        <v>50</v>
      </c>
    </row>
    <row r="3479" spans="1:9" ht="15" customHeight="1" x14ac:dyDescent="0.25">
      <c r="A3479" s="87" t="s">
        <v>10</v>
      </c>
      <c r="B3479" s="87" t="s">
        <v>370</v>
      </c>
      <c r="C3479" s="87">
        <v>1996</v>
      </c>
      <c r="D3479" s="87" t="s">
        <v>9</v>
      </c>
      <c r="E3479" s="116">
        <v>21600</v>
      </c>
      <c r="F3479" s="87" t="s">
        <v>967</v>
      </c>
      <c r="G3479" s="87" t="s">
        <v>967</v>
      </c>
      <c r="H3479" s="87" t="s">
        <v>967</v>
      </c>
      <c r="I3479" s="87">
        <v>50</v>
      </c>
    </row>
    <row r="3480" spans="1:9" ht="15" customHeight="1" x14ac:dyDescent="0.25">
      <c r="A3480" s="87" t="s">
        <v>10</v>
      </c>
      <c r="B3480" s="87" t="s">
        <v>370</v>
      </c>
      <c r="C3480" s="87">
        <v>1997</v>
      </c>
      <c r="D3480" s="87" t="s">
        <v>9</v>
      </c>
      <c r="E3480" s="116">
        <v>27000</v>
      </c>
      <c r="F3480" s="87" t="s">
        <v>967</v>
      </c>
      <c r="G3480" s="87" t="s">
        <v>272</v>
      </c>
      <c r="H3480" s="87" t="s">
        <v>967</v>
      </c>
      <c r="I3480" s="87">
        <v>50</v>
      </c>
    </row>
    <row r="3481" spans="1:9" ht="15" customHeight="1" x14ac:dyDescent="0.25">
      <c r="A3481" s="87" t="s">
        <v>10</v>
      </c>
      <c r="B3481" s="87" t="s">
        <v>370</v>
      </c>
      <c r="C3481" s="87">
        <v>1998</v>
      </c>
      <c r="D3481" s="87" t="s">
        <v>9</v>
      </c>
      <c r="E3481" s="116">
        <v>41306</v>
      </c>
      <c r="F3481" s="87" t="s">
        <v>796</v>
      </c>
      <c r="G3481" s="87" t="s">
        <v>272</v>
      </c>
      <c r="H3481" s="87" t="s">
        <v>967</v>
      </c>
      <c r="I3481" s="87">
        <v>50</v>
      </c>
    </row>
    <row r="3482" spans="1:9" ht="15" customHeight="1" x14ac:dyDescent="0.25">
      <c r="A3482" s="87" t="s">
        <v>10</v>
      </c>
      <c r="B3482" s="87" t="s">
        <v>370</v>
      </c>
      <c r="C3482" s="87">
        <v>1999</v>
      </c>
      <c r="D3482" s="87" t="s">
        <v>9</v>
      </c>
      <c r="E3482" s="116">
        <v>13954</v>
      </c>
      <c r="F3482" s="87" t="s">
        <v>797</v>
      </c>
      <c r="G3482" s="87" t="s">
        <v>272</v>
      </c>
      <c r="H3482" s="87" t="s">
        <v>967</v>
      </c>
      <c r="I3482" s="87">
        <v>50</v>
      </c>
    </row>
    <row r="3483" spans="1:9" ht="15" customHeight="1" x14ac:dyDescent="0.25">
      <c r="A3483" s="87" t="s">
        <v>10</v>
      </c>
      <c r="B3483" s="87" t="s">
        <v>370</v>
      </c>
      <c r="C3483" s="87">
        <v>2000</v>
      </c>
      <c r="D3483" s="87" t="s">
        <v>9</v>
      </c>
      <c r="E3483" s="116">
        <v>10806</v>
      </c>
      <c r="F3483" s="87" t="s">
        <v>798</v>
      </c>
      <c r="G3483" s="87" t="s">
        <v>272</v>
      </c>
      <c r="H3483" s="87" t="s">
        <v>967</v>
      </c>
      <c r="I3483" s="87">
        <v>50</v>
      </c>
    </row>
    <row r="3484" spans="1:9" ht="15" customHeight="1" x14ac:dyDescent="0.25">
      <c r="A3484" s="87" t="s">
        <v>10</v>
      </c>
      <c r="B3484" s="87" t="s">
        <v>370</v>
      </c>
      <c r="C3484" s="87">
        <v>2001</v>
      </c>
      <c r="D3484" s="87" t="s">
        <v>9</v>
      </c>
      <c r="E3484" s="116">
        <v>22610</v>
      </c>
      <c r="F3484" s="87" t="s">
        <v>799</v>
      </c>
      <c r="G3484" s="87" t="s">
        <v>272</v>
      </c>
      <c r="H3484" s="87" t="s">
        <v>967</v>
      </c>
      <c r="I3484" s="87">
        <v>50</v>
      </c>
    </row>
    <row r="3485" spans="1:9" ht="15" customHeight="1" x14ac:dyDescent="0.25">
      <c r="A3485" s="87" t="s">
        <v>10</v>
      </c>
      <c r="B3485" s="87" t="s">
        <v>370</v>
      </c>
      <c r="C3485" s="87">
        <v>2002</v>
      </c>
      <c r="D3485" s="87" t="s">
        <v>9</v>
      </c>
      <c r="E3485" s="116">
        <v>43804</v>
      </c>
      <c r="F3485" s="87" t="s">
        <v>954</v>
      </c>
      <c r="G3485" s="87" t="s">
        <v>272</v>
      </c>
      <c r="H3485" s="87" t="s">
        <v>967</v>
      </c>
      <c r="I3485" s="87">
        <v>50</v>
      </c>
    </row>
    <row r="3486" spans="1:9" ht="15" customHeight="1" x14ac:dyDescent="0.25">
      <c r="A3486" s="87" t="s">
        <v>10</v>
      </c>
      <c r="B3486" s="87" t="s">
        <v>370</v>
      </c>
      <c r="C3486" s="87">
        <v>2003</v>
      </c>
      <c r="D3486" s="87" t="s">
        <v>9</v>
      </c>
      <c r="E3486" s="116">
        <v>38178</v>
      </c>
      <c r="F3486" s="87" t="s">
        <v>967</v>
      </c>
      <c r="G3486" s="87" t="s">
        <v>272</v>
      </c>
      <c r="H3486" s="87" t="s">
        <v>967</v>
      </c>
      <c r="I3486" s="87">
        <v>50</v>
      </c>
    </row>
    <row r="3487" spans="1:9" ht="15" customHeight="1" x14ac:dyDescent="0.25">
      <c r="A3487" s="87" t="s">
        <v>10</v>
      </c>
      <c r="B3487" s="87" t="s">
        <v>370</v>
      </c>
      <c r="C3487" s="87">
        <v>2004</v>
      </c>
      <c r="D3487" s="87" t="s">
        <v>9</v>
      </c>
      <c r="E3487" s="116">
        <v>29733</v>
      </c>
      <c r="F3487" s="87" t="s">
        <v>800</v>
      </c>
      <c r="G3487" s="87" t="s">
        <v>272</v>
      </c>
      <c r="H3487" s="87" t="s">
        <v>967</v>
      </c>
      <c r="I3487" s="87">
        <v>50</v>
      </c>
    </row>
    <row r="3488" spans="1:9" ht="15" customHeight="1" x14ac:dyDescent="0.25">
      <c r="A3488" s="87" t="s">
        <v>10</v>
      </c>
      <c r="B3488" s="87" t="s">
        <v>370</v>
      </c>
      <c r="C3488" s="87">
        <v>2005</v>
      </c>
      <c r="D3488" s="87" t="s">
        <v>9</v>
      </c>
      <c r="E3488" s="116">
        <v>61837</v>
      </c>
      <c r="F3488" s="87" t="s">
        <v>967</v>
      </c>
      <c r="G3488" s="87" t="s">
        <v>272</v>
      </c>
      <c r="H3488" s="87" t="s">
        <v>967</v>
      </c>
      <c r="I3488" s="87">
        <v>50</v>
      </c>
    </row>
    <row r="3489" spans="1:9" ht="15" customHeight="1" x14ac:dyDescent="0.25">
      <c r="A3489" s="87" t="s">
        <v>10</v>
      </c>
      <c r="B3489" s="87" t="s">
        <v>370</v>
      </c>
      <c r="C3489" s="87">
        <v>2006</v>
      </c>
      <c r="D3489" s="87" t="s">
        <v>9</v>
      </c>
      <c r="E3489" s="116">
        <v>100384</v>
      </c>
      <c r="F3489" s="87" t="s">
        <v>967</v>
      </c>
      <c r="G3489" s="87" t="s">
        <v>272</v>
      </c>
      <c r="H3489" s="87" t="s">
        <v>967</v>
      </c>
      <c r="I3489" s="87">
        <v>50</v>
      </c>
    </row>
    <row r="3490" spans="1:9" ht="15" customHeight="1" x14ac:dyDescent="0.25">
      <c r="A3490" s="87" t="s">
        <v>10</v>
      </c>
      <c r="B3490" s="87" t="s">
        <v>370</v>
      </c>
      <c r="C3490" s="87">
        <v>2007</v>
      </c>
      <c r="D3490" s="87" t="s">
        <v>9</v>
      </c>
      <c r="E3490" s="116">
        <v>45352</v>
      </c>
      <c r="F3490" s="87" t="s">
        <v>801</v>
      </c>
      <c r="G3490" s="87" t="s">
        <v>272</v>
      </c>
      <c r="H3490" s="87" t="s">
        <v>967</v>
      </c>
      <c r="I3490" s="87">
        <v>50</v>
      </c>
    </row>
    <row r="3491" spans="1:9" ht="15" customHeight="1" x14ac:dyDescent="0.25">
      <c r="A3491" s="87" t="s">
        <v>10</v>
      </c>
      <c r="B3491" s="87" t="s">
        <v>370</v>
      </c>
      <c r="C3491" s="87">
        <v>2008</v>
      </c>
      <c r="D3491" s="87" t="s">
        <v>9</v>
      </c>
      <c r="E3491" s="116">
        <v>57280</v>
      </c>
      <c r="F3491" s="87" t="s">
        <v>802</v>
      </c>
      <c r="G3491" s="87" t="s">
        <v>272</v>
      </c>
      <c r="H3491" s="87" t="s">
        <v>967</v>
      </c>
      <c r="I3491" s="87">
        <v>50</v>
      </c>
    </row>
    <row r="3492" spans="1:9" ht="15" customHeight="1" x14ac:dyDescent="0.25">
      <c r="A3492" s="87" t="s">
        <v>10</v>
      </c>
      <c r="B3492" s="87" t="s">
        <v>370</v>
      </c>
      <c r="C3492" s="87">
        <v>2009</v>
      </c>
      <c r="D3492" s="87" t="s">
        <v>9</v>
      </c>
      <c r="E3492" s="116">
        <v>45036</v>
      </c>
      <c r="F3492" s="87" t="s">
        <v>967</v>
      </c>
      <c r="G3492" s="87" t="s">
        <v>272</v>
      </c>
      <c r="H3492" s="87" t="s">
        <v>967</v>
      </c>
      <c r="I3492" s="87">
        <v>50</v>
      </c>
    </row>
    <row r="3493" spans="1:9" ht="15" customHeight="1" x14ac:dyDescent="0.25">
      <c r="A3493" s="87" t="s">
        <v>10</v>
      </c>
      <c r="B3493" s="87" t="s">
        <v>370</v>
      </c>
      <c r="C3493" s="87">
        <v>2010</v>
      </c>
      <c r="D3493" s="87" t="s">
        <v>9</v>
      </c>
      <c r="E3493" s="116">
        <v>58851</v>
      </c>
      <c r="F3493" s="87" t="s">
        <v>804</v>
      </c>
      <c r="G3493" s="87" t="s">
        <v>272</v>
      </c>
      <c r="H3493" s="87" t="s">
        <v>803</v>
      </c>
      <c r="I3493" s="87">
        <v>50</v>
      </c>
    </row>
    <row r="3494" spans="1:9" ht="15" customHeight="1" x14ac:dyDescent="0.25">
      <c r="A3494" s="87" t="s">
        <v>10</v>
      </c>
      <c r="B3494" s="87" t="s">
        <v>370</v>
      </c>
      <c r="C3494" s="87">
        <v>2011</v>
      </c>
      <c r="D3494" s="87" t="s">
        <v>9</v>
      </c>
      <c r="E3494" s="116">
        <v>84102</v>
      </c>
      <c r="F3494" s="87" t="s">
        <v>967</v>
      </c>
      <c r="G3494" s="87" t="s">
        <v>272</v>
      </c>
      <c r="H3494" s="87" t="s">
        <v>967</v>
      </c>
      <c r="I3494" s="87">
        <v>50</v>
      </c>
    </row>
    <row r="3495" spans="1:9" ht="15" customHeight="1" x14ac:dyDescent="0.25">
      <c r="A3495" s="87" t="s">
        <v>10</v>
      </c>
      <c r="B3495" s="87" t="s">
        <v>370</v>
      </c>
      <c r="C3495" s="87">
        <v>2012</v>
      </c>
      <c r="D3495" s="87" t="s">
        <v>9</v>
      </c>
      <c r="E3495" s="116">
        <v>32952</v>
      </c>
      <c r="F3495" s="87" t="s">
        <v>967</v>
      </c>
      <c r="G3495" s="87" t="s">
        <v>272</v>
      </c>
      <c r="H3495" s="87" t="s">
        <v>967</v>
      </c>
      <c r="I3495" s="87">
        <v>50</v>
      </c>
    </row>
    <row r="3496" spans="1:9" ht="15" customHeight="1" x14ac:dyDescent="0.25">
      <c r="A3496" s="87" t="s">
        <v>10</v>
      </c>
      <c r="B3496" s="87" t="s">
        <v>370</v>
      </c>
      <c r="C3496" s="87">
        <v>2013</v>
      </c>
      <c r="D3496" s="87" t="s">
        <v>9</v>
      </c>
      <c r="E3496" s="116">
        <v>63769</v>
      </c>
      <c r="F3496" s="87" t="s">
        <v>967</v>
      </c>
      <c r="G3496" s="87" t="s">
        <v>272</v>
      </c>
      <c r="H3496" s="87" t="s">
        <v>967</v>
      </c>
      <c r="I3496" s="87">
        <v>50</v>
      </c>
    </row>
    <row r="3497" spans="1:9" ht="15" customHeight="1" x14ac:dyDescent="0.25">
      <c r="A3497" s="87" t="s">
        <v>10</v>
      </c>
      <c r="B3497" s="87" t="s">
        <v>370</v>
      </c>
      <c r="C3497" s="87">
        <v>2014</v>
      </c>
      <c r="D3497" s="87" t="s">
        <v>9</v>
      </c>
      <c r="E3497" s="116">
        <v>29107</v>
      </c>
      <c r="F3497" s="87" t="s">
        <v>967</v>
      </c>
      <c r="G3497" s="87" t="s">
        <v>272</v>
      </c>
      <c r="H3497" s="87" t="s">
        <v>967</v>
      </c>
      <c r="I3497" s="87">
        <v>50</v>
      </c>
    </row>
    <row r="3498" spans="1:9" ht="15" customHeight="1" x14ac:dyDescent="0.25">
      <c r="A3498" s="87" t="s">
        <v>10</v>
      </c>
      <c r="B3498" s="87" t="s">
        <v>370</v>
      </c>
      <c r="C3498" s="87">
        <v>2015</v>
      </c>
      <c r="D3498" s="87" t="s">
        <v>9</v>
      </c>
      <c r="E3498" s="116">
        <v>96205</v>
      </c>
      <c r="F3498" s="87" t="s">
        <v>967</v>
      </c>
      <c r="G3498" s="87" t="s">
        <v>272</v>
      </c>
      <c r="H3498" s="87" t="s">
        <v>805</v>
      </c>
      <c r="I3498" s="87">
        <v>50</v>
      </c>
    </row>
    <row r="3499" spans="1:9" ht="15" customHeight="1" x14ac:dyDescent="0.25">
      <c r="A3499" s="87" t="s">
        <v>10</v>
      </c>
      <c r="B3499" s="87" t="s">
        <v>370</v>
      </c>
      <c r="C3499" s="87">
        <v>2016</v>
      </c>
      <c r="D3499" s="87" t="s">
        <v>9</v>
      </c>
      <c r="E3499" s="116">
        <v>62912</v>
      </c>
      <c r="F3499" s="87" t="s">
        <v>967</v>
      </c>
      <c r="G3499" s="87" t="s">
        <v>272</v>
      </c>
      <c r="H3499" s="87" t="s">
        <v>806</v>
      </c>
      <c r="I3499" s="87">
        <v>50</v>
      </c>
    </row>
    <row r="3500" spans="1:9" ht="15" customHeight="1" x14ac:dyDescent="0.25">
      <c r="A3500" s="87" t="s">
        <v>10</v>
      </c>
      <c r="B3500" s="87" t="s">
        <v>370</v>
      </c>
      <c r="C3500" s="87">
        <v>2017</v>
      </c>
      <c r="D3500" s="87" t="s">
        <v>9</v>
      </c>
      <c r="E3500" s="116">
        <v>43532</v>
      </c>
      <c r="F3500" s="87" t="s">
        <v>967</v>
      </c>
      <c r="G3500" s="87" t="s">
        <v>272</v>
      </c>
      <c r="H3500" s="87" t="s">
        <v>967</v>
      </c>
      <c r="I3500" s="87">
        <v>50</v>
      </c>
    </row>
    <row r="3501" spans="1:9" ht="15" customHeight="1" x14ac:dyDescent="0.25">
      <c r="A3501" s="87" t="s">
        <v>10</v>
      </c>
      <c r="B3501" s="87" t="s">
        <v>370</v>
      </c>
      <c r="C3501" s="87">
        <v>2018</v>
      </c>
      <c r="D3501" s="87" t="s">
        <v>9</v>
      </c>
      <c r="E3501" s="116">
        <v>18340</v>
      </c>
      <c r="F3501" s="87" t="s">
        <v>967</v>
      </c>
      <c r="G3501" s="87" t="s">
        <v>272</v>
      </c>
      <c r="H3501" s="87" t="s">
        <v>967</v>
      </c>
      <c r="I3501" s="87">
        <v>50</v>
      </c>
    </row>
    <row r="3502" spans="1:9" ht="15" customHeight="1" x14ac:dyDescent="0.25">
      <c r="A3502" s="87" t="s">
        <v>10</v>
      </c>
      <c r="B3502" s="87" t="s">
        <v>370</v>
      </c>
      <c r="C3502" s="87">
        <v>2019</v>
      </c>
      <c r="D3502" s="87" t="s">
        <v>9</v>
      </c>
      <c r="E3502" s="116">
        <v>94589</v>
      </c>
      <c r="F3502" s="87" t="s">
        <v>967</v>
      </c>
      <c r="G3502" s="87" t="s">
        <v>272</v>
      </c>
      <c r="H3502" s="87" t="s">
        <v>967</v>
      </c>
      <c r="I3502" s="87">
        <v>50</v>
      </c>
    </row>
    <row r="3503" spans="1:9" ht="15" customHeight="1" x14ac:dyDescent="0.25">
      <c r="A3503" s="87" t="s">
        <v>10</v>
      </c>
      <c r="B3503" s="87" t="s">
        <v>370</v>
      </c>
      <c r="C3503" s="87">
        <v>2020</v>
      </c>
      <c r="D3503" s="87" t="s">
        <v>9</v>
      </c>
      <c r="E3503" s="116">
        <v>91590</v>
      </c>
      <c r="F3503" s="87" t="s">
        <v>967</v>
      </c>
      <c r="G3503" s="87" t="s">
        <v>272</v>
      </c>
      <c r="H3503" s="87" t="s">
        <v>967</v>
      </c>
      <c r="I3503" s="87">
        <v>50</v>
      </c>
    </row>
    <row r="3504" spans="1:9" ht="15" customHeight="1" x14ac:dyDescent="0.25">
      <c r="A3504" s="87" t="s">
        <v>10</v>
      </c>
      <c r="B3504" s="87" t="s">
        <v>370</v>
      </c>
      <c r="C3504" s="87">
        <v>2021</v>
      </c>
      <c r="D3504" s="87" t="s">
        <v>9</v>
      </c>
      <c r="E3504" s="116">
        <v>98286</v>
      </c>
      <c r="F3504" s="87" t="s">
        <v>967</v>
      </c>
      <c r="G3504" s="87" t="s">
        <v>272</v>
      </c>
      <c r="H3504" s="87" t="s">
        <v>967</v>
      </c>
      <c r="I3504" s="87">
        <v>50</v>
      </c>
    </row>
    <row r="3505" spans="1:9" ht="15" customHeight="1" x14ac:dyDescent="0.25">
      <c r="A3505" s="87" t="s">
        <v>10</v>
      </c>
      <c r="B3505" s="87" t="s">
        <v>370</v>
      </c>
      <c r="C3505" s="87">
        <v>2022</v>
      </c>
      <c r="D3505" s="87" t="s">
        <v>9</v>
      </c>
      <c r="E3505" s="116">
        <v>48478</v>
      </c>
      <c r="F3505" s="87" t="s">
        <v>967</v>
      </c>
      <c r="G3505" s="87" t="s">
        <v>272</v>
      </c>
      <c r="H3505" s="87" t="s">
        <v>967</v>
      </c>
      <c r="I3505" s="87">
        <v>50</v>
      </c>
    </row>
    <row r="3506" spans="1:9" ht="15" customHeight="1" x14ac:dyDescent="0.25">
      <c r="A3506" s="87" t="s">
        <v>10</v>
      </c>
      <c r="B3506" s="87" t="s">
        <v>371</v>
      </c>
      <c r="C3506" s="87">
        <v>1975</v>
      </c>
      <c r="D3506" s="87" t="s">
        <v>9</v>
      </c>
      <c r="E3506" s="116">
        <v>4000</v>
      </c>
      <c r="F3506" s="87" t="s">
        <v>768</v>
      </c>
      <c r="G3506" s="87" t="s">
        <v>967</v>
      </c>
      <c r="H3506" s="87" t="s">
        <v>768</v>
      </c>
      <c r="I3506" s="87">
        <v>51</v>
      </c>
    </row>
    <row r="3507" spans="1:9" ht="15" customHeight="1" x14ac:dyDescent="0.25">
      <c r="A3507" s="87" t="s">
        <v>10</v>
      </c>
      <c r="B3507" s="87" t="s">
        <v>371</v>
      </c>
      <c r="C3507" s="87">
        <v>1976</v>
      </c>
      <c r="D3507" s="87" t="s">
        <v>9</v>
      </c>
      <c r="E3507" s="116">
        <v>2000</v>
      </c>
      <c r="F3507" s="87" t="s">
        <v>768</v>
      </c>
      <c r="G3507" s="87" t="s">
        <v>967</v>
      </c>
      <c r="H3507" s="87" t="s">
        <v>768</v>
      </c>
      <c r="I3507" s="87">
        <v>51</v>
      </c>
    </row>
    <row r="3508" spans="1:9" ht="15" customHeight="1" x14ac:dyDescent="0.25">
      <c r="A3508" s="87" t="s">
        <v>10</v>
      </c>
      <c r="B3508" s="87" t="s">
        <v>371</v>
      </c>
      <c r="C3508" s="87">
        <v>1977</v>
      </c>
      <c r="D3508" s="87" t="s">
        <v>9</v>
      </c>
      <c r="E3508" s="116">
        <v>-1</v>
      </c>
      <c r="F3508" s="87" t="s">
        <v>768</v>
      </c>
      <c r="G3508" s="87" t="s">
        <v>967</v>
      </c>
      <c r="H3508" s="87" t="s">
        <v>768</v>
      </c>
      <c r="I3508" s="87">
        <v>51</v>
      </c>
    </row>
    <row r="3509" spans="1:9" ht="15" customHeight="1" x14ac:dyDescent="0.25">
      <c r="A3509" s="87" t="s">
        <v>10</v>
      </c>
      <c r="B3509" s="87" t="s">
        <v>371</v>
      </c>
      <c r="C3509" s="87">
        <v>1978</v>
      </c>
      <c r="D3509" s="87" t="s">
        <v>9</v>
      </c>
      <c r="E3509" s="116">
        <v>-1</v>
      </c>
      <c r="F3509" s="87" t="s">
        <v>768</v>
      </c>
      <c r="G3509" s="87" t="s">
        <v>967</v>
      </c>
      <c r="H3509" s="87" t="s">
        <v>768</v>
      </c>
      <c r="I3509" s="87">
        <v>51</v>
      </c>
    </row>
    <row r="3510" spans="1:9" ht="15" customHeight="1" x14ac:dyDescent="0.25">
      <c r="A3510" s="87" t="s">
        <v>10</v>
      </c>
      <c r="B3510" s="87" t="s">
        <v>371</v>
      </c>
      <c r="C3510" s="87">
        <v>1979</v>
      </c>
      <c r="D3510" s="87" t="s">
        <v>9</v>
      </c>
      <c r="E3510" s="116">
        <v>-1</v>
      </c>
      <c r="F3510" s="87" t="s">
        <v>768</v>
      </c>
      <c r="G3510" s="87" t="s">
        <v>967</v>
      </c>
      <c r="H3510" s="87" t="s">
        <v>768</v>
      </c>
      <c r="I3510" s="87">
        <v>51</v>
      </c>
    </row>
    <row r="3511" spans="1:9" ht="15" customHeight="1" x14ac:dyDescent="0.25">
      <c r="A3511" s="87" t="s">
        <v>10</v>
      </c>
      <c r="B3511" s="87" t="s">
        <v>371</v>
      </c>
      <c r="C3511" s="87">
        <v>1980</v>
      </c>
      <c r="D3511" s="87" t="s">
        <v>9</v>
      </c>
      <c r="E3511" s="116">
        <v>-1</v>
      </c>
      <c r="F3511" s="87" t="s">
        <v>768</v>
      </c>
      <c r="G3511" s="87" t="s">
        <v>967</v>
      </c>
      <c r="H3511" s="87" t="s">
        <v>768</v>
      </c>
      <c r="I3511" s="87">
        <v>51</v>
      </c>
    </row>
    <row r="3512" spans="1:9" ht="15" customHeight="1" x14ac:dyDescent="0.25">
      <c r="A3512" s="87" t="s">
        <v>10</v>
      </c>
      <c r="B3512" s="87" t="s">
        <v>371</v>
      </c>
      <c r="C3512" s="87">
        <v>1981</v>
      </c>
      <c r="D3512" s="87" t="s">
        <v>9</v>
      </c>
      <c r="E3512" s="116">
        <v>-1</v>
      </c>
      <c r="F3512" s="87" t="s">
        <v>768</v>
      </c>
      <c r="G3512" s="87" t="s">
        <v>967</v>
      </c>
      <c r="H3512" s="87" t="s">
        <v>768</v>
      </c>
      <c r="I3512" s="87">
        <v>51</v>
      </c>
    </row>
    <row r="3513" spans="1:9" ht="15" customHeight="1" x14ac:dyDescent="0.25">
      <c r="A3513" s="87" t="s">
        <v>10</v>
      </c>
      <c r="B3513" s="87" t="s">
        <v>371</v>
      </c>
      <c r="C3513" s="87">
        <v>1982</v>
      </c>
      <c r="D3513" s="87" t="s">
        <v>9</v>
      </c>
      <c r="E3513" s="116">
        <v>-1</v>
      </c>
      <c r="F3513" s="87" t="s">
        <v>768</v>
      </c>
      <c r="G3513" s="87" t="s">
        <v>967</v>
      </c>
      <c r="H3513" s="87" t="s">
        <v>768</v>
      </c>
      <c r="I3513" s="87">
        <v>51</v>
      </c>
    </row>
    <row r="3514" spans="1:9" ht="15" customHeight="1" x14ac:dyDescent="0.25">
      <c r="A3514" s="87" t="s">
        <v>10</v>
      </c>
      <c r="B3514" s="87" t="s">
        <v>371</v>
      </c>
      <c r="C3514" s="87">
        <v>1983</v>
      </c>
      <c r="D3514" s="87" t="s">
        <v>9</v>
      </c>
      <c r="E3514" s="116">
        <v>-1</v>
      </c>
      <c r="F3514" s="87" t="s">
        <v>768</v>
      </c>
      <c r="G3514" s="87" t="s">
        <v>967</v>
      </c>
      <c r="H3514" s="87" t="s">
        <v>768</v>
      </c>
      <c r="I3514" s="87">
        <v>51</v>
      </c>
    </row>
    <row r="3515" spans="1:9" ht="15" customHeight="1" x14ac:dyDescent="0.25">
      <c r="A3515" s="87" t="s">
        <v>10</v>
      </c>
      <c r="B3515" s="87" t="s">
        <v>371</v>
      </c>
      <c r="C3515" s="87">
        <v>1984</v>
      </c>
      <c r="D3515" s="87" t="s">
        <v>9</v>
      </c>
      <c r="E3515" s="116">
        <v>-1</v>
      </c>
      <c r="F3515" s="87" t="s">
        <v>768</v>
      </c>
      <c r="G3515" s="87" t="s">
        <v>967</v>
      </c>
      <c r="H3515" s="87" t="s">
        <v>768</v>
      </c>
      <c r="I3515" s="87">
        <v>51</v>
      </c>
    </row>
    <row r="3516" spans="1:9" ht="15" customHeight="1" x14ac:dyDescent="0.25">
      <c r="A3516" s="87" t="s">
        <v>10</v>
      </c>
      <c r="B3516" s="87" t="s">
        <v>371</v>
      </c>
      <c r="C3516" s="87">
        <v>1985</v>
      </c>
      <c r="D3516" s="87" t="s">
        <v>9</v>
      </c>
      <c r="E3516" s="116">
        <v>-1</v>
      </c>
      <c r="F3516" s="87" t="s">
        <v>768</v>
      </c>
      <c r="G3516" s="87" t="s">
        <v>967</v>
      </c>
      <c r="H3516" s="87" t="s">
        <v>768</v>
      </c>
      <c r="I3516" s="87">
        <v>51</v>
      </c>
    </row>
    <row r="3517" spans="1:9" ht="15" customHeight="1" x14ac:dyDescent="0.25">
      <c r="A3517" s="87" t="s">
        <v>10</v>
      </c>
      <c r="B3517" s="87" t="s">
        <v>371</v>
      </c>
      <c r="C3517" s="87">
        <v>1986</v>
      </c>
      <c r="D3517" s="87" t="s">
        <v>9</v>
      </c>
      <c r="E3517" s="116">
        <v>-1</v>
      </c>
      <c r="F3517" s="87" t="s">
        <v>768</v>
      </c>
      <c r="G3517" s="87" t="s">
        <v>967</v>
      </c>
      <c r="H3517" s="87" t="s">
        <v>768</v>
      </c>
      <c r="I3517" s="87">
        <v>51</v>
      </c>
    </row>
    <row r="3518" spans="1:9" ht="15" customHeight="1" x14ac:dyDescent="0.25">
      <c r="A3518" s="87" t="s">
        <v>10</v>
      </c>
      <c r="B3518" s="87" t="s">
        <v>371</v>
      </c>
      <c r="C3518" s="87">
        <v>1987</v>
      </c>
      <c r="D3518" s="87" t="s">
        <v>9</v>
      </c>
      <c r="E3518" s="116">
        <v>-1</v>
      </c>
      <c r="F3518" s="87" t="s">
        <v>768</v>
      </c>
      <c r="G3518" s="87" t="s">
        <v>967</v>
      </c>
      <c r="H3518" s="87" t="s">
        <v>768</v>
      </c>
      <c r="I3518" s="87">
        <v>51</v>
      </c>
    </row>
    <row r="3519" spans="1:9" ht="15" customHeight="1" x14ac:dyDescent="0.25">
      <c r="A3519" s="87" t="s">
        <v>10</v>
      </c>
      <c r="B3519" s="87" t="s">
        <v>371</v>
      </c>
      <c r="C3519" s="87">
        <v>1988</v>
      </c>
      <c r="D3519" s="87" t="s">
        <v>9</v>
      </c>
      <c r="E3519" s="116">
        <v>-1</v>
      </c>
      <c r="F3519" s="87" t="s">
        <v>768</v>
      </c>
      <c r="G3519" s="87" t="s">
        <v>967</v>
      </c>
      <c r="H3519" s="87" t="s">
        <v>768</v>
      </c>
      <c r="I3519" s="87">
        <v>51</v>
      </c>
    </row>
    <row r="3520" spans="1:9" ht="15" customHeight="1" x14ac:dyDescent="0.25">
      <c r="A3520" s="87" t="s">
        <v>10</v>
      </c>
      <c r="B3520" s="87" t="s">
        <v>371</v>
      </c>
      <c r="C3520" s="87">
        <v>1989</v>
      </c>
      <c r="D3520" s="87" t="s">
        <v>9</v>
      </c>
      <c r="E3520" s="116">
        <v>-1</v>
      </c>
      <c r="F3520" s="87" t="s">
        <v>768</v>
      </c>
      <c r="G3520" s="87" t="s">
        <v>967</v>
      </c>
      <c r="H3520" s="87" t="s">
        <v>768</v>
      </c>
      <c r="I3520" s="87">
        <v>51</v>
      </c>
    </row>
    <row r="3521" spans="1:9" ht="15" customHeight="1" x14ac:dyDescent="0.25">
      <c r="A3521" s="87" t="s">
        <v>10</v>
      </c>
      <c r="B3521" s="87" t="s">
        <v>371</v>
      </c>
      <c r="C3521" s="87">
        <v>1990</v>
      </c>
      <c r="D3521" s="87" t="s">
        <v>9</v>
      </c>
      <c r="E3521" s="116">
        <v>-1</v>
      </c>
      <c r="F3521" s="87" t="s">
        <v>768</v>
      </c>
      <c r="G3521" s="87" t="s">
        <v>967</v>
      </c>
      <c r="H3521" s="87" t="s">
        <v>768</v>
      </c>
      <c r="I3521" s="87">
        <v>51</v>
      </c>
    </row>
    <row r="3522" spans="1:9" ht="15" customHeight="1" x14ac:dyDescent="0.25">
      <c r="A3522" s="87" t="s">
        <v>10</v>
      </c>
      <c r="B3522" s="87" t="s">
        <v>371</v>
      </c>
      <c r="C3522" s="87">
        <v>1991</v>
      </c>
      <c r="D3522" s="87" t="s">
        <v>9</v>
      </c>
      <c r="E3522" s="116">
        <v>-1</v>
      </c>
      <c r="F3522" s="87" t="s">
        <v>768</v>
      </c>
      <c r="G3522" s="87" t="s">
        <v>967</v>
      </c>
      <c r="H3522" s="87" t="s">
        <v>768</v>
      </c>
      <c r="I3522" s="87">
        <v>51</v>
      </c>
    </row>
    <row r="3523" spans="1:9" ht="15" customHeight="1" x14ac:dyDescent="0.25">
      <c r="A3523" s="87" t="s">
        <v>10</v>
      </c>
      <c r="B3523" s="87" t="s">
        <v>371</v>
      </c>
      <c r="C3523" s="87">
        <v>1992</v>
      </c>
      <c r="D3523" s="87" t="s">
        <v>9</v>
      </c>
      <c r="E3523" s="116">
        <v>-1</v>
      </c>
      <c r="F3523" s="87" t="s">
        <v>768</v>
      </c>
      <c r="G3523" s="87" t="s">
        <v>967</v>
      </c>
      <c r="H3523" s="87" t="s">
        <v>768</v>
      </c>
      <c r="I3523" s="87">
        <v>51</v>
      </c>
    </row>
    <row r="3524" spans="1:9" ht="15" customHeight="1" x14ac:dyDescent="0.25">
      <c r="A3524" s="87" t="s">
        <v>10</v>
      </c>
      <c r="B3524" s="87" t="s">
        <v>371</v>
      </c>
      <c r="C3524" s="87">
        <v>1993</v>
      </c>
      <c r="D3524" s="87" t="s">
        <v>9</v>
      </c>
      <c r="E3524" s="116">
        <v>-1</v>
      </c>
      <c r="F3524" s="87" t="s">
        <v>768</v>
      </c>
      <c r="G3524" s="87" t="s">
        <v>967</v>
      </c>
      <c r="H3524" s="87" t="s">
        <v>768</v>
      </c>
      <c r="I3524" s="87">
        <v>51</v>
      </c>
    </row>
    <row r="3525" spans="1:9" ht="15" customHeight="1" x14ac:dyDescent="0.25">
      <c r="A3525" s="87" t="s">
        <v>10</v>
      </c>
      <c r="B3525" s="87" t="s">
        <v>371</v>
      </c>
      <c r="C3525" s="87">
        <v>1994</v>
      </c>
      <c r="D3525" s="87" t="s">
        <v>9</v>
      </c>
      <c r="E3525" s="116">
        <v>-1</v>
      </c>
      <c r="F3525" s="87" t="s">
        <v>768</v>
      </c>
      <c r="G3525" s="87" t="s">
        <v>967</v>
      </c>
      <c r="H3525" s="87" t="s">
        <v>768</v>
      </c>
      <c r="I3525" s="87">
        <v>51</v>
      </c>
    </row>
    <row r="3526" spans="1:9" ht="15" customHeight="1" x14ac:dyDescent="0.25">
      <c r="A3526" s="87" t="s">
        <v>10</v>
      </c>
      <c r="B3526" s="87" t="s">
        <v>371</v>
      </c>
      <c r="C3526" s="87">
        <v>1995</v>
      </c>
      <c r="D3526" s="87" t="s">
        <v>9</v>
      </c>
      <c r="E3526" s="116">
        <v>-1</v>
      </c>
      <c r="F3526" s="87" t="s">
        <v>967</v>
      </c>
      <c r="G3526" s="87" t="s">
        <v>967</v>
      </c>
      <c r="H3526" s="87" t="s">
        <v>967</v>
      </c>
      <c r="I3526" s="87">
        <v>51</v>
      </c>
    </row>
    <row r="3527" spans="1:9" ht="15" customHeight="1" x14ac:dyDescent="0.25">
      <c r="A3527" s="87" t="s">
        <v>10</v>
      </c>
      <c r="B3527" s="87" t="s">
        <v>371</v>
      </c>
      <c r="C3527" s="87">
        <v>1996</v>
      </c>
      <c r="D3527" s="87" t="s">
        <v>9</v>
      </c>
      <c r="E3527" s="116">
        <v>-1</v>
      </c>
      <c r="F3527" s="87" t="s">
        <v>967</v>
      </c>
      <c r="G3527" s="87" t="s">
        <v>967</v>
      </c>
      <c r="H3527" s="87" t="s">
        <v>967</v>
      </c>
      <c r="I3527" s="87">
        <v>51</v>
      </c>
    </row>
    <row r="3528" spans="1:9" ht="15" customHeight="1" x14ac:dyDescent="0.25">
      <c r="A3528" s="87" t="s">
        <v>10</v>
      </c>
      <c r="B3528" s="87" t="s">
        <v>371</v>
      </c>
      <c r="C3528" s="87">
        <v>1997</v>
      </c>
      <c r="D3528" s="87" t="s">
        <v>9</v>
      </c>
      <c r="E3528" s="116">
        <v>-1</v>
      </c>
      <c r="F3528" s="87" t="s">
        <v>967</v>
      </c>
      <c r="G3528" s="87" t="s">
        <v>967</v>
      </c>
      <c r="H3528" s="87" t="s">
        <v>967</v>
      </c>
      <c r="I3528" s="87">
        <v>51</v>
      </c>
    </row>
    <row r="3529" spans="1:9" ht="15" customHeight="1" x14ac:dyDescent="0.25">
      <c r="A3529" s="87" t="s">
        <v>10</v>
      </c>
      <c r="B3529" s="87" t="s">
        <v>371</v>
      </c>
      <c r="C3529" s="87">
        <v>1998</v>
      </c>
      <c r="D3529" s="87" t="s">
        <v>9</v>
      </c>
      <c r="E3529" s="116">
        <v>-1</v>
      </c>
      <c r="F3529" s="87" t="s">
        <v>967</v>
      </c>
      <c r="G3529" s="87" t="s">
        <v>967</v>
      </c>
      <c r="H3529" s="87" t="s">
        <v>967</v>
      </c>
      <c r="I3529" s="87">
        <v>51</v>
      </c>
    </row>
    <row r="3530" spans="1:9" ht="15" customHeight="1" x14ac:dyDescent="0.25">
      <c r="A3530" s="87" t="s">
        <v>10</v>
      </c>
      <c r="B3530" s="87" t="s">
        <v>371</v>
      </c>
      <c r="C3530" s="87">
        <v>1999</v>
      </c>
      <c r="D3530" s="87" t="s">
        <v>9</v>
      </c>
      <c r="E3530" s="116">
        <v>1815</v>
      </c>
      <c r="F3530" s="87" t="s">
        <v>967</v>
      </c>
      <c r="G3530" s="87" t="s">
        <v>277</v>
      </c>
      <c r="H3530" s="87" t="s">
        <v>830</v>
      </c>
      <c r="I3530" s="87">
        <v>51</v>
      </c>
    </row>
    <row r="3531" spans="1:9" ht="15" customHeight="1" x14ac:dyDescent="0.25">
      <c r="A3531" s="87" t="s">
        <v>10</v>
      </c>
      <c r="B3531" s="87" t="s">
        <v>371</v>
      </c>
      <c r="C3531" s="87">
        <v>2000</v>
      </c>
      <c r="D3531" s="87" t="s">
        <v>9</v>
      </c>
      <c r="E3531" s="116">
        <v>3205</v>
      </c>
      <c r="F3531" s="87" t="s">
        <v>967</v>
      </c>
      <c r="G3531" s="87" t="s">
        <v>277</v>
      </c>
      <c r="H3531" s="87" t="s">
        <v>831</v>
      </c>
      <c r="I3531" s="87">
        <v>51</v>
      </c>
    </row>
    <row r="3532" spans="1:9" ht="15" customHeight="1" x14ac:dyDescent="0.25">
      <c r="A3532" s="87" t="s">
        <v>10</v>
      </c>
      <c r="B3532" s="87" t="s">
        <v>371</v>
      </c>
      <c r="C3532" s="87">
        <v>2001</v>
      </c>
      <c r="D3532" s="87" t="s">
        <v>9</v>
      </c>
      <c r="E3532" s="116">
        <v>6904</v>
      </c>
      <c r="F3532" s="87" t="s">
        <v>967</v>
      </c>
      <c r="G3532" s="87" t="s">
        <v>277</v>
      </c>
      <c r="H3532" s="87" t="s">
        <v>832</v>
      </c>
      <c r="I3532" s="87">
        <v>51</v>
      </c>
    </row>
    <row r="3533" spans="1:9" ht="15" customHeight="1" x14ac:dyDescent="0.25">
      <c r="A3533" s="87" t="s">
        <v>10</v>
      </c>
      <c r="B3533" s="87" t="s">
        <v>371</v>
      </c>
      <c r="C3533" s="87">
        <v>2002</v>
      </c>
      <c r="D3533" s="87" t="s">
        <v>9</v>
      </c>
      <c r="E3533" s="116">
        <v>18927</v>
      </c>
      <c r="F3533" s="87" t="s">
        <v>967</v>
      </c>
      <c r="G3533" s="87" t="s">
        <v>277</v>
      </c>
      <c r="H3533" s="87" t="s">
        <v>833</v>
      </c>
      <c r="I3533" s="87">
        <v>51</v>
      </c>
    </row>
    <row r="3534" spans="1:9" ht="15" customHeight="1" x14ac:dyDescent="0.25">
      <c r="A3534" s="87" t="s">
        <v>10</v>
      </c>
      <c r="B3534" s="87" t="s">
        <v>371</v>
      </c>
      <c r="C3534" s="87">
        <v>2003</v>
      </c>
      <c r="D3534" s="87" t="s">
        <v>9</v>
      </c>
      <c r="E3534" s="116">
        <v>-1</v>
      </c>
      <c r="F3534" s="87" t="s">
        <v>967</v>
      </c>
      <c r="G3534" s="87" t="s">
        <v>967</v>
      </c>
      <c r="H3534" s="87" t="s">
        <v>834</v>
      </c>
      <c r="I3534" s="87">
        <v>51</v>
      </c>
    </row>
    <row r="3535" spans="1:9" ht="15" customHeight="1" x14ac:dyDescent="0.25">
      <c r="A3535" s="87" t="s">
        <v>10</v>
      </c>
      <c r="B3535" s="87" t="s">
        <v>371</v>
      </c>
      <c r="C3535" s="87">
        <v>2004</v>
      </c>
      <c r="D3535" s="87" t="s">
        <v>9</v>
      </c>
      <c r="E3535" s="116">
        <v>10010</v>
      </c>
      <c r="F3535" s="87" t="s">
        <v>967</v>
      </c>
      <c r="G3535" s="87" t="s">
        <v>277</v>
      </c>
      <c r="H3535" s="87" t="s">
        <v>835</v>
      </c>
      <c r="I3535" s="87">
        <v>51</v>
      </c>
    </row>
    <row r="3536" spans="1:9" ht="15" customHeight="1" x14ac:dyDescent="0.25">
      <c r="A3536" s="87" t="s">
        <v>10</v>
      </c>
      <c r="B3536" s="87" t="s">
        <v>371</v>
      </c>
      <c r="C3536" s="87">
        <v>2005</v>
      </c>
      <c r="D3536" s="87" t="s">
        <v>9</v>
      </c>
      <c r="E3536" s="116">
        <v>-6</v>
      </c>
      <c r="F3536" s="87" t="s">
        <v>967</v>
      </c>
      <c r="G3536" s="87" t="s">
        <v>372</v>
      </c>
      <c r="H3536" s="87" t="s">
        <v>836</v>
      </c>
      <c r="I3536" s="87">
        <v>51</v>
      </c>
    </row>
    <row r="3537" spans="1:9" ht="15" customHeight="1" x14ac:dyDescent="0.25">
      <c r="A3537" s="87" t="s">
        <v>10</v>
      </c>
      <c r="B3537" s="87" t="s">
        <v>371</v>
      </c>
      <c r="C3537" s="87">
        <v>2006</v>
      </c>
      <c r="D3537" s="87" t="s">
        <v>9</v>
      </c>
      <c r="E3537" s="116">
        <v>23646</v>
      </c>
      <c r="F3537" s="87" t="s">
        <v>967</v>
      </c>
      <c r="G3537" s="87" t="s">
        <v>277</v>
      </c>
      <c r="H3537" s="87" t="s">
        <v>837</v>
      </c>
      <c r="I3537" s="87">
        <v>51</v>
      </c>
    </row>
    <row r="3538" spans="1:9" ht="15" customHeight="1" x14ac:dyDescent="0.25">
      <c r="A3538" s="87" t="s">
        <v>10</v>
      </c>
      <c r="B3538" s="87" t="s">
        <v>371</v>
      </c>
      <c r="C3538" s="87">
        <v>2007</v>
      </c>
      <c r="D3538" s="87" t="s">
        <v>9</v>
      </c>
      <c r="E3538" s="116">
        <v>8549</v>
      </c>
      <c r="F3538" s="87" t="s">
        <v>967</v>
      </c>
      <c r="G3538" s="87" t="s">
        <v>277</v>
      </c>
      <c r="H3538" s="87" t="s">
        <v>838</v>
      </c>
      <c r="I3538" s="87">
        <v>51</v>
      </c>
    </row>
    <row r="3539" spans="1:9" ht="15" customHeight="1" x14ac:dyDescent="0.25">
      <c r="A3539" s="87" t="s">
        <v>10</v>
      </c>
      <c r="B3539" s="87" t="s">
        <v>371</v>
      </c>
      <c r="C3539" s="87">
        <v>2008</v>
      </c>
      <c r="D3539" s="87" t="s">
        <v>9</v>
      </c>
      <c r="E3539" s="116">
        <v>16898</v>
      </c>
      <c r="F3539" s="87" t="s">
        <v>967</v>
      </c>
      <c r="G3539" s="87" t="s">
        <v>277</v>
      </c>
      <c r="H3539" s="87" t="s">
        <v>839</v>
      </c>
      <c r="I3539" s="87">
        <v>51</v>
      </c>
    </row>
    <row r="3540" spans="1:9" ht="15" customHeight="1" x14ac:dyDescent="0.25">
      <c r="A3540" s="87" t="s">
        <v>10</v>
      </c>
      <c r="B3540" s="87" t="s">
        <v>371</v>
      </c>
      <c r="C3540" s="87">
        <v>2009</v>
      </c>
      <c r="D3540" s="87" t="s">
        <v>9</v>
      </c>
      <c r="E3540" s="116">
        <v>-6</v>
      </c>
      <c r="F3540" s="87" t="s">
        <v>967</v>
      </c>
      <c r="G3540" s="87" t="s">
        <v>372</v>
      </c>
      <c r="H3540" s="87" t="s">
        <v>840</v>
      </c>
      <c r="I3540" s="87">
        <v>51</v>
      </c>
    </row>
    <row r="3541" spans="1:9" ht="15" customHeight="1" x14ac:dyDescent="0.25">
      <c r="A3541" s="87" t="s">
        <v>10</v>
      </c>
      <c r="B3541" s="87" t="s">
        <v>371</v>
      </c>
      <c r="C3541" s="87">
        <v>2010</v>
      </c>
      <c r="D3541" s="87" t="s">
        <v>9</v>
      </c>
      <c r="E3541" s="116">
        <v>12045</v>
      </c>
      <c r="F3541" s="87" t="s">
        <v>967</v>
      </c>
      <c r="G3541" s="87" t="s">
        <v>277</v>
      </c>
      <c r="H3541" s="87" t="s">
        <v>841</v>
      </c>
      <c r="I3541" s="87">
        <v>51</v>
      </c>
    </row>
    <row r="3542" spans="1:9" ht="15" customHeight="1" x14ac:dyDescent="0.25">
      <c r="A3542" s="87" t="s">
        <v>10</v>
      </c>
      <c r="B3542" s="87" t="s">
        <v>371</v>
      </c>
      <c r="C3542" s="87">
        <v>2011</v>
      </c>
      <c r="D3542" s="87" t="s">
        <v>9</v>
      </c>
      <c r="E3542" s="116">
        <v>13783</v>
      </c>
      <c r="F3542" s="87" t="s">
        <v>967</v>
      </c>
      <c r="G3542" s="87" t="s">
        <v>277</v>
      </c>
      <c r="H3542" s="87" t="s">
        <v>842</v>
      </c>
      <c r="I3542" s="87">
        <v>51</v>
      </c>
    </row>
    <row r="3543" spans="1:9" ht="15" customHeight="1" x14ac:dyDescent="0.25">
      <c r="A3543" s="87" t="s">
        <v>10</v>
      </c>
      <c r="B3543" s="87" t="s">
        <v>371</v>
      </c>
      <c r="C3543" s="87">
        <v>2012</v>
      </c>
      <c r="D3543" s="87" t="s">
        <v>9</v>
      </c>
      <c r="E3543" s="116">
        <v>5174</v>
      </c>
      <c r="F3543" s="87" t="s">
        <v>967</v>
      </c>
      <c r="G3543" s="87" t="s">
        <v>277</v>
      </c>
      <c r="H3543" s="87" t="s">
        <v>843</v>
      </c>
      <c r="I3543" s="87">
        <v>51</v>
      </c>
    </row>
    <row r="3544" spans="1:9" ht="15" customHeight="1" x14ac:dyDescent="0.25">
      <c r="A3544" s="87" t="s">
        <v>10</v>
      </c>
      <c r="B3544" s="87" t="s">
        <v>371</v>
      </c>
      <c r="C3544" s="87">
        <v>2013</v>
      </c>
      <c r="D3544" s="87" t="s">
        <v>9</v>
      </c>
      <c r="E3544" s="116">
        <v>-6</v>
      </c>
      <c r="F3544" s="87" t="s">
        <v>967</v>
      </c>
      <c r="G3544" s="87" t="s">
        <v>372</v>
      </c>
      <c r="H3544" s="87" t="s">
        <v>844</v>
      </c>
      <c r="I3544" s="87">
        <v>51</v>
      </c>
    </row>
    <row r="3545" spans="1:9" ht="15" customHeight="1" x14ac:dyDescent="0.25">
      <c r="A3545" s="87" t="s">
        <v>10</v>
      </c>
      <c r="B3545" s="87" t="s">
        <v>371</v>
      </c>
      <c r="C3545" s="87">
        <v>2014</v>
      </c>
      <c r="D3545" s="87" t="s">
        <v>9</v>
      </c>
      <c r="E3545" s="116">
        <v>4433</v>
      </c>
      <c r="F3545" s="87" t="s">
        <v>967</v>
      </c>
      <c r="G3545" s="87" t="s">
        <v>277</v>
      </c>
      <c r="H3545" s="87" t="s">
        <v>845</v>
      </c>
      <c r="I3545" s="87">
        <v>51</v>
      </c>
    </row>
    <row r="3546" spans="1:9" ht="15" customHeight="1" x14ac:dyDescent="0.25">
      <c r="A3546" s="87" t="s">
        <v>10</v>
      </c>
      <c r="B3546" s="87" t="s">
        <v>371</v>
      </c>
      <c r="C3546" s="87">
        <v>2015</v>
      </c>
      <c r="D3546" s="87" t="s">
        <v>9</v>
      </c>
      <c r="E3546" s="116">
        <v>13671</v>
      </c>
      <c r="F3546" s="87" t="s">
        <v>967</v>
      </c>
      <c r="G3546" s="87" t="s">
        <v>277</v>
      </c>
      <c r="H3546" s="87" t="s">
        <v>846</v>
      </c>
      <c r="I3546" s="87">
        <v>51</v>
      </c>
    </row>
    <row r="3547" spans="1:9" ht="15" customHeight="1" x14ac:dyDescent="0.25">
      <c r="A3547" s="87" t="s">
        <v>10</v>
      </c>
      <c r="B3547" s="87" t="s">
        <v>371</v>
      </c>
      <c r="C3547" s="87">
        <v>2016</v>
      </c>
      <c r="D3547" s="87" t="s">
        <v>9</v>
      </c>
      <c r="E3547" s="116">
        <v>5815</v>
      </c>
      <c r="F3547" s="87" t="s">
        <v>967</v>
      </c>
      <c r="G3547" s="87" t="s">
        <v>277</v>
      </c>
      <c r="H3547" s="87" t="s">
        <v>847</v>
      </c>
      <c r="I3547" s="87">
        <v>51</v>
      </c>
    </row>
    <row r="3548" spans="1:9" ht="15" customHeight="1" x14ac:dyDescent="0.25">
      <c r="A3548" s="87" t="s">
        <v>10</v>
      </c>
      <c r="B3548" s="87" t="s">
        <v>371</v>
      </c>
      <c r="C3548" s="87">
        <v>2017</v>
      </c>
      <c r="D3548" s="87" t="s">
        <v>9</v>
      </c>
      <c r="E3548" s="116">
        <v>-1</v>
      </c>
      <c r="F3548" s="87" t="s">
        <v>967</v>
      </c>
      <c r="G3548" s="87" t="s">
        <v>967</v>
      </c>
      <c r="H3548" s="87" t="s">
        <v>967</v>
      </c>
      <c r="I3548" s="87">
        <v>51</v>
      </c>
    </row>
    <row r="3549" spans="1:9" ht="15" customHeight="1" x14ac:dyDescent="0.25">
      <c r="A3549" s="87" t="s">
        <v>10</v>
      </c>
      <c r="B3549" s="87" t="s">
        <v>371</v>
      </c>
      <c r="C3549" s="87">
        <v>2018</v>
      </c>
      <c r="D3549" s="87" t="s">
        <v>9</v>
      </c>
      <c r="E3549" s="116">
        <v>9682</v>
      </c>
      <c r="F3549" s="87" t="s">
        <v>967</v>
      </c>
      <c r="G3549" s="87" t="s">
        <v>277</v>
      </c>
      <c r="H3549" s="87" t="s">
        <v>937</v>
      </c>
      <c r="I3549" s="87">
        <v>51</v>
      </c>
    </row>
    <row r="3550" spans="1:9" ht="15" customHeight="1" x14ac:dyDescent="0.25">
      <c r="A3550" s="87" t="s">
        <v>10</v>
      </c>
      <c r="B3550" s="87" t="s">
        <v>371</v>
      </c>
      <c r="C3550" s="87">
        <v>2019</v>
      </c>
      <c r="D3550" s="87" t="s">
        <v>9</v>
      </c>
      <c r="E3550" s="116">
        <v>3694</v>
      </c>
      <c r="F3550" s="87" t="s">
        <v>967</v>
      </c>
      <c r="G3550" s="87" t="s">
        <v>277</v>
      </c>
      <c r="H3550" s="87" t="s">
        <v>990</v>
      </c>
      <c r="I3550" s="87">
        <v>51</v>
      </c>
    </row>
    <row r="3551" spans="1:9" ht="15" customHeight="1" x14ac:dyDescent="0.25">
      <c r="A3551" s="87" t="s">
        <v>10</v>
      </c>
      <c r="B3551" s="87" t="s">
        <v>371</v>
      </c>
      <c r="C3551" s="87">
        <v>2020</v>
      </c>
      <c r="D3551" s="87" t="s">
        <v>9</v>
      </c>
      <c r="E3551" s="116">
        <v>-1</v>
      </c>
      <c r="F3551" s="87" t="s">
        <v>967</v>
      </c>
      <c r="G3551" s="87" t="s">
        <v>967</v>
      </c>
      <c r="H3551" s="87" t="s">
        <v>967</v>
      </c>
      <c r="I3551" s="87">
        <v>51</v>
      </c>
    </row>
    <row r="3552" spans="1:9" ht="15" customHeight="1" x14ac:dyDescent="0.25">
      <c r="A3552" s="87" t="s">
        <v>10</v>
      </c>
      <c r="B3552" s="87" t="s">
        <v>371</v>
      </c>
      <c r="C3552" s="87">
        <v>2021</v>
      </c>
      <c r="D3552" s="87" t="s">
        <v>9</v>
      </c>
      <c r="E3552" s="116">
        <v>-1</v>
      </c>
      <c r="F3552" s="87" t="s">
        <v>967</v>
      </c>
      <c r="G3552" s="87" t="s">
        <v>967</v>
      </c>
      <c r="H3552" s="87" t="s">
        <v>967</v>
      </c>
      <c r="I3552" s="87">
        <v>51</v>
      </c>
    </row>
    <row r="3553" spans="1:9" ht="15" customHeight="1" x14ac:dyDescent="0.25">
      <c r="A3553" s="87" t="s">
        <v>10</v>
      </c>
      <c r="B3553" s="87" t="s">
        <v>371</v>
      </c>
      <c r="C3553" s="87">
        <v>2022</v>
      </c>
      <c r="D3553" s="87" t="s">
        <v>9</v>
      </c>
      <c r="E3553" s="116">
        <v>-1</v>
      </c>
      <c r="F3553" s="87" t="s">
        <v>967</v>
      </c>
      <c r="G3553" s="87" t="s">
        <v>967</v>
      </c>
      <c r="H3553" s="87" t="s">
        <v>967</v>
      </c>
      <c r="I3553" s="87">
        <v>51</v>
      </c>
    </row>
    <row r="3554" spans="1:9" ht="15" customHeight="1" x14ac:dyDescent="0.25">
      <c r="A3554" s="87" t="s">
        <v>373</v>
      </c>
      <c r="B3554" s="87" t="s">
        <v>227</v>
      </c>
      <c r="C3554" s="87">
        <v>1975</v>
      </c>
      <c r="D3554" s="87" t="s">
        <v>15</v>
      </c>
      <c r="E3554" s="116">
        <v>300</v>
      </c>
      <c r="F3554" s="87" t="s">
        <v>508</v>
      </c>
      <c r="G3554" s="87" t="s">
        <v>967</v>
      </c>
      <c r="H3554" s="87" t="s">
        <v>508</v>
      </c>
      <c r="I3554" s="87">
        <v>46</v>
      </c>
    </row>
    <row r="3555" spans="1:9" ht="15" customHeight="1" x14ac:dyDescent="0.25">
      <c r="A3555" s="87" t="s">
        <v>373</v>
      </c>
      <c r="B3555" s="87" t="s">
        <v>227</v>
      </c>
      <c r="C3555" s="87">
        <v>1976</v>
      </c>
      <c r="D3555" s="87" t="s">
        <v>15</v>
      </c>
      <c r="E3555" s="116">
        <v>250</v>
      </c>
      <c r="F3555" s="87" t="s">
        <v>508</v>
      </c>
      <c r="G3555" s="87" t="s">
        <v>967</v>
      </c>
      <c r="H3555" s="87" t="s">
        <v>508</v>
      </c>
      <c r="I3555" s="87">
        <v>46</v>
      </c>
    </row>
    <row r="3556" spans="1:9" ht="15" customHeight="1" x14ac:dyDescent="0.25">
      <c r="A3556" s="87" t="s">
        <v>373</v>
      </c>
      <c r="B3556" s="87" t="s">
        <v>227</v>
      </c>
      <c r="C3556" s="87">
        <v>1977</v>
      </c>
      <c r="D3556" s="87" t="s">
        <v>15</v>
      </c>
      <c r="E3556" s="116">
        <v>756</v>
      </c>
      <c r="F3556" s="87" t="s">
        <v>508</v>
      </c>
      <c r="G3556" s="87" t="s">
        <v>967</v>
      </c>
      <c r="H3556" s="87" t="s">
        <v>508</v>
      </c>
      <c r="I3556" s="87">
        <v>46</v>
      </c>
    </row>
    <row r="3557" spans="1:9" ht="15" customHeight="1" x14ac:dyDescent="0.25">
      <c r="A3557" s="87" t="s">
        <v>373</v>
      </c>
      <c r="B3557" s="87" t="s">
        <v>227</v>
      </c>
      <c r="C3557" s="87">
        <v>1978</v>
      </c>
      <c r="D3557" s="87" t="s">
        <v>15</v>
      </c>
      <c r="E3557" s="116">
        <v>400</v>
      </c>
      <c r="F3557" s="87" t="s">
        <v>508</v>
      </c>
      <c r="G3557" s="87" t="s">
        <v>967</v>
      </c>
      <c r="H3557" s="87" t="s">
        <v>508</v>
      </c>
      <c r="I3557" s="87">
        <v>46</v>
      </c>
    </row>
    <row r="3558" spans="1:9" ht="15" customHeight="1" x14ac:dyDescent="0.25">
      <c r="A3558" s="87" t="s">
        <v>373</v>
      </c>
      <c r="B3558" s="87" t="s">
        <v>227</v>
      </c>
      <c r="C3558" s="87">
        <v>1979</v>
      </c>
      <c r="D3558" s="87" t="s">
        <v>15</v>
      </c>
      <c r="E3558" s="116">
        <v>300</v>
      </c>
      <c r="F3558" s="87" t="s">
        <v>508</v>
      </c>
      <c r="G3558" s="87" t="s">
        <v>967</v>
      </c>
      <c r="H3558" s="87" t="s">
        <v>508</v>
      </c>
      <c r="I3558" s="87">
        <v>46</v>
      </c>
    </row>
    <row r="3559" spans="1:9" ht="15" customHeight="1" x14ac:dyDescent="0.25">
      <c r="A3559" s="87" t="s">
        <v>373</v>
      </c>
      <c r="B3559" s="87" t="s">
        <v>227</v>
      </c>
      <c r="C3559" s="87">
        <v>1980</v>
      </c>
      <c r="D3559" s="87" t="s">
        <v>15</v>
      </c>
      <c r="E3559" s="116">
        <v>250</v>
      </c>
      <c r="F3559" s="87" t="s">
        <v>508</v>
      </c>
      <c r="G3559" s="87" t="s">
        <v>967</v>
      </c>
      <c r="H3559" s="87" t="s">
        <v>508</v>
      </c>
      <c r="I3559" s="87">
        <v>46</v>
      </c>
    </row>
    <row r="3560" spans="1:9" ht="15" customHeight="1" x14ac:dyDescent="0.25">
      <c r="A3560" s="87" t="s">
        <v>373</v>
      </c>
      <c r="B3560" s="87" t="s">
        <v>227</v>
      </c>
      <c r="C3560" s="87">
        <v>1981</v>
      </c>
      <c r="D3560" s="87" t="s">
        <v>15</v>
      </c>
      <c r="E3560" s="116">
        <v>250</v>
      </c>
      <c r="F3560" s="87" t="s">
        <v>508</v>
      </c>
      <c r="G3560" s="87" t="s">
        <v>967</v>
      </c>
      <c r="H3560" s="87" t="s">
        <v>508</v>
      </c>
      <c r="I3560" s="87">
        <v>46</v>
      </c>
    </row>
    <row r="3561" spans="1:9" ht="15" customHeight="1" x14ac:dyDescent="0.25">
      <c r="A3561" s="87" t="s">
        <v>373</v>
      </c>
      <c r="B3561" s="87" t="s">
        <v>227</v>
      </c>
      <c r="C3561" s="87">
        <v>1982</v>
      </c>
      <c r="D3561" s="87" t="s">
        <v>15</v>
      </c>
      <c r="E3561" s="116">
        <v>400</v>
      </c>
      <c r="F3561" s="87" t="s">
        <v>508</v>
      </c>
      <c r="G3561" s="87" t="s">
        <v>967</v>
      </c>
      <c r="H3561" s="87" t="s">
        <v>508</v>
      </c>
      <c r="I3561" s="87">
        <v>46</v>
      </c>
    </row>
    <row r="3562" spans="1:9" ht="15" customHeight="1" x14ac:dyDescent="0.25">
      <c r="A3562" s="87" t="s">
        <v>373</v>
      </c>
      <c r="B3562" s="87" t="s">
        <v>227</v>
      </c>
      <c r="C3562" s="87">
        <v>1983</v>
      </c>
      <c r="D3562" s="87" t="s">
        <v>15</v>
      </c>
      <c r="E3562" s="116">
        <v>250</v>
      </c>
      <c r="F3562" s="87" t="s">
        <v>508</v>
      </c>
      <c r="G3562" s="87" t="s">
        <v>967</v>
      </c>
      <c r="H3562" s="87" t="s">
        <v>508</v>
      </c>
      <c r="I3562" s="87">
        <v>46</v>
      </c>
    </row>
    <row r="3563" spans="1:9" ht="15" customHeight="1" x14ac:dyDescent="0.25">
      <c r="A3563" s="87" t="s">
        <v>373</v>
      </c>
      <c r="B3563" s="87" t="s">
        <v>227</v>
      </c>
      <c r="C3563" s="87">
        <v>1984</v>
      </c>
      <c r="D3563" s="87" t="s">
        <v>15</v>
      </c>
      <c r="E3563" s="116">
        <v>775</v>
      </c>
      <c r="F3563" s="87" t="s">
        <v>508</v>
      </c>
      <c r="G3563" s="87" t="s">
        <v>967</v>
      </c>
      <c r="H3563" s="87" t="s">
        <v>508</v>
      </c>
      <c r="I3563" s="87">
        <v>46</v>
      </c>
    </row>
    <row r="3564" spans="1:9" ht="15" customHeight="1" x14ac:dyDescent="0.25">
      <c r="A3564" s="87" t="s">
        <v>373</v>
      </c>
      <c r="B3564" s="87" t="s">
        <v>227</v>
      </c>
      <c r="C3564" s="87">
        <v>1985</v>
      </c>
      <c r="D3564" s="87" t="s">
        <v>15</v>
      </c>
      <c r="E3564" s="116">
        <v>1250</v>
      </c>
      <c r="F3564" s="87" t="s">
        <v>508</v>
      </c>
      <c r="G3564" s="87" t="s">
        <v>967</v>
      </c>
      <c r="H3564" s="87" t="s">
        <v>508</v>
      </c>
      <c r="I3564" s="87">
        <v>46</v>
      </c>
    </row>
    <row r="3565" spans="1:9" ht="15" customHeight="1" x14ac:dyDescent="0.25">
      <c r="A3565" s="87" t="s">
        <v>373</v>
      </c>
      <c r="B3565" s="87" t="s">
        <v>227</v>
      </c>
      <c r="C3565" s="87">
        <v>1986</v>
      </c>
      <c r="D3565" s="87" t="s">
        <v>15</v>
      </c>
      <c r="E3565" s="116">
        <v>1000</v>
      </c>
      <c r="F3565" s="87" t="s">
        <v>508</v>
      </c>
      <c r="G3565" s="87" t="s">
        <v>967</v>
      </c>
      <c r="H3565" s="87" t="s">
        <v>508</v>
      </c>
      <c r="I3565" s="87">
        <v>46</v>
      </c>
    </row>
    <row r="3566" spans="1:9" ht="15" customHeight="1" x14ac:dyDescent="0.25">
      <c r="A3566" s="87" t="s">
        <v>373</v>
      </c>
      <c r="B3566" s="87" t="s">
        <v>227</v>
      </c>
      <c r="C3566" s="87">
        <v>1987</v>
      </c>
      <c r="D3566" s="87" t="s">
        <v>15</v>
      </c>
      <c r="E3566" s="116">
        <v>840</v>
      </c>
      <c r="F3566" s="87" t="s">
        <v>508</v>
      </c>
      <c r="G3566" s="87" t="s">
        <v>967</v>
      </c>
      <c r="H3566" s="87" t="s">
        <v>508</v>
      </c>
      <c r="I3566" s="87">
        <v>46</v>
      </c>
    </row>
    <row r="3567" spans="1:9" ht="15" customHeight="1" x14ac:dyDescent="0.25">
      <c r="A3567" s="87" t="s">
        <v>373</v>
      </c>
      <c r="B3567" s="87" t="s">
        <v>227</v>
      </c>
      <c r="C3567" s="87">
        <v>1988</v>
      </c>
      <c r="D3567" s="87" t="s">
        <v>15</v>
      </c>
      <c r="E3567" s="116">
        <v>1000</v>
      </c>
      <c r="F3567" s="87" t="s">
        <v>508</v>
      </c>
      <c r="G3567" s="87" t="s">
        <v>967</v>
      </c>
      <c r="H3567" s="87" t="s">
        <v>508</v>
      </c>
      <c r="I3567" s="87">
        <v>46</v>
      </c>
    </row>
    <row r="3568" spans="1:9" ht="15" customHeight="1" x14ac:dyDescent="0.25">
      <c r="A3568" s="87" t="s">
        <v>373</v>
      </c>
      <c r="B3568" s="87" t="s">
        <v>227</v>
      </c>
      <c r="C3568" s="87">
        <v>1989</v>
      </c>
      <c r="D3568" s="87" t="s">
        <v>15</v>
      </c>
      <c r="E3568" s="116">
        <v>821</v>
      </c>
      <c r="F3568" s="87" t="s">
        <v>508</v>
      </c>
      <c r="G3568" s="87" t="s">
        <v>967</v>
      </c>
      <c r="H3568" s="87" t="s">
        <v>508</v>
      </c>
      <c r="I3568" s="87">
        <v>46</v>
      </c>
    </row>
    <row r="3569" spans="1:9" ht="15" customHeight="1" x14ac:dyDescent="0.25">
      <c r="A3569" s="87" t="s">
        <v>373</v>
      </c>
      <c r="B3569" s="87" t="s">
        <v>227</v>
      </c>
      <c r="C3569" s="87">
        <v>1990</v>
      </c>
      <c r="D3569" s="87" t="s">
        <v>15</v>
      </c>
      <c r="E3569" s="116">
        <v>1200</v>
      </c>
      <c r="F3569" s="87" t="s">
        <v>508</v>
      </c>
      <c r="G3569" s="87" t="s">
        <v>967</v>
      </c>
      <c r="H3569" s="87" t="s">
        <v>508</v>
      </c>
      <c r="I3569" s="87">
        <v>46</v>
      </c>
    </row>
    <row r="3570" spans="1:9" ht="15" customHeight="1" x14ac:dyDescent="0.25">
      <c r="A3570" s="87" t="s">
        <v>373</v>
      </c>
      <c r="B3570" s="87" t="s">
        <v>227</v>
      </c>
      <c r="C3570" s="87">
        <v>1991</v>
      </c>
      <c r="D3570" s="87" t="s">
        <v>15</v>
      </c>
      <c r="E3570" s="116">
        <v>835</v>
      </c>
      <c r="F3570" s="87" t="s">
        <v>508</v>
      </c>
      <c r="G3570" s="87" t="s">
        <v>967</v>
      </c>
      <c r="H3570" s="87" t="s">
        <v>508</v>
      </c>
      <c r="I3570" s="87">
        <v>46</v>
      </c>
    </row>
    <row r="3571" spans="1:9" ht="15" customHeight="1" x14ac:dyDescent="0.25">
      <c r="A3571" s="87" t="s">
        <v>373</v>
      </c>
      <c r="B3571" s="87" t="s">
        <v>227</v>
      </c>
      <c r="C3571" s="87">
        <v>1992</v>
      </c>
      <c r="D3571" s="87" t="s">
        <v>15</v>
      </c>
      <c r="E3571" s="116">
        <v>1271</v>
      </c>
      <c r="F3571" s="87" t="s">
        <v>508</v>
      </c>
      <c r="G3571" s="87" t="s">
        <v>967</v>
      </c>
      <c r="H3571" s="87" t="s">
        <v>508</v>
      </c>
      <c r="I3571" s="87">
        <v>46</v>
      </c>
    </row>
    <row r="3572" spans="1:9" ht="15" customHeight="1" x14ac:dyDescent="0.25">
      <c r="A3572" s="87" t="s">
        <v>373</v>
      </c>
      <c r="B3572" s="87" t="s">
        <v>227</v>
      </c>
      <c r="C3572" s="87">
        <v>1993</v>
      </c>
      <c r="D3572" s="87" t="s">
        <v>15</v>
      </c>
      <c r="E3572" s="116">
        <v>1100</v>
      </c>
      <c r="F3572" s="87" t="s">
        <v>508</v>
      </c>
      <c r="G3572" s="87" t="s">
        <v>967</v>
      </c>
      <c r="H3572" s="87" t="s">
        <v>508</v>
      </c>
      <c r="I3572" s="87">
        <v>46</v>
      </c>
    </row>
    <row r="3573" spans="1:9" ht="15" customHeight="1" x14ac:dyDescent="0.25">
      <c r="A3573" s="87" t="s">
        <v>373</v>
      </c>
      <c r="B3573" s="87" t="s">
        <v>227</v>
      </c>
      <c r="C3573" s="87">
        <v>1994</v>
      </c>
      <c r="D3573" s="87" t="s">
        <v>15</v>
      </c>
      <c r="E3573" s="116">
        <v>1200</v>
      </c>
      <c r="F3573" s="87" t="s">
        <v>508</v>
      </c>
      <c r="G3573" s="87" t="s">
        <v>967</v>
      </c>
      <c r="H3573" s="87" t="s">
        <v>508</v>
      </c>
      <c r="I3573" s="87">
        <v>46</v>
      </c>
    </row>
    <row r="3574" spans="1:9" ht="15" customHeight="1" x14ac:dyDescent="0.25">
      <c r="A3574" s="87" t="s">
        <v>373</v>
      </c>
      <c r="B3574" s="87" t="s">
        <v>227</v>
      </c>
      <c r="C3574" s="87">
        <v>1995</v>
      </c>
      <c r="D3574" s="87" t="s">
        <v>15</v>
      </c>
      <c r="E3574" s="116">
        <v>700</v>
      </c>
      <c r="F3574" s="87" t="s">
        <v>508</v>
      </c>
      <c r="G3574" s="87" t="s">
        <v>967</v>
      </c>
      <c r="H3574" s="87" t="s">
        <v>508</v>
      </c>
      <c r="I3574" s="87">
        <v>46</v>
      </c>
    </row>
    <row r="3575" spans="1:9" ht="15" customHeight="1" x14ac:dyDescent="0.25">
      <c r="A3575" s="87" t="s">
        <v>373</v>
      </c>
      <c r="B3575" s="87" t="s">
        <v>227</v>
      </c>
      <c r="C3575" s="87">
        <v>1996</v>
      </c>
      <c r="D3575" s="87" t="s">
        <v>15</v>
      </c>
      <c r="E3575" s="116">
        <v>780</v>
      </c>
      <c r="F3575" s="87" t="s">
        <v>508</v>
      </c>
      <c r="G3575" s="87" t="s">
        <v>967</v>
      </c>
      <c r="H3575" s="87" t="s">
        <v>508</v>
      </c>
      <c r="I3575" s="87">
        <v>46</v>
      </c>
    </row>
    <row r="3576" spans="1:9" ht="15" customHeight="1" x14ac:dyDescent="0.25">
      <c r="A3576" s="87" t="s">
        <v>373</v>
      </c>
      <c r="B3576" s="87" t="s">
        <v>227</v>
      </c>
      <c r="C3576" s="87">
        <v>1997</v>
      </c>
      <c r="D3576" s="87" t="s">
        <v>15</v>
      </c>
      <c r="E3576" s="116">
        <v>915</v>
      </c>
      <c r="F3576" s="87" t="s">
        <v>508</v>
      </c>
      <c r="G3576" s="87" t="s">
        <v>967</v>
      </c>
      <c r="H3576" s="87" t="s">
        <v>508</v>
      </c>
      <c r="I3576" s="87">
        <v>46</v>
      </c>
    </row>
    <row r="3577" spans="1:9" ht="15" customHeight="1" x14ac:dyDescent="0.25">
      <c r="A3577" s="87" t="s">
        <v>373</v>
      </c>
      <c r="B3577" s="87" t="s">
        <v>227</v>
      </c>
      <c r="C3577" s="87">
        <v>1998</v>
      </c>
      <c r="D3577" s="87" t="s">
        <v>15</v>
      </c>
      <c r="E3577" s="116">
        <v>-1</v>
      </c>
      <c r="F3577" s="87" t="s">
        <v>967</v>
      </c>
      <c r="G3577" s="87" t="s">
        <v>967</v>
      </c>
      <c r="H3577" s="87" t="s">
        <v>967</v>
      </c>
      <c r="I3577" s="87">
        <v>46</v>
      </c>
    </row>
    <row r="3578" spans="1:9" ht="15" customHeight="1" x14ac:dyDescent="0.25">
      <c r="A3578" s="87" t="s">
        <v>373</v>
      </c>
      <c r="B3578" s="87" t="s">
        <v>227</v>
      </c>
      <c r="C3578" s="87">
        <v>1999</v>
      </c>
      <c r="D3578" s="87" t="s">
        <v>15</v>
      </c>
      <c r="E3578" s="116">
        <v>624</v>
      </c>
      <c r="F3578" s="87" t="s">
        <v>967</v>
      </c>
      <c r="G3578" s="87" t="s">
        <v>272</v>
      </c>
      <c r="H3578" s="87" t="s">
        <v>632</v>
      </c>
      <c r="I3578" s="87">
        <v>46</v>
      </c>
    </row>
    <row r="3579" spans="1:9" ht="15" customHeight="1" x14ac:dyDescent="0.25">
      <c r="A3579" s="87" t="s">
        <v>373</v>
      </c>
      <c r="B3579" s="87" t="s">
        <v>227</v>
      </c>
      <c r="C3579" s="87">
        <v>2000</v>
      </c>
      <c r="D3579" s="87" t="s">
        <v>15</v>
      </c>
      <c r="E3579" s="116">
        <v>1085</v>
      </c>
      <c r="F3579" s="87" t="s">
        <v>967</v>
      </c>
      <c r="G3579" s="87" t="s">
        <v>272</v>
      </c>
      <c r="H3579" s="87" t="s">
        <v>967</v>
      </c>
      <c r="I3579" s="87">
        <v>46</v>
      </c>
    </row>
    <row r="3580" spans="1:9" ht="15" customHeight="1" x14ac:dyDescent="0.25">
      <c r="A3580" s="87" t="s">
        <v>373</v>
      </c>
      <c r="B3580" s="87" t="s">
        <v>227</v>
      </c>
      <c r="C3580" s="87">
        <v>2001</v>
      </c>
      <c r="D3580" s="87" t="s">
        <v>15</v>
      </c>
      <c r="E3580" s="116">
        <v>1397</v>
      </c>
      <c r="F3580" s="87" t="s">
        <v>967</v>
      </c>
      <c r="G3580" s="87" t="s">
        <v>272</v>
      </c>
      <c r="H3580" s="87" t="s">
        <v>967</v>
      </c>
      <c r="I3580" s="87">
        <v>46</v>
      </c>
    </row>
    <row r="3581" spans="1:9" ht="15" customHeight="1" x14ac:dyDescent="0.25">
      <c r="A3581" s="87" t="s">
        <v>373</v>
      </c>
      <c r="B3581" s="87" t="s">
        <v>227</v>
      </c>
      <c r="C3581" s="87">
        <v>2002</v>
      </c>
      <c r="D3581" s="87" t="s">
        <v>15</v>
      </c>
      <c r="E3581" s="116">
        <v>1458</v>
      </c>
      <c r="F3581" s="87" t="s">
        <v>967</v>
      </c>
      <c r="G3581" s="87" t="s">
        <v>272</v>
      </c>
      <c r="H3581" s="87" t="s">
        <v>967</v>
      </c>
      <c r="I3581" s="87">
        <v>46</v>
      </c>
    </row>
    <row r="3582" spans="1:9" ht="15" customHeight="1" x14ac:dyDescent="0.25">
      <c r="A3582" s="87" t="s">
        <v>373</v>
      </c>
      <c r="B3582" s="87" t="s">
        <v>227</v>
      </c>
      <c r="C3582" s="87">
        <v>2003</v>
      </c>
      <c r="D3582" s="87" t="s">
        <v>15</v>
      </c>
      <c r="E3582" s="116">
        <v>1583</v>
      </c>
      <c r="F3582" s="87" t="s">
        <v>967</v>
      </c>
      <c r="G3582" s="87" t="s">
        <v>272</v>
      </c>
      <c r="H3582" s="87" t="s">
        <v>967</v>
      </c>
      <c r="I3582" s="87">
        <v>46</v>
      </c>
    </row>
    <row r="3583" spans="1:9" ht="15" customHeight="1" x14ac:dyDescent="0.25">
      <c r="A3583" s="87" t="s">
        <v>373</v>
      </c>
      <c r="B3583" s="87" t="s">
        <v>227</v>
      </c>
      <c r="C3583" s="87">
        <v>2004</v>
      </c>
      <c r="D3583" s="87" t="s">
        <v>15</v>
      </c>
      <c r="E3583" s="116">
        <v>867</v>
      </c>
      <c r="F3583" s="87" t="s">
        <v>967</v>
      </c>
      <c r="G3583" s="87" t="s">
        <v>272</v>
      </c>
      <c r="H3583" s="87" t="s">
        <v>967</v>
      </c>
      <c r="I3583" s="87">
        <v>46</v>
      </c>
    </row>
    <row r="3584" spans="1:9" ht="15" customHeight="1" x14ac:dyDescent="0.25">
      <c r="A3584" s="87" t="s">
        <v>373</v>
      </c>
      <c r="B3584" s="87" t="s">
        <v>227</v>
      </c>
      <c r="C3584" s="87">
        <v>2005</v>
      </c>
      <c r="D3584" s="87" t="s">
        <v>15</v>
      </c>
      <c r="E3584" s="116">
        <v>427</v>
      </c>
      <c r="F3584" s="87" t="s">
        <v>967</v>
      </c>
      <c r="G3584" s="87" t="s">
        <v>272</v>
      </c>
      <c r="H3584" s="87" t="s">
        <v>967</v>
      </c>
      <c r="I3584" s="87">
        <v>46</v>
      </c>
    </row>
    <row r="3585" spans="1:9" ht="15" customHeight="1" x14ac:dyDescent="0.25">
      <c r="A3585" s="87" t="s">
        <v>373</v>
      </c>
      <c r="B3585" s="87" t="s">
        <v>227</v>
      </c>
      <c r="C3585" s="87">
        <v>2006</v>
      </c>
      <c r="D3585" s="87" t="s">
        <v>15</v>
      </c>
      <c r="E3585" s="116">
        <v>521</v>
      </c>
      <c r="F3585" s="87" t="s">
        <v>967</v>
      </c>
      <c r="G3585" s="87" t="s">
        <v>272</v>
      </c>
      <c r="H3585" s="87" t="s">
        <v>967</v>
      </c>
      <c r="I3585" s="87">
        <v>46</v>
      </c>
    </row>
    <row r="3586" spans="1:9" ht="15" customHeight="1" x14ac:dyDescent="0.25">
      <c r="A3586" s="87" t="s">
        <v>373</v>
      </c>
      <c r="B3586" s="87" t="s">
        <v>227</v>
      </c>
      <c r="C3586" s="87">
        <v>2007</v>
      </c>
      <c r="D3586" s="87" t="s">
        <v>15</v>
      </c>
      <c r="E3586" s="116">
        <v>334</v>
      </c>
      <c r="F3586" s="87" t="s">
        <v>967</v>
      </c>
      <c r="G3586" s="87" t="s">
        <v>272</v>
      </c>
      <c r="H3586" s="87" t="s">
        <v>967</v>
      </c>
      <c r="I3586" s="87">
        <v>46</v>
      </c>
    </row>
    <row r="3587" spans="1:9" ht="15" customHeight="1" x14ac:dyDescent="0.25">
      <c r="A3587" s="87" t="s">
        <v>373</v>
      </c>
      <c r="B3587" s="87" t="s">
        <v>227</v>
      </c>
      <c r="C3587" s="87">
        <v>2008</v>
      </c>
      <c r="D3587" s="87" t="s">
        <v>15</v>
      </c>
      <c r="E3587" s="116">
        <v>655</v>
      </c>
      <c r="F3587" s="87" t="s">
        <v>967</v>
      </c>
      <c r="G3587" s="87" t="s">
        <v>272</v>
      </c>
      <c r="H3587" s="87" t="s">
        <v>967</v>
      </c>
      <c r="I3587" s="87">
        <v>46</v>
      </c>
    </row>
    <row r="3588" spans="1:9" ht="15" customHeight="1" x14ac:dyDescent="0.25">
      <c r="A3588" s="87" t="s">
        <v>373</v>
      </c>
      <c r="B3588" s="87" t="s">
        <v>227</v>
      </c>
      <c r="C3588" s="87">
        <v>2009</v>
      </c>
      <c r="D3588" s="87" t="s">
        <v>15</v>
      </c>
      <c r="E3588" s="116">
        <v>574</v>
      </c>
      <c r="F3588" s="87" t="s">
        <v>967</v>
      </c>
      <c r="G3588" s="87" t="s">
        <v>272</v>
      </c>
      <c r="H3588" s="87" t="s">
        <v>967</v>
      </c>
      <c r="I3588" s="87">
        <v>46</v>
      </c>
    </row>
    <row r="3589" spans="1:9" ht="15" customHeight="1" x14ac:dyDescent="0.25">
      <c r="A3589" s="87" t="s">
        <v>373</v>
      </c>
      <c r="B3589" s="87" t="s">
        <v>227</v>
      </c>
      <c r="C3589" s="87">
        <v>2010</v>
      </c>
      <c r="D3589" s="87" t="s">
        <v>15</v>
      </c>
      <c r="E3589" s="116">
        <v>1711</v>
      </c>
      <c r="F3589" s="87" t="s">
        <v>967</v>
      </c>
      <c r="G3589" s="87" t="s">
        <v>272</v>
      </c>
      <c r="H3589" s="87" t="s">
        <v>967</v>
      </c>
      <c r="I3589" s="87">
        <v>46</v>
      </c>
    </row>
    <row r="3590" spans="1:9" ht="15" customHeight="1" x14ac:dyDescent="0.25">
      <c r="A3590" s="87" t="s">
        <v>373</v>
      </c>
      <c r="B3590" s="87" t="s">
        <v>227</v>
      </c>
      <c r="C3590" s="87">
        <v>2011</v>
      </c>
      <c r="D3590" s="87" t="s">
        <v>15</v>
      </c>
      <c r="E3590" s="116">
        <v>426</v>
      </c>
      <c r="F3590" s="87" t="s">
        <v>967</v>
      </c>
      <c r="G3590" s="87" t="s">
        <v>272</v>
      </c>
      <c r="H3590" s="87" t="s">
        <v>967</v>
      </c>
      <c r="I3590" s="87">
        <v>46</v>
      </c>
    </row>
    <row r="3591" spans="1:9" ht="15" customHeight="1" x14ac:dyDescent="0.25">
      <c r="A3591" s="87" t="s">
        <v>373</v>
      </c>
      <c r="B3591" s="87" t="s">
        <v>227</v>
      </c>
      <c r="C3591" s="87">
        <v>2012</v>
      </c>
      <c r="D3591" s="87" t="s">
        <v>15</v>
      </c>
      <c r="E3591" s="116">
        <v>426</v>
      </c>
      <c r="F3591" s="87" t="s">
        <v>967</v>
      </c>
      <c r="G3591" s="87" t="s">
        <v>272</v>
      </c>
      <c r="H3591" s="87" t="s">
        <v>967</v>
      </c>
      <c r="I3591" s="87">
        <v>46</v>
      </c>
    </row>
    <row r="3592" spans="1:9" ht="15" customHeight="1" x14ac:dyDescent="0.25">
      <c r="A3592" s="87" t="s">
        <v>373</v>
      </c>
      <c r="B3592" s="87" t="s">
        <v>227</v>
      </c>
      <c r="C3592" s="87">
        <v>2013</v>
      </c>
      <c r="D3592" s="87" t="s">
        <v>15</v>
      </c>
      <c r="E3592" s="116">
        <v>885</v>
      </c>
      <c r="F3592" s="87" t="s">
        <v>967</v>
      </c>
      <c r="G3592" s="87" t="s">
        <v>272</v>
      </c>
      <c r="H3592" s="87" t="s">
        <v>967</v>
      </c>
      <c r="I3592" s="87">
        <v>46</v>
      </c>
    </row>
    <row r="3593" spans="1:9" ht="15" customHeight="1" x14ac:dyDescent="0.25">
      <c r="A3593" s="87" t="s">
        <v>373</v>
      </c>
      <c r="B3593" s="87" t="s">
        <v>227</v>
      </c>
      <c r="C3593" s="87">
        <v>2014</v>
      </c>
      <c r="D3593" s="87" t="s">
        <v>15</v>
      </c>
      <c r="E3593" s="116">
        <v>828</v>
      </c>
      <c r="F3593" s="87" t="s">
        <v>967</v>
      </c>
      <c r="G3593" s="87" t="s">
        <v>272</v>
      </c>
      <c r="H3593" s="87" t="s">
        <v>967</v>
      </c>
      <c r="I3593" s="87">
        <v>46</v>
      </c>
    </row>
    <row r="3594" spans="1:9" ht="15" customHeight="1" x14ac:dyDescent="0.25">
      <c r="A3594" s="87" t="s">
        <v>373</v>
      </c>
      <c r="B3594" s="87" t="s">
        <v>227</v>
      </c>
      <c r="C3594" s="87">
        <v>2015</v>
      </c>
      <c r="D3594" s="87" t="s">
        <v>15</v>
      </c>
      <c r="E3594" s="116">
        <v>857</v>
      </c>
      <c r="F3594" s="87" t="s">
        <v>967</v>
      </c>
      <c r="G3594" s="87" t="s">
        <v>272</v>
      </c>
      <c r="H3594" s="87" t="s">
        <v>967</v>
      </c>
      <c r="I3594" s="87">
        <v>46</v>
      </c>
    </row>
    <row r="3595" spans="1:9" ht="15" customHeight="1" x14ac:dyDescent="0.25">
      <c r="A3595" s="87" t="s">
        <v>373</v>
      </c>
      <c r="B3595" s="87" t="s">
        <v>227</v>
      </c>
      <c r="C3595" s="87">
        <v>2016</v>
      </c>
      <c r="D3595" s="87" t="s">
        <v>15</v>
      </c>
      <c r="E3595" s="116">
        <v>268</v>
      </c>
      <c r="F3595" s="87" t="s">
        <v>967</v>
      </c>
      <c r="G3595" s="87" t="s">
        <v>272</v>
      </c>
      <c r="H3595" s="87" t="s">
        <v>967</v>
      </c>
      <c r="I3595" s="87">
        <v>46</v>
      </c>
    </row>
    <row r="3596" spans="1:9" ht="15" customHeight="1" x14ac:dyDescent="0.25">
      <c r="A3596" s="87" t="s">
        <v>373</v>
      </c>
      <c r="B3596" s="87" t="s">
        <v>227</v>
      </c>
      <c r="C3596" s="87">
        <v>2017</v>
      </c>
      <c r="D3596" s="87" t="s">
        <v>15</v>
      </c>
      <c r="E3596" s="116">
        <v>909</v>
      </c>
      <c r="F3596" s="87" t="s">
        <v>967</v>
      </c>
      <c r="G3596" s="87" t="s">
        <v>272</v>
      </c>
      <c r="H3596" s="87" t="s">
        <v>967</v>
      </c>
      <c r="I3596" s="87">
        <v>46</v>
      </c>
    </row>
    <row r="3597" spans="1:9" ht="15" customHeight="1" x14ac:dyDescent="0.25">
      <c r="A3597" s="87" t="s">
        <v>373</v>
      </c>
      <c r="B3597" s="87" t="s">
        <v>227</v>
      </c>
      <c r="C3597" s="87">
        <v>2018</v>
      </c>
      <c r="D3597" s="87" t="s">
        <v>15</v>
      </c>
      <c r="E3597" s="116">
        <v>688</v>
      </c>
      <c r="F3597" s="87" t="s">
        <v>967</v>
      </c>
      <c r="G3597" s="87" t="s">
        <v>272</v>
      </c>
      <c r="H3597" s="87" t="s">
        <v>967</v>
      </c>
      <c r="I3597" s="87">
        <v>46</v>
      </c>
    </row>
    <row r="3598" spans="1:9" ht="15" customHeight="1" x14ac:dyDescent="0.25">
      <c r="A3598" s="87" t="s">
        <v>373</v>
      </c>
      <c r="B3598" s="87" t="s">
        <v>227</v>
      </c>
      <c r="C3598" s="87">
        <v>2019</v>
      </c>
      <c r="D3598" s="87" t="s">
        <v>15</v>
      </c>
      <c r="E3598" s="116">
        <v>772</v>
      </c>
      <c r="F3598" s="87" t="s">
        <v>967</v>
      </c>
      <c r="G3598" s="87" t="s">
        <v>272</v>
      </c>
      <c r="H3598" s="87" t="s">
        <v>991</v>
      </c>
      <c r="I3598" s="87">
        <v>46</v>
      </c>
    </row>
    <row r="3599" spans="1:9" ht="15" customHeight="1" x14ac:dyDescent="0.25">
      <c r="A3599" s="87" t="s">
        <v>373</v>
      </c>
      <c r="B3599" s="87" t="s">
        <v>227</v>
      </c>
      <c r="C3599" s="87">
        <v>2020</v>
      </c>
      <c r="D3599" s="87" t="s">
        <v>15</v>
      </c>
      <c r="E3599" s="116">
        <v>711</v>
      </c>
      <c r="F3599" s="87" t="s">
        <v>967</v>
      </c>
      <c r="G3599" s="87" t="s">
        <v>272</v>
      </c>
      <c r="H3599" s="87" t="s">
        <v>967</v>
      </c>
      <c r="I3599" s="87">
        <v>46</v>
      </c>
    </row>
    <row r="3600" spans="1:9" ht="15" customHeight="1" x14ac:dyDescent="0.25">
      <c r="A3600" s="87" t="s">
        <v>373</v>
      </c>
      <c r="B3600" s="87" t="s">
        <v>227</v>
      </c>
      <c r="C3600" s="87">
        <v>2021</v>
      </c>
      <c r="D3600" s="87" t="s">
        <v>15</v>
      </c>
      <c r="E3600" s="116">
        <v>2526</v>
      </c>
      <c r="F3600" s="87" t="s">
        <v>967</v>
      </c>
      <c r="G3600" s="87" t="s">
        <v>272</v>
      </c>
      <c r="H3600" s="87" t="s">
        <v>967</v>
      </c>
      <c r="I3600" s="87">
        <v>46</v>
      </c>
    </row>
    <row r="3601" spans="1:9" ht="15" customHeight="1" x14ac:dyDescent="0.25">
      <c r="A3601" s="87" t="s">
        <v>373</v>
      </c>
      <c r="B3601" s="87" t="s">
        <v>227</v>
      </c>
      <c r="C3601" s="87">
        <v>2022</v>
      </c>
      <c r="D3601" s="87" t="s">
        <v>15</v>
      </c>
      <c r="E3601" s="116">
        <v>669</v>
      </c>
      <c r="F3601" s="87" t="s">
        <v>967</v>
      </c>
      <c r="G3601" s="87" t="s">
        <v>272</v>
      </c>
      <c r="H3601" s="87" t="s">
        <v>967</v>
      </c>
      <c r="I3601" s="87">
        <v>46</v>
      </c>
    </row>
    <row r="3602" spans="1:9" ht="15" customHeight="1" x14ac:dyDescent="0.25">
      <c r="A3602" s="87" t="s">
        <v>373</v>
      </c>
      <c r="B3602" s="87" t="s">
        <v>374</v>
      </c>
      <c r="C3602" s="87">
        <v>1975</v>
      </c>
      <c r="D3602" s="87" t="s">
        <v>15</v>
      </c>
      <c r="E3602" s="116">
        <v>200</v>
      </c>
      <c r="F3602" s="87" t="s">
        <v>768</v>
      </c>
      <c r="G3602" s="87" t="s">
        <v>967</v>
      </c>
      <c r="H3602" s="87" t="s">
        <v>768</v>
      </c>
      <c r="I3602" s="87">
        <v>47</v>
      </c>
    </row>
    <row r="3603" spans="1:9" ht="15" customHeight="1" x14ac:dyDescent="0.25">
      <c r="A3603" s="87" t="s">
        <v>373</v>
      </c>
      <c r="B3603" s="87" t="s">
        <v>374</v>
      </c>
      <c r="C3603" s="87">
        <v>1976</v>
      </c>
      <c r="D3603" s="87" t="s">
        <v>15</v>
      </c>
      <c r="E3603" s="116">
        <v>150</v>
      </c>
      <c r="F3603" s="87" t="s">
        <v>768</v>
      </c>
      <c r="G3603" s="87" t="s">
        <v>967</v>
      </c>
      <c r="H3603" s="87" t="s">
        <v>768</v>
      </c>
      <c r="I3603" s="87">
        <v>47</v>
      </c>
    </row>
    <row r="3604" spans="1:9" ht="15" customHeight="1" x14ac:dyDescent="0.25">
      <c r="A3604" s="87" t="s">
        <v>373</v>
      </c>
      <c r="B3604" s="87" t="s">
        <v>374</v>
      </c>
      <c r="C3604" s="87">
        <v>1977</v>
      </c>
      <c r="D3604" s="87" t="s">
        <v>15</v>
      </c>
      <c r="E3604" s="116">
        <v>300</v>
      </c>
      <c r="F3604" s="87" t="s">
        <v>768</v>
      </c>
      <c r="G3604" s="87" t="s">
        <v>967</v>
      </c>
      <c r="H3604" s="87" t="s">
        <v>768</v>
      </c>
      <c r="I3604" s="87">
        <v>47</v>
      </c>
    </row>
    <row r="3605" spans="1:9" ht="15" customHeight="1" x14ac:dyDescent="0.25">
      <c r="A3605" s="87" t="s">
        <v>373</v>
      </c>
      <c r="B3605" s="87" t="s">
        <v>374</v>
      </c>
      <c r="C3605" s="87">
        <v>1978</v>
      </c>
      <c r="D3605" s="87" t="s">
        <v>15</v>
      </c>
      <c r="E3605" s="116">
        <v>350</v>
      </c>
      <c r="F3605" s="87" t="s">
        <v>768</v>
      </c>
      <c r="G3605" s="87" t="s">
        <v>967</v>
      </c>
      <c r="H3605" s="87" t="s">
        <v>768</v>
      </c>
      <c r="I3605" s="87">
        <v>47</v>
      </c>
    </row>
    <row r="3606" spans="1:9" ht="15" customHeight="1" x14ac:dyDescent="0.25">
      <c r="A3606" s="87" t="s">
        <v>373</v>
      </c>
      <c r="B3606" s="87" t="s">
        <v>374</v>
      </c>
      <c r="C3606" s="87">
        <v>1979</v>
      </c>
      <c r="D3606" s="87" t="s">
        <v>15</v>
      </c>
      <c r="E3606" s="116">
        <v>300</v>
      </c>
      <c r="F3606" s="87" t="s">
        <v>768</v>
      </c>
      <c r="G3606" s="87" t="s">
        <v>967</v>
      </c>
      <c r="H3606" s="87" t="s">
        <v>768</v>
      </c>
      <c r="I3606" s="87">
        <v>47</v>
      </c>
    </row>
    <row r="3607" spans="1:9" ht="15" customHeight="1" x14ac:dyDescent="0.25">
      <c r="A3607" s="87" t="s">
        <v>373</v>
      </c>
      <c r="B3607" s="87" t="s">
        <v>374</v>
      </c>
      <c r="C3607" s="87">
        <v>1980</v>
      </c>
      <c r="D3607" s="87" t="s">
        <v>15</v>
      </c>
      <c r="E3607" s="116">
        <v>360</v>
      </c>
      <c r="F3607" s="87" t="s">
        <v>768</v>
      </c>
      <c r="G3607" s="87" t="s">
        <v>967</v>
      </c>
      <c r="H3607" s="87" t="s">
        <v>768</v>
      </c>
      <c r="I3607" s="87">
        <v>47</v>
      </c>
    </row>
    <row r="3608" spans="1:9" ht="15" customHeight="1" x14ac:dyDescent="0.25">
      <c r="A3608" s="87" t="s">
        <v>373</v>
      </c>
      <c r="B3608" s="87" t="s">
        <v>374</v>
      </c>
      <c r="C3608" s="87">
        <v>1981</v>
      </c>
      <c r="D3608" s="87" t="s">
        <v>15</v>
      </c>
      <c r="E3608" s="116">
        <v>300</v>
      </c>
      <c r="F3608" s="87" t="s">
        <v>768</v>
      </c>
      <c r="G3608" s="87" t="s">
        <v>967</v>
      </c>
      <c r="H3608" s="87" t="s">
        <v>768</v>
      </c>
      <c r="I3608" s="87">
        <v>47</v>
      </c>
    </row>
    <row r="3609" spans="1:9" ht="15" customHeight="1" x14ac:dyDescent="0.25">
      <c r="A3609" s="87" t="s">
        <v>373</v>
      </c>
      <c r="B3609" s="87" t="s">
        <v>374</v>
      </c>
      <c r="C3609" s="87">
        <v>1982</v>
      </c>
      <c r="D3609" s="87" t="s">
        <v>15</v>
      </c>
      <c r="E3609" s="116">
        <v>700</v>
      </c>
      <c r="F3609" s="87" t="s">
        <v>768</v>
      </c>
      <c r="G3609" s="87" t="s">
        <v>967</v>
      </c>
      <c r="H3609" s="87" t="s">
        <v>768</v>
      </c>
      <c r="I3609" s="87">
        <v>47</v>
      </c>
    </row>
    <row r="3610" spans="1:9" ht="15" customHeight="1" x14ac:dyDescent="0.25">
      <c r="A3610" s="87" t="s">
        <v>373</v>
      </c>
      <c r="B3610" s="87" t="s">
        <v>374</v>
      </c>
      <c r="C3610" s="87">
        <v>1983</v>
      </c>
      <c r="D3610" s="87" t="s">
        <v>15</v>
      </c>
      <c r="E3610" s="116">
        <v>300</v>
      </c>
      <c r="F3610" s="87" t="s">
        <v>768</v>
      </c>
      <c r="G3610" s="87" t="s">
        <v>967</v>
      </c>
      <c r="H3610" s="87" t="s">
        <v>768</v>
      </c>
      <c r="I3610" s="87">
        <v>47</v>
      </c>
    </row>
    <row r="3611" spans="1:9" ht="15" customHeight="1" x14ac:dyDescent="0.25">
      <c r="A3611" s="87" t="s">
        <v>373</v>
      </c>
      <c r="B3611" s="87" t="s">
        <v>374</v>
      </c>
      <c r="C3611" s="87">
        <v>1984</v>
      </c>
      <c r="D3611" s="87" t="s">
        <v>15</v>
      </c>
      <c r="E3611" s="116">
        <v>850</v>
      </c>
      <c r="F3611" s="87" t="s">
        <v>609</v>
      </c>
      <c r="G3611" s="87" t="s">
        <v>967</v>
      </c>
      <c r="H3611" s="87" t="s">
        <v>609</v>
      </c>
      <c r="I3611" s="87">
        <v>47</v>
      </c>
    </row>
    <row r="3612" spans="1:9" ht="15" customHeight="1" x14ac:dyDescent="0.25">
      <c r="A3612" s="87" t="s">
        <v>373</v>
      </c>
      <c r="B3612" s="87" t="s">
        <v>374</v>
      </c>
      <c r="C3612" s="87">
        <v>1985</v>
      </c>
      <c r="D3612" s="87" t="s">
        <v>15</v>
      </c>
      <c r="E3612" s="116">
        <v>1670</v>
      </c>
      <c r="F3612" s="87" t="s">
        <v>609</v>
      </c>
      <c r="G3612" s="87" t="s">
        <v>967</v>
      </c>
      <c r="H3612" s="87" t="s">
        <v>609</v>
      </c>
      <c r="I3612" s="87">
        <v>47</v>
      </c>
    </row>
    <row r="3613" spans="1:9" ht="15" customHeight="1" x14ac:dyDescent="0.25">
      <c r="A3613" s="87" t="s">
        <v>373</v>
      </c>
      <c r="B3613" s="87" t="s">
        <v>374</v>
      </c>
      <c r="C3613" s="87">
        <v>1986</v>
      </c>
      <c r="D3613" s="87" t="s">
        <v>15</v>
      </c>
      <c r="E3613" s="116">
        <v>779</v>
      </c>
      <c r="F3613" s="87" t="s">
        <v>967</v>
      </c>
      <c r="G3613" s="87" t="s">
        <v>289</v>
      </c>
      <c r="H3613" s="87" t="s">
        <v>967</v>
      </c>
      <c r="I3613" s="87">
        <v>47</v>
      </c>
    </row>
    <row r="3614" spans="1:9" ht="15" customHeight="1" x14ac:dyDescent="0.25">
      <c r="A3614" s="87" t="s">
        <v>373</v>
      </c>
      <c r="B3614" s="87" t="s">
        <v>374</v>
      </c>
      <c r="C3614" s="87">
        <v>1987</v>
      </c>
      <c r="D3614" s="87" t="s">
        <v>15</v>
      </c>
      <c r="E3614" s="116">
        <v>475</v>
      </c>
      <c r="F3614" s="87" t="s">
        <v>967</v>
      </c>
      <c r="G3614" s="87" t="s">
        <v>289</v>
      </c>
      <c r="H3614" s="87" t="s">
        <v>375</v>
      </c>
      <c r="I3614" s="87">
        <v>47</v>
      </c>
    </row>
    <row r="3615" spans="1:9" ht="15" customHeight="1" x14ac:dyDescent="0.25">
      <c r="A3615" s="87" t="s">
        <v>373</v>
      </c>
      <c r="B3615" s="87" t="s">
        <v>374</v>
      </c>
      <c r="C3615" s="87">
        <v>1988</v>
      </c>
      <c r="D3615" s="87" t="s">
        <v>15</v>
      </c>
      <c r="E3615" s="116">
        <v>1055</v>
      </c>
      <c r="F3615" s="87" t="s">
        <v>967</v>
      </c>
      <c r="G3615" s="87" t="s">
        <v>289</v>
      </c>
      <c r="H3615" s="87" t="s">
        <v>376</v>
      </c>
      <c r="I3615" s="87">
        <v>47</v>
      </c>
    </row>
    <row r="3616" spans="1:9" ht="15" customHeight="1" x14ac:dyDescent="0.25">
      <c r="A3616" s="87" t="s">
        <v>373</v>
      </c>
      <c r="B3616" s="87" t="s">
        <v>374</v>
      </c>
      <c r="C3616" s="87">
        <v>1989</v>
      </c>
      <c r="D3616" s="87" t="s">
        <v>15</v>
      </c>
      <c r="E3616" s="116">
        <v>1431</v>
      </c>
      <c r="F3616" s="87" t="s">
        <v>967</v>
      </c>
      <c r="G3616" s="87" t="s">
        <v>289</v>
      </c>
      <c r="H3616" s="87" t="s">
        <v>377</v>
      </c>
      <c r="I3616" s="87">
        <v>47</v>
      </c>
    </row>
    <row r="3617" spans="1:9" ht="15" customHeight="1" x14ac:dyDescent="0.25">
      <c r="A3617" s="87" t="s">
        <v>373</v>
      </c>
      <c r="B3617" s="87" t="s">
        <v>374</v>
      </c>
      <c r="C3617" s="87">
        <v>1990</v>
      </c>
      <c r="D3617" s="87" t="s">
        <v>15</v>
      </c>
      <c r="E3617" s="116">
        <v>821</v>
      </c>
      <c r="F3617" s="87" t="s">
        <v>967</v>
      </c>
      <c r="G3617" s="87" t="s">
        <v>289</v>
      </c>
      <c r="H3617" s="87" t="s">
        <v>375</v>
      </c>
      <c r="I3617" s="87">
        <v>47</v>
      </c>
    </row>
    <row r="3618" spans="1:9" ht="15" customHeight="1" x14ac:dyDescent="0.25">
      <c r="A3618" s="87" t="s">
        <v>373</v>
      </c>
      <c r="B3618" s="87" t="s">
        <v>374</v>
      </c>
      <c r="C3618" s="87">
        <v>1991</v>
      </c>
      <c r="D3618" s="87" t="s">
        <v>15</v>
      </c>
      <c r="E3618" s="116">
        <v>479</v>
      </c>
      <c r="F3618" s="87" t="s">
        <v>967</v>
      </c>
      <c r="G3618" s="87" t="s">
        <v>289</v>
      </c>
      <c r="H3618" s="87" t="s">
        <v>378</v>
      </c>
      <c r="I3618" s="87">
        <v>47</v>
      </c>
    </row>
    <row r="3619" spans="1:9" ht="15" customHeight="1" x14ac:dyDescent="0.25">
      <c r="A3619" s="87" t="s">
        <v>373</v>
      </c>
      <c r="B3619" s="87" t="s">
        <v>374</v>
      </c>
      <c r="C3619" s="87">
        <v>1992</v>
      </c>
      <c r="D3619" s="87" t="s">
        <v>15</v>
      </c>
      <c r="E3619" s="116">
        <v>263</v>
      </c>
      <c r="F3619" s="87" t="s">
        <v>967</v>
      </c>
      <c r="G3619" s="87" t="s">
        <v>289</v>
      </c>
      <c r="H3619" s="87" t="s">
        <v>379</v>
      </c>
      <c r="I3619" s="87">
        <v>47</v>
      </c>
    </row>
    <row r="3620" spans="1:9" ht="15" customHeight="1" x14ac:dyDescent="0.25">
      <c r="A3620" s="87" t="s">
        <v>373</v>
      </c>
      <c r="B3620" s="87" t="s">
        <v>374</v>
      </c>
      <c r="C3620" s="87">
        <v>1993</v>
      </c>
      <c r="D3620" s="87" t="s">
        <v>15</v>
      </c>
      <c r="E3620" s="116">
        <v>1949</v>
      </c>
      <c r="F3620" s="87" t="s">
        <v>967</v>
      </c>
      <c r="G3620" s="87" t="s">
        <v>289</v>
      </c>
      <c r="H3620" s="87" t="s">
        <v>380</v>
      </c>
      <c r="I3620" s="87">
        <v>47</v>
      </c>
    </row>
    <row r="3621" spans="1:9" ht="15" customHeight="1" x14ac:dyDescent="0.25">
      <c r="A3621" s="87" t="s">
        <v>373</v>
      </c>
      <c r="B3621" s="87" t="s">
        <v>374</v>
      </c>
      <c r="C3621" s="87">
        <v>1994</v>
      </c>
      <c r="D3621" s="87" t="s">
        <v>15</v>
      </c>
      <c r="E3621" s="116">
        <v>1261</v>
      </c>
      <c r="F3621" s="87" t="s">
        <v>967</v>
      </c>
      <c r="G3621" s="87" t="s">
        <v>289</v>
      </c>
      <c r="H3621" s="87" t="s">
        <v>967</v>
      </c>
      <c r="I3621" s="87">
        <v>47</v>
      </c>
    </row>
    <row r="3622" spans="1:9" ht="15" customHeight="1" x14ac:dyDescent="0.25">
      <c r="A3622" s="87" t="s">
        <v>373</v>
      </c>
      <c r="B3622" s="87" t="s">
        <v>374</v>
      </c>
      <c r="C3622" s="87">
        <v>1995</v>
      </c>
      <c r="D3622" s="87" t="s">
        <v>15</v>
      </c>
      <c r="E3622" s="116">
        <v>541</v>
      </c>
      <c r="F3622" s="87" t="s">
        <v>967</v>
      </c>
      <c r="G3622" s="87" t="s">
        <v>289</v>
      </c>
      <c r="H3622" s="87" t="s">
        <v>967</v>
      </c>
      <c r="I3622" s="87">
        <v>47</v>
      </c>
    </row>
    <row r="3623" spans="1:9" ht="15" customHeight="1" x14ac:dyDescent="0.25">
      <c r="A3623" s="87" t="s">
        <v>373</v>
      </c>
      <c r="B3623" s="87" t="s">
        <v>374</v>
      </c>
      <c r="C3623" s="87">
        <v>1996</v>
      </c>
      <c r="D3623" s="87" t="s">
        <v>15</v>
      </c>
      <c r="E3623" s="116">
        <v>554</v>
      </c>
      <c r="F3623" s="87" t="s">
        <v>967</v>
      </c>
      <c r="G3623" s="87" t="s">
        <v>289</v>
      </c>
      <c r="H3623" s="87" t="s">
        <v>381</v>
      </c>
      <c r="I3623" s="87">
        <v>47</v>
      </c>
    </row>
    <row r="3624" spans="1:9" ht="15" customHeight="1" x14ac:dyDescent="0.25">
      <c r="A3624" s="87" t="s">
        <v>373</v>
      </c>
      <c r="B3624" s="87" t="s">
        <v>374</v>
      </c>
      <c r="C3624" s="87">
        <v>1997</v>
      </c>
      <c r="D3624" s="87" t="s">
        <v>15</v>
      </c>
      <c r="E3624" s="116">
        <v>428</v>
      </c>
      <c r="F3624" s="87" t="s">
        <v>967</v>
      </c>
      <c r="G3624" s="87" t="s">
        <v>289</v>
      </c>
      <c r="H3624" s="87" t="s">
        <v>967</v>
      </c>
      <c r="I3624" s="87">
        <v>47</v>
      </c>
    </row>
    <row r="3625" spans="1:9" ht="15" customHeight="1" x14ac:dyDescent="0.25">
      <c r="A3625" s="87" t="s">
        <v>373</v>
      </c>
      <c r="B3625" s="87" t="s">
        <v>374</v>
      </c>
      <c r="C3625" s="87">
        <v>1998</v>
      </c>
      <c r="D3625" s="87" t="s">
        <v>15</v>
      </c>
      <c r="E3625" s="116">
        <v>221</v>
      </c>
      <c r="F3625" s="87" t="s">
        <v>967</v>
      </c>
      <c r="G3625" s="87" t="s">
        <v>289</v>
      </c>
      <c r="H3625" s="87" t="s">
        <v>967</v>
      </c>
      <c r="I3625" s="87">
        <v>47</v>
      </c>
    </row>
    <row r="3626" spans="1:9" ht="15" customHeight="1" x14ac:dyDescent="0.25">
      <c r="A3626" s="87" t="s">
        <v>373</v>
      </c>
      <c r="B3626" s="87" t="s">
        <v>374</v>
      </c>
      <c r="C3626" s="87">
        <v>1999</v>
      </c>
      <c r="D3626" s="87" t="s">
        <v>15</v>
      </c>
      <c r="E3626" s="116">
        <v>248</v>
      </c>
      <c r="F3626" s="87" t="s">
        <v>967</v>
      </c>
      <c r="G3626" s="87" t="s">
        <v>289</v>
      </c>
      <c r="H3626" s="87" t="s">
        <v>967</v>
      </c>
      <c r="I3626" s="87">
        <v>47</v>
      </c>
    </row>
    <row r="3627" spans="1:9" ht="15" customHeight="1" x14ac:dyDescent="0.25">
      <c r="A3627" s="87" t="s">
        <v>373</v>
      </c>
      <c r="B3627" s="87" t="s">
        <v>374</v>
      </c>
      <c r="C3627" s="87">
        <v>2000</v>
      </c>
      <c r="D3627" s="87" t="s">
        <v>15</v>
      </c>
      <c r="E3627" s="116">
        <v>356</v>
      </c>
      <c r="F3627" s="87" t="s">
        <v>967</v>
      </c>
      <c r="G3627" s="87" t="s">
        <v>289</v>
      </c>
      <c r="H3627" s="87" t="s">
        <v>967</v>
      </c>
      <c r="I3627" s="87">
        <v>47</v>
      </c>
    </row>
    <row r="3628" spans="1:9" ht="15" customHeight="1" x14ac:dyDescent="0.25">
      <c r="A3628" s="87" t="s">
        <v>373</v>
      </c>
      <c r="B3628" s="87" t="s">
        <v>374</v>
      </c>
      <c r="C3628" s="87">
        <v>2001</v>
      </c>
      <c r="D3628" s="87" t="s">
        <v>15</v>
      </c>
      <c r="E3628" s="116">
        <v>1224</v>
      </c>
      <c r="F3628" s="87" t="s">
        <v>967</v>
      </c>
      <c r="G3628" s="87" t="s">
        <v>289</v>
      </c>
      <c r="H3628" s="87" t="s">
        <v>967</v>
      </c>
      <c r="I3628" s="87">
        <v>47</v>
      </c>
    </row>
    <row r="3629" spans="1:9" ht="15" customHeight="1" x14ac:dyDescent="0.25">
      <c r="A3629" s="87" t="s">
        <v>373</v>
      </c>
      <c r="B3629" s="87" t="s">
        <v>374</v>
      </c>
      <c r="C3629" s="87">
        <v>2002</v>
      </c>
      <c r="D3629" s="87" t="s">
        <v>15</v>
      </c>
      <c r="E3629" s="116">
        <v>900</v>
      </c>
      <c r="F3629" s="87" t="s">
        <v>967</v>
      </c>
      <c r="G3629" s="87" t="s">
        <v>289</v>
      </c>
      <c r="H3629" s="87" t="s">
        <v>967</v>
      </c>
      <c r="I3629" s="87">
        <v>47</v>
      </c>
    </row>
    <row r="3630" spans="1:9" ht="15" customHeight="1" x14ac:dyDescent="0.25">
      <c r="A3630" s="87" t="s">
        <v>373</v>
      </c>
      <c r="B3630" s="87" t="s">
        <v>374</v>
      </c>
      <c r="C3630" s="87">
        <v>2003</v>
      </c>
      <c r="D3630" s="87" t="s">
        <v>15</v>
      </c>
      <c r="E3630" s="116">
        <v>89</v>
      </c>
      <c r="F3630" s="87" t="s">
        <v>967</v>
      </c>
      <c r="G3630" s="87" t="s">
        <v>289</v>
      </c>
      <c r="H3630" s="87" t="s">
        <v>967</v>
      </c>
      <c r="I3630" s="87">
        <v>47</v>
      </c>
    </row>
    <row r="3631" spans="1:9" ht="15" customHeight="1" x14ac:dyDescent="0.25">
      <c r="A3631" s="87" t="s">
        <v>373</v>
      </c>
      <c r="B3631" s="87" t="s">
        <v>374</v>
      </c>
      <c r="C3631" s="87">
        <v>2004</v>
      </c>
      <c r="D3631" s="87" t="s">
        <v>15</v>
      </c>
      <c r="E3631" s="116">
        <v>327</v>
      </c>
      <c r="F3631" s="87" t="s">
        <v>967</v>
      </c>
      <c r="G3631" s="87" t="s">
        <v>289</v>
      </c>
      <c r="H3631" s="87" t="s">
        <v>769</v>
      </c>
      <c r="I3631" s="87">
        <v>47</v>
      </c>
    </row>
    <row r="3632" spans="1:9" ht="15" customHeight="1" x14ac:dyDescent="0.25">
      <c r="A3632" s="87" t="s">
        <v>373</v>
      </c>
      <c r="B3632" s="87" t="s">
        <v>374</v>
      </c>
      <c r="C3632" s="87">
        <v>2005</v>
      </c>
      <c r="D3632" s="87" t="s">
        <v>15</v>
      </c>
      <c r="E3632" s="116">
        <v>354</v>
      </c>
      <c r="F3632" s="87" t="s">
        <v>967</v>
      </c>
      <c r="G3632" s="87" t="s">
        <v>289</v>
      </c>
      <c r="H3632" s="87" t="s">
        <v>967</v>
      </c>
      <c r="I3632" s="87">
        <v>47</v>
      </c>
    </row>
    <row r="3633" spans="1:9" ht="15" customHeight="1" x14ac:dyDescent="0.25">
      <c r="A3633" s="87" t="s">
        <v>373</v>
      </c>
      <c r="B3633" s="87" t="s">
        <v>374</v>
      </c>
      <c r="C3633" s="87">
        <v>2006</v>
      </c>
      <c r="D3633" s="87" t="s">
        <v>15</v>
      </c>
      <c r="E3633" s="116">
        <v>554</v>
      </c>
      <c r="F3633" s="87" t="s">
        <v>967</v>
      </c>
      <c r="G3633" s="87" t="s">
        <v>289</v>
      </c>
      <c r="H3633" s="87" t="s">
        <v>967</v>
      </c>
      <c r="I3633" s="87">
        <v>47</v>
      </c>
    </row>
    <row r="3634" spans="1:9" ht="15" customHeight="1" x14ac:dyDescent="0.25">
      <c r="A3634" s="87" t="s">
        <v>373</v>
      </c>
      <c r="B3634" s="87" t="s">
        <v>374</v>
      </c>
      <c r="C3634" s="87">
        <v>2007</v>
      </c>
      <c r="D3634" s="87" t="s">
        <v>15</v>
      </c>
      <c r="E3634" s="116">
        <v>173</v>
      </c>
      <c r="F3634" s="87" t="s">
        <v>967</v>
      </c>
      <c r="G3634" s="87" t="s">
        <v>289</v>
      </c>
      <c r="H3634" s="87" t="s">
        <v>967</v>
      </c>
      <c r="I3634" s="87">
        <v>47</v>
      </c>
    </row>
    <row r="3635" spans="1:9" ht="15" customHeight="1" x14ac:dyDescent="0.25">
      <c r="A3635" s="87" t="s">
        <v>373</v>
      </c>
      <c r="B3635" s="87" t="s">
        <v>374</v>
      </c>
      <c r="C3635" s="87">
        <v>2008</v>
      </c>
      <c r="D3635" s="87" t="s">
        <v>15</v>
      </c>
      <c r="E3635" s="116">
        <v>484</v>
      </c>
      <c r="F3635" s="87" t="s">
        <v>967</v>
      </c>
      <c r="G3635" s="87" t="s">
        <v>289</v>
      </c>
      <c r="H3635" s="87" t="s">
        <v>967</v>
      </c>
      <c r="I3635" s="87">
        <v>47</v>
      </c>
    </row>
    <row r="3636" spans="1:9" ht="15" customHeight="1" x14ac:dyDescent="0.25">
      <c r="A3636" s="87" t="s">
        <v>373</v>
      </c>
      <c r="B3636" s="87" t="s">
        <v>374</v>
      </c>
      <c r="C3636" s="87">
        <v>2009</v>
      </c>
      <c r="D3636" s="87" t="s">
        <v>15</v>
      </c>
      <c r="E3636" s="116">
        <v>246</v>
      </c>
      <c r="F3636" s="87" t="s">
        <v>967</v>
      </c>
      <c r="G3636" s="87" t="s">
        <v>289</v>
      </c>
      <c r="H3636" s="87" t="s">
        <v>770</v>
      </c>
      <c r="I3636" s="87">
        <v>47</v>
      </c>
    </row>
    <row r="3637" spans="1:9" ht="15" customHeight="1" x14ac:dyDescent="0.25">
      <c r="A3637" s="87" t="s">
        <v>373</v>
      </c>
      <c r="B3637" s="87" t="s">
        <v>374</v>
      </c>
      <c r="C3637" s="87">
        <v>2010</v>
      </c>
      <c r="D3637" s="87" t="s">
        <v>15</v>
      </c>
      <c r="E3637" s="116">
        <v>589</v>
      </c>
      <c r="F3637" s="87" t="s">
        <v>967</v>
      </c>
      <c r="G3637" s="87" t="s">
        <v>289</v>
      </c>
      <c r="H3637" s="87" t="s">
        <v>771</v>
      </c>
      <c r="I3637" s="87">
        <v>47</v>
      </c>
    </row>
    <row r="3638" spans="1:9" ht="15" customHeight="1" x14ac:dyDescent="0.25">
      <c r="A3638" s="87" t="s">
        <v>373</v>
      </c>
      <c r="B3638" s="87" t="s">
        <v>374</v>
      </c>
      <c r="C3638" s="87">
        <v>2011</v>
      </c>
      <c r="D3638" s="87" t="s">
        <v>15</v>
      </c>
      <c r="E3638" s="116">
        <v>112</v>
      </c>
      <c r="F3638" s="87" t="s">
        <v>967</v>
      </c>
      <c r="G3638" s="87" t="s">
        <v>289</v>
      </c>
      <c r="H3638" s="87" t="s">
        <v>772</v>
      </c>
      <c r="I3638" s="87">
        <v>47</v>
      </c>
    </row>
    <row r="3639" spans="1:9" ht="15" customHeight="1" x14ac:dyDescent="0.25">
      <c r="A3639" s="87" t="s">
        <v>373</v>
      </c>
      <c r="B3639" s="87" t="s">
        <v>374</v>
      </c>
      <c r="C3639" s="87">
        <v>2012</v>
      </c>
      <c r="D3639" s="87" t="s">
        <v>15</v>
      </c>
      <c r="E3639" s="116">
        <v>283</v>
      </c>
      <c r="F3639" s="87" t="s">
        <v>967</v>
      </c>
      <c r="G3639" s="87" t="s">
        <v>289</v>
      </c>
      <c r="H3639" s="87" t="s">
        <v>773</v>
      </c>
      <c r="I3639" s="87">
        <v>47</v>
      </c>
    </row>
    <row r="3640" spans="1:9" ht="15" customHeight="1" x14ac:dyDescent="0.25">
      <c r="A3640" s="87" t="s">
        <v>373</v>
      </c>
      <c r="B3640" s="87" t="s">
        <v>374</v>
      </c>
      <c r="C3640" s="87">
        <v>2013</v>
      </c>
      <c r="D3640" s="87" t="s">
        <v>15</v>
      </c>
      <c r="E3640" s="116">
        <v>633</v>
      </c>
      <c r="F3640" s="87" t="s">
        <v>967</v>
      </c>
      <c r="G3640" s="87" t="s">
        <v>289</v>
      </c>
      <c r="H3640" s="87" t="s">
        <v>774</v>
      </c>
      <c r="I3640" s="87">
        <v>47</v>
      </c>
    </row>
    <row r="3641" spans="1:9" ht="15" customHeight="1" x14ac:dyDescent="0.25">
      <c r="A3641" s="87" t="s">
        <v>373</v>
      </c>
      <c r="B3641" s="87" t="s">
        <v>374</v>
      </c>
      <c r="C3641" s="87">
        <v>2014</v>
      </c>
      <c r="D3641" s="87" t="s">
        <v>15</v>
      </c>
      <c r="E3641" s="116">
        <v>794</v>
      </c>
      <c r="F3641" s="87" t="s">
        <v>967</v>
      </c>
      <c r="G3641" s="87" t="s">
        <v>289</v>
      </c>
      <c r="H3641" s="87" t="s">
        <v>775</v>
      </c>
      <c r="I3641" s="87">
        <v>47</v>
      </c>
    </row>
    <row r="3642" spans="1:9" ht="15" customHeight="1" x14ac:dyDescent="0.25">
      <c r="A3642" s="87" t="s">
        <v>373</v>
      </c>
      <c r="B3642" s="87" t="s">
        <v>374</v>
      </c>
      <c r="C3642" s="87">
        <v>2015</v>
      </c>
      <c r="D3642" s="87" t="s">
        <v>15</v>
      </c>
      <c r="E3642" s="116">
        <v>131</v>
      </c>
      <c r="F3642" s="87" t="s">
        <v>967</v>
      </c>
      <c r="G3642" s="87" t="s">
        <v>289</v>
      </c>
      <c r="H3642" s="87" t="s">
        <v>776</v>
      </c>
      <c r="I3642" s="87">
        <v>47</v>
      </c>
    </row>
    <row r="3643" spans="1:9" ht="15" customHeight="1" x14ac:dyDescent="0.25">
      <c r="A3643" s="87" t="s">
        <v>373</v>
      </c>
      <c r="B3643" s="87" t="s">
        <v>374</v>
      </c>
      <c r="C3643" s="87">
        <v>2016</v>
      </c>
      <c r="D3643" s="87" t="s">
        <v>15</v>
      </c>
      <c r="E3643" s="116">
        <v>78</v>
      </c>
      <c r="F3643" s="87" t="s">
        <v>967</v>
      </c>
      <c r="G3643" s="87" t="s">
        <v>289</v>
      </c>
      <c r="H3643" s="87" t="s">
        <v>777</v>
      </c>
      <c r="I3643" s="87">
        <v>47</v>
      </c>
    </row>
    <row r="3644" spans="1:9" ht="15" customHeight="1" x14ac:dyDescent="0.25">
      <c r="A3644" s="87" t="s">
        <v>373</v>
      </c>
      <c r="B3644" s="87" t="s">
        <v>374</v>
      </c>
      <c r="C3644" s="87">
        <v>2017</v>
      </c>
      <c r="D3644" s="87" t="s">
        <v>15</v>
      </c>
      <c r="E3644" s="116">
        <v>170</v>
      </c>
      <c r="F3644" s="87" t="s">
        <v>967</v>
      </c>
      <c r="G3644" s="87" t="s">
        <v>289</v>
      </c>
      <c r="H3644" s="87" t="s">
        <v>778</v>
      </c>
      <c r="I3644" s="87">
        <v>47</v>
      </c>
    </row>
    <row r="3645" spans="1:9" ht="15" customHeight="1" x14ac:dyDescent="0.25">
      <c r="A3645" s="87" t="s">
        <v>373</v>
      </c>
      <c r="B3645" s="87" t="s">
        <v>374</v>
      </c>
      <c r="C3645" s="87">
        <v>2018</v>
      </c>
      <c r="D3645" s="87" t="s">
        <v>15</v>
      </c>
      <c r="E3645" s="116">
        <v>130</v>
      </c>
      <c r="F3645" s="87" t="s">
        <v>967</v>
      </c>
      <c r="G3645" s="87" t="s">
        <v>289</v>
      </c>
      <c r="H3645" s="87" t="s">
        <v>938</v>
      </c>
      <c r="I3645" s="87">
        <v>47</v>
      </c>
    </row>
    <row r="3646" spans="1:9" ht="15" customHeight="1" x14ac:dyDescent="0.25">
      <c r="A3646" s="87" t="s">
        <v>373</v>
      </c>
      <c r="B3646" s="87" t="s">
        <v>374</v>
      </c>
      <c r="C3646" s="87">
        <v>2019</v>
      </c>
      <c r="D3646" s="87" t="s">
        <v>15</v>
      </c>
      <c r="E3646" s="116">
        <v>372</v>
      </c>
      <c r="F3646" s="87" t="s">
        <v>967</v>
      </c>
      <c r="G3646" s="87" t="s">
        <v>289</v>
      </c>
      <c r="H3646" s="87" t="s">
        <v>992</v>
      </c>
      <c r="I3646" s="87">
        <v>47</v>
      </c>
    </row>
    <row r="3647" spans="1:9" ht="15" customHeight="1" x14ac:dyDescent="0.25">
      <c r="A3647" s="87" t="s">
        <v>373</v>
      </c>
      <c r="B3647" s="87" t="s">
        <v>374</v>
      </c>
      <c r="C3647" s="87">
        <v>2020</v>
      </c>
      <c r="D3647" s="87" t="s">
        <v>15</v>
      </c>
      <c r="E3647" s="116">
        <v>346</v>
      </c>
      <c r="F3647" s="87" t="s">
        <v>967</v>
      </c>
      <c r="G3647" s="87" t="s">
        <v>289</v>
      </c>
      <c r="H3647" s="87" t="s">
        <v>1044</v>
      </c>
      <c r="I3647" s="87">
        <v>47</v>
      </c>
    </row>
    <row r="3648" spans="1:9" ht="15" customHeight="1" x14ac:dyDescent="0.25">
      <c r="A3648" s="87" t="s">
        <v>373</v>
      </c>
      <c r="B3648" s="87" t="s">
        <v>374</v>
      </c>
      <c r="C3648" s="87">
        <v>2021</v>
      </c>
      <c r="D3648" s="87" t="s">
        <v>15</v>
      </c>
      <c r="E3648" s="116">
        <v>406</v>
      </c>
      <c r="F3648" s="87" t="s">
        <v>967</v>
      </c>
      <c r="G3648" s="87" t="s">
        <v>289</v>
      </c>
      <c r="H3648" s="87" t="s">
        <v>1063</v>
      </c>
      <c r="I3648" s="87">
        <v>47</v>
      </c>
    </row>
    <row r="3649" spans="1:9" ht="15" customHeight="1" x14ac:dyDescent="0.25">
      <c r="A3649" s="87" t="s">
        <v>373</v>
      </c>
      <c r="B3649" s="87" t="s">
        <v>374</v>
      </c>
      <c r="C3649" s="87">
        <v>2022</v>
      </c>
      <c r="D3649" s="87" t="s">
        <v>15</v>
      </c>
      <c r="E3649" s="116">
        <v>490</v>
      </c>
      <c r="F3649" s="87" t="s">
        <v>967</v>
      </c>
      <c r="G3649" s="87" t="s">
        <v>289</v>
      </c>
      <c r="H3649" s="87" t="s">
        <v>967</v>
      </c>
      <c r="I3649" s="87">
        <v>47</v>
      </c>
    </row>
    <row r="3650" spans="1:9" ht="15" customHeight="1" x14ac:dyDescent="0.25">
      <c r="A3650" s="87" t="s">
        <v>373</v>
      </c>
      <c r="B3650" s="87" t="s">
        <v>382</v>
      </c>
      <c r="C3650" s="87">
        <v>1975</v>
      </c>
      <c r="D3650" s="87" t="s">
        <v>15</v>
      </c>
      <c r="E3650" s="116">
        <v>-1</v>
      </c>
      <c r="F3650" s="87" t="s">
        <v>768</v>
      </c>
      <c r="G3650" s="87" t="s">
        <v>967</v>
      </c>
      <c r="H3650" s="87" t="s">
        <v>768</v>
      </c>
      <c r="I3650" s="87">
        <v>66</v>
      </c>
    </row>
    <row r="3651" spans="1:9" ht="15" customHeight="1" x14ac:dyDescent="0.25">
      <c r="A3651" s="87" t="s">
        <v>373</v>
      </c>
      <c r="B3651" s="87" t="s">
        <v>382</v>
      </c>
      <c r="C3651" s="87">
        <v>1976</v>
      </c>
      <c r="D3651" s="87" t="s">
        <v>15</v>
      </c>
      <c r="E3651" s="116">
        <v>-1</v>
      </c>
      <c r="F3651" s="87" t="s">
        <v>768</v>
      </c>
      <c r="G3651" s="87" t="s">
        <v>967</v>
      </c>
      <c r="H3651" s="87" t="s">
        <v>768</v>
      </c>
      <c r="I3651" s="87">
        <v>66</v>
      </c>
    </row>
    <row r="3652" spans="1:9" ht="15" customHeight="1" x14ac:dyDescent="0.25">
      <c r="A3652" s="87" t="s">
        <v>373</v>
      </c>
      <c r="B3652" s="87" t="s">
        <v>382</v>
      </c>
      <c r="C3652" s="87">
        <v>1977</v>
      </c>
      <c r="D3652" s="87" t="s">
        <v>15</v>
      </c>
      <c r="E3652" s="116">
        <v>-1</v>
      </c>
      <c r="F3652" s="87" t="s">
        <v>768</v>
      </c>
      <c r="G3652" s="87" t="s">
        <v>967</v>
      </c>
      <c r="H3652" s="87" t="s">
        <v>768</v>
      </c>
      <c r="I3652" s="87">
        <v>66</v>
      </c>
    </row>
    <row r="3653" spans="1:9" ht="15" customHeight="1" x14ac:dyDescent="0.25">
      <c r="A3653" s="87" t="s">
        <v>373</v>
      </c>
      <c r="B3653" s="87" t="s">
        <v>382</v>
      </c>
      <c r="C3653" s="87">
        <v>1978</v>
      </c>
      <c r="D3653" s="87" t="s">
        <v>15</v>
      </c>
      <c r="E3653" s="116">
        <v>-1</v>
      </c>
      <c r="F3653" s="87" t="s">
        <v>768</v>
      </c>
      <c r="G3653" s="87" t="s">
        <v>967</v>
      </c>
      <c r="H3653" s="87" t="s">
        <v>768</v>
      </c>
      <c r="I3653" s="87">
        <v>66</v>
      </c>
    </row>
    <row r="3654" spans="1:9" ht="15" customHeight="1" x14ac:dyDescent="0.25">
      <c r="A3654" s="87" t="s">
        <v>373</v>
      </c>
      <c r="B3654" s="87" t="s">
        <v>382</v>
      </c>
      <c r="C3654" s="87">
        <v>1979</v>
      </c>
      <c r="D3654" s="87" t="s">
        <v>15</v>
      </c>
      <c r="E3654" s="116">
        <v>-1</v>
      </c>
      <c r="F3654" s="87" t="s">
        <v>768</v>
      </c>
      <c r="G3654" s="87" t="s">
        <v>967</v>
      </c>
      <c r="H3654" s="87" t="s">
        <v>768</v>
      </c>
      <c r="I3654" s="87">
        <v>66</v>
      </c>
    </row>
    <row r="3655" spans="1:9" ht="15" customHeight="1" x14ac:dyDescent="0.25">
      <c r="A3655" s="87" t="s">
        <v>373</v>
      </c>
      <c r="B3655" s="87" t="s">
        <v>382</v>
      </c>
      <c r="C3655" s="87">
        <v>1980</v>
      </c>
      <c r="D3655" s="87" t="s">
        <v>15</v>
      </c>
      <c r="E3655" s="116">
        <v>-1</v>
      </c>
      <c r="F3655" s="87" t="s">
        <v>768</v>
      </c>
      <c r="G3655" s="87" t="s">
        <v>967</v>
      </c>
      <c r="H3655" s="87" t="s">
        <v>768</v>
      </c>
      <c r="I3655" s="87">
        <v>66</v>
      </c>
    </row>
    <row r="3656" spans="1:9" ht="15" customHeight="1" x14ac:dyDescent="0.25">
      <c r="A3656" s="87" t="s">
        <v>373</v>
      </c>
      <c r="B3656" s="87" t="s">
        <v>382</v>
      </c>
      <c r="C3656" s="87">
        <v>1981</v>
      </c>
      <c r="D3656" s="87" t="s">
        <v>15</v>
      </c>
      <c r="E3656" s="116">
        <v>0</v>
      </c>
      <c r="F3656" s="87" t="s">
        <v>768</v>
      </c>
      <c r="G3656" s="87" t="s">
        <v>967</v>
      </c>
      <c r="H3656" s="87" t="s">
        <v>768</v>
      </c>
      <c r="I3656" s="87">
        <v>66</v>
      </c>
    </row>
    <row r="3657" spans="1:9" ht="15" customHeight="1" x14ac:dyDescent="0.25">
      <c r="A3657" s="87" t="s">
        <v>373</v>
      </c>
      <c r="B3657" s="87" t="s">
        <v>382</v>
      </c>
      <c r="C3657" s="87">
        <v>1982</v>
      </c>
      <c r="D3657" s="87" t="s">
        <v>15</v>
      </c>
      <c r="E3657" s="116">
        <v>0</v>
      </c>
      <c r="F3657" s="87" t="s">
        <v>768</v>
      </c>
      <c r="G3657" s="87" t="s">
        <v>967</v>
      </c>
      <c r="H3657" s="87" t="s">
        <v>768</v>
      </c>
      <c r="I3657" s="87">
        <v>66</v>
      </c>
    </row>
    <row r="3658" spans="1:9" ht="15" customHeight="1" x14ac:dyDescent="0.25">
      <c r="A3658" s="87" t="s">
        <v>373</v>
      </c>
      <c r="B3658" s="87" t="s">
        <v>382</v>
      </c>
      <c r="C3658" s="87">
        <v>1983</v>
      </c>
      <c r="D3658" s="87" t="s">
        <v>15</v>
      </c>
      <c r="E3658" s="116">
        <v>0</v>
      </c>
      <c r="F3658" s="87" t="s">
        <v>768</v>
      </c>
      <c r="G3658" s="87" t="s">
        <v>967</v>
      </c>
      <c r="H3658" s="87" t="s">
        <v>768</v>
      </c>
      <c r="I3658" s="87">
        <v>66</v>
      </c>
    </row>
    <row r="3659" spans="1:9" ht="15" customHeight="1" x14ac:dyDescent="0.25">
      <c r="A3659" s="87" t="s">
        <v>373</v>
      </c>
      <c r="B3659" s="87" t="s">
        <v>382</v>
      </c>
      <c r="C3659" s="87">
        <v>1984</v>
      </c>
      <c r="D3659" s="87" t="s">
        <v>15</v>
      </c>
      <c r="E3659" s="116">
        <v>-1</v>
      </c>
      <c r="F3659" s="87" t="s">
        <v>768</v>
      </c>
      <c r="G3659" s="87" t="s">
        <v>967</v>
      </c>
      <c r="H3659" s="87" t="s">
        <v>768</v>
      </c>
      <c r="I3659" s="87">
        <v>66</v>
      </c>
    </row>
    <row r="3660" spans="1:9" ht="15" customHeight="1" x14ac:dyDescent="0.25">
      <c r="A3660" s="87" t="s">
        <v>373</v>
      </c>
      <c r="B3660" s="87" t="s">
        <v>382</v>
      </c>
      <c r="C3660" s="87">
        <v>1985</v>
      </c>
      <c r="D3660" s="87" t="s">
        <v>15</v>
      </c>
      <c r="E3660" s="116">
        <v>-1</v>
      </c>
      <c r="F3660" s="87" t="s">
        <v>768</v>
      </c>
      <c r="G3660" s="87" t="s">
        <v>967</v>
      </c>
      <c r="H3660" s="87" t="s">
        <v>768</v>
      </c>
      <c r="I3660" s="87">
        <v>66</v>
      </c>
    </row>
    <row r="3661" spans="1:9" ht="15" customHeight="1" x14ac:dyDescent="0.25">
      <c r="A3661" s="87" t="s">
        <v>373</v>
      </c>
      <c r="B3661" s="87" t="s">
        <v>382</v>
      </c>
      <c r="C3661" s="87">
        <v>1986</v>
      </c>
      <c r="D3661" s="87" t="s">
        <v>15</v>
      </c>
      <c r="E3661" s="116">
        <v>-1</v>
      </c>
      <c r="F3661" s="87" t="s">
        <v>768</v>
      </c>
      <c r="G3661" s="87" t="s">
        <v>967</v>
      </c>
      <c r="H3661" s="87" t="s">
        <v>768</v>
      </c>
      <c r="I3661" s="87">
        <v>66</v>
      </c>
    </row>
    <row r="3662" spans="1:9" ht="15" customHeight="1" x14ac:dyDescent="0.25">
      <c r="A3662" s="87" t="s">
        <v>373</v>
      </c>
      <c r="B3662" s="87" t="s">
        <v>382</v>
      </c>
      <c r="C3662" s="87">
        <v>1987</v>
      </c>
      <c r="D3662" s="87" t="s">
        <v>15</v>
      </c>
      <c r="E3662" s="116">
        <v>-1</v>
      </c>
      <c r="F3662" s="87" t="s">
        <v>768</v>
      </c>
      <c r="G3662" s="87" t="s">
        <v>967</v>
      </c>
      <c r="H3662" s="87" t="s">
        <v>768</v>
      </c>
      <c r="I3662" s="87">
        <v>66</v>
      </c>
    </row>
    <row r="3663" spans="1:9" ht="15" customHeight="1" x14ac:dyDescent="0.25">
      <c r="A3663" s="87" t="s">
        <v>373</v>
      </c>
      <c r="B3663" s="87" t="s">
        <v>382</v>
      </c>
      <c r="C3663" s="87">
        <v>1988</v>
      </c>
      <c r="D3663" s="87" t="s">
        <v>15</v>
      </c>
      <c r="E3663" s="116">
        <v>-1</v>
      </c>
      <c r="F3663" s="87" t="s">
        <v>768</v>
      </c>
      <c r="G3663" s="87" t="s">
        <v>967</v>
      </c>
      <c r="H3663" s="87" t="s">
        <v>768</v>
      </c>
      <c r="I3663" s="87">
        <v>66</v>
      </c>
    </row>
    <row r="3664" spans="1:9" ht="15" customHeight="1" x14ac:dyDescent="0.25">
      <c r="A3664" s="87" t="s">
        <v>373</v>
      </c>
      <c r="B3664" s="87" t="s">
        <v>382</v>
      </c>
      <c r="C3664" s="87">
        <v>1989</v>
      </c>
      <c r="D3664" s="87" t="s">
        <v>15</v>
      </c>
      <c r="E3664" s="116">
        <v>-1</v>
      </c>
      <c r="F3664" s="87" t="s">
        <v>768</v>
      </c>
      <c r="G3664" s="87" t="s">
        <v>967</v>
      </c>
      <c r="H3664" s="87" t="s">
        <v>768</v>
      </c>
      <c r="I3664" s="87">
        <v>66</v>
      </c>
    </row>
    <row r="3665" spans="1:9" ht="15" customHeight="1" x14ac:dyDescent="0.25">
      <c r="A3665" s="87" t="s">
        <v>373</v>
      </c>
      <c r="B3665" s="87" t="s">
        <v>382</v>
      </c>
      <c r="C3665" s="87">
        <v>1990</v>
      </c>
      <c r="D3665" s="87" t="s">
        <v>15</v>
      </c>
      <c r="E3665" s="116">
        <v>-1</v>
      </c>
      <c r="F3665" s="87" t="s">
        <v>768</v>
      </c>
      <c r="G3665" s="87" t="s">
        <v>967</v>
      </c>
      <c r="H3665" s="87" t="s">
        <v>768</v>
      </c>
      <c r="I3665" s="87">
        <v>66</v>
      </c>
    </row>
    <row r="3666" spans="1:9" ht="15" customHeight="1" x14ac:dyDescent="0.25">
      <c r="A3666" s="87" t="s">
        <v>373</v>
      </c>
      <c r="B3666" s="87" t="s">
        <v>382</v>
      </c>
      <c r="C3666" s="87">
        <v>1991</v>
      </c>
      <c r="D3666" s="87" t="s">
        <v>15</v>
      </c>
      <c r="E3666" s="116">
        <v>-1</v>
      </c>
      <c r="F3666" s="87" t="s">
        <v>768</v>
      </c>
      <c r="G3666" s="87" t="s">
        <v>967</v>
      </c>
      <c r="H3666" s="87" t="s">
        <v>768</v>
      </c>
      <c r="I3666" s="87">
        <v>66</v>
      </c>
    </row>
    <row r="3667" spans="1:9" ht="15" customHeight="1" x14ac:dyDescent="0.25">
      <c r="A3667" s="87" t="s">
        <v>373</v>
      </c>
      <c r="B3667" s="87" t="s">
        <v>382</v>
      </c>
      <c r="C3667" s="87">
        <v>1992</v>
      </c>
      <c r="D3667" s="87" t="s">
        <v>15</v>
      </c>
      <c r="E3667" s="116">
        <v>-1</v>
      </c>
      <c r="F3667" s="87" t="s">
        <v>768</v>
      </c>
      <c r="G3667" s="87" t="s">
        <v>967</v>
      </c>
      <c r="H3667" s="87" t="s">
        <v>768</v>
      </c>
      <c r="I3667" s="87">
        <v>66</v>
      </c>
    </row>
    <row r="3668" spans="1:9" ht="15" customHeight="1" x14ac:dyDescent="0.25">
      <c r="A3668" s="87" t="s">
        <v>373</v>
      </c>
      <c r="B3668" s="87" t="s">
        <v>382</v>
      </c>
      <c r="C3668" s="87">
        <v>1993</v>
      </c>
      <c r="D3668" s="87" t="s">
        <v>15</v>
      </c>
      <c r="E3668" s="116">
        <v>-1</v>
      </c>
      <c r="F3668" s="87" t="s">
        <v>768</v>
      </c>
      <c r="G3668" s="87" t="s">
        <v>967</v>
      </c>
      <c r="H3668" s="87" t="s">
        <v>768</v>
      </c>
      <c r="I3668" s="87">
        <v>66</v>
      </c>
    </row>
    <row r="3669" spans="1:9" ht="15" customHeight="1" x14ac:dyDescent="0.25">
      <c r="A3669" s="87" t="s">
        <v>373</v>
      </c>
      <c r="B3669" s="87" t="s">
        <v>382</v>
      </c>
      <c r="C3669" s="87">
        <v>1994</v>
      </c>
      <c r="D3669" s="87" t="s">
        <v>15</v>
      </c>
      <c r="E3669" s="116">
        <v>-1</v>
      </c>
      <c r="F3669" s="87" t="s">
        <v>768</v>
      </c>
      <c r="G3669" s="87" t="s">
        <v>967</v>
      </c>
      <c r="H3669" s="87" t="s">
        <v>768</v>
      </c>
      <c r="I3669" s="87">
        <v>66</v>
      </c>
    </row>
    <row r="3670" spans="1:9" ht="15" customHeight="1" x14ac:dyDescent="0.25">
      <c r="A3670" s="87" t="s">
        <v>373</v>
      </c>
      <c r="B3670" s="87" t="s">
        <v>382</v>
      </c>
      <c r="C3670" s="87">
        <v>1995</v>
      </c>
      <c r="D3670" s="87" t="s">
        <v>15</v>
      </c>
      <c r="E3670" s="116">
        <v>-1</v>
      </c>
      <c r="F3670" s="87" t="s">
        <v>768</v>
      </c>
      <c r="G3670" s="87" t="s">
        <v>967</v>
      </c>
      <c r="H3670" s="87" t="s">
        <v>768</v>
      </c>
      <c r="I3670" s="87">
        <v>66</v>
      </c>
    </row>
    <row r="3671" spans="1:9" ht="15" customHeight="1" x14ac:dyDescent="0.25">
      <c r="A3671" s="87" t="s">
        <v>373</v>
      </c>
      <c r="B3671" s="87" t="s">
        <v>382</v>
      </c>
      <c r="C3671" s="87">
        <v>1996</v>
      </c>
      <c r="D3671" s="87" t="s">
        <v>15</v>
      </c>
      <c r="E3671" s="116">
        <v>-1</v>
      </c>
      <c r="F3671" s="87" t="s">
        <v>768</v>
      </c>
      <c r="G3671" s="87" t="s">
        <v>967</v>
      </c>
      <c r="H3671" s="87" t="s">
        <v>768</v>
      </c>
      <c r="I3671" s="87">
        <v>66</v>
      </c>
    </row>
    <row r="3672" spans="1:9" ht="15" customHeight="1" x14ac:dyDescent="0.25">
      <c r="A3672" s="87" t="s">
        <v>373</v>
      </c>
      <c r="B3672" s="87" t="s">
        <v>382</v>
      </c>
      <c r="C3672" s="87">
        <v>1997</v>
      </c>
      <c r="D3672" s="87" t="s">
        <v>15</v>
      </c>
      <c r="E3672" s="116">
        <v>-1</v>
      </c>
      <c r="F3672" s="87" t="s">
        <v>768</v>
      </c>
      <c r="G3672" s="87" t="s">
        <v>967</v>
      </c>
      <c r="H3672" s="87" t="s">
        <v>768</v>
      </c>
      <c r="I3672" s="87">
        <v>66</v>
      </c>
    </row>
    <row r="3673" spans="1:9" ht="15" customHeight="1" x14ac:dyDescent="0.25">
      <c r="A3673" s="87" t="s">
        <v>373</v>
      </c>
      <c r="B3673" s="87" t="s">
        <v>382</v>
      </c>
      <c r="C3673" s="87">
        <v>1998</v>
      </c>
      <c r="D3673" s="87" t="s">
        <v>15</v>
      </c>
      <c r="E3673" s="116">
        <v>-1</v>
      </c>
      <c r="F3673" s="87" t="s">
        <v>768</v>
      </c>
      <c r="G3673" s="87" t="s">
        <v>967</v>
      </c>
      <c r="H3673" s="87" t="s">
        <v>768</v>
      </c>
      <c r="I3673" s="87">
        <v>66</v>
      </c>
    </row>
    <row r="3674" spans="1:9" ht="15" customHeight="1" x14ac:dyDescent="0.25">
      <c r="A3674" s="87" t="s">
        <v>373</v>
      </c>
      <c r="B3674" s="87" t="s">
        <v>382</v>
      </c>
      <c r="C3674" s="87">
        <v>1999</v>
      </c>
      <c r="D3674" s="87" t="s">
        <v>15</v>
      </c>
      <c r="E3674" s="116">
        <v>-1</v>
      </c>
      <c r="F3674" s="87" t="s">
        <v>768</v>
      </c>
      <c r="G3674" s="87" t="s">
        <v>967</v>
      </c>
      <c r="H3674" s="87" t="s">
        <v>768</v>
      </c>
      <c r="I3674" s="87">
        <v>66</v>
      </c>
    </row>
    <row r="3675" spans="1:9" ht="15" customHeight="1" x14ac:dyDescent="0.25">
      <c r="A3675" s="87" t="s">
        <v>373</v>
      </c>
      <c r="B3675" s="87" t="s">
        <v>382</v>
      </c>
      <c r="C3675" s="87">
        <v>2000</v>
      </c>
      <c r="D3675" s="87" t="s">
        <v>15</v>
      </c>
      <c r="E3675" s="116">
        <v>-1</v>
      </c>
      <c r="F3675" s="87" t="s">
        <v>768</v>
      </c>
      <c r="G3675" s="87" t="s">
        <v>967</v>
      </c>
      <c r="H3675" s="87" t="s">
        <v>768</v>
      </c>
      <c r="I3675" s="87">
        <v>66</v>
      </c>
    </row>
    <row r="3676" spans="1:9" ht="15" customHeight="1" x14ac:dyDescent="0.25">
      <c r="A3676" s="87" t="s">
        <v>373</v>
      </c>
      <c r="B3676" s="87" t="s">
        <v>382</v>
      </c>
      <c r="C3676" s="87">
        <v>2001</v>
      </c>
      <c r="D3676" s="87" t="s">
        <v>15</v>
      </c>
      <c r="E3676" s="116">
        <v>-1</v>
      </c>
      <c r="F3676" s="87" t="s">
        <v>768</v>
      </c>
      <c r="G3676" s="87" t="s">
        <v>967</v>
      </c>
      <c r="H3676" s="87" t="s">
        <v>768</v>
      </c>
      <c r="I3676" s="87">
        <v>66</v>
      </c>
    </row>
    <row r="3677" spans="1:9" ht="15" customHeight="1" x14ac:dyDescent="0.25">
      <c r="A3677" s="87" t="s">
        <v>373</v>
      </c>
      <c r="B3677" s="87" t="s">
        <v>382</v>
      </c>
      <c r="C3677" s="87">
        <v>2002</v>
      </c>
      <c r="D3677" s="87" t="s">
        <v>15</v>
      </c>
      <c r="E3677" s="116">
        <v>-1</v>
      </c>
      <c r="F3677" s="87" t="s">
        <v>768</v>
      </c>
      <c r="G3677" s="87" t="s">
        <v>967</v>
      </c>
      <c r="H3677" s="87" t="s">
        <v>768</v>
      </c>
      <c r="I3677" s="87">
        <v>66</v>
      </c>
    </row>
    <row r="3678" spans="1:9" ht="15" customHeight="1" x14ac:dyDescent="0.25">
      <c r="A3678" s="87" t="s">
        <v>373</v>
      </c>
      <c r="B3678" s="87" t="s">
        <v>382</v>
      </c>
      <c r="C3678" s="87">
        <v>2003</v>
      </c>
      <c r="D3678" s="87" t="s">
        <v>15</v>
      </c>
      <c r="E3678" s="116">
        <v>-1</v>
      </c>
      <c r="F3678" s="87" t="s">
        <v>768</v>
      </c>
      <c r="G3678" s="87" t="s">
        <v>967</v>
      </c>
      <c r="H3678" s="87" t="s">
        <v>768</v>
      </c>
      <c r="I3678" s="87">
        <v>66</v>
      </c>
    </row>
    <row r="3679" spans="1:9" ht="15" customHeight="1" x14ac:dyDescent="0.25">
      <c r="A3679" s="87" t="s">
        <v>373</v>
      </c>
      <c r="B3679" s="87" t="s">
        <v>382</v>
      </c>
      <c r="C3679" s="87">
        <v>2004</v>
      </c>
      <c r="D3679" s="87" t="s">
        <v>15</v>
      </c>
      <c r="E3679" s="116">
        <v>-1</v>
      </c>
      <c r="F3679" s="87" t="s">
        <v>768</v>
      </c>
      <c r="G3679" s="87" t="s">
        <v>967</v>
      </c>
      <c r="H3679" s="87" t="s">
        <v>768</v>
      </c>
      <c r="I3679" s="87">
        <v>66</v>
      </c>
    </row>
    <row r="3680" spans="1:9" ht="15" customHeight="1" x14ac:dyDescent="0.25">
      <c r="A3680" s="87" t="s">
        <v>373</v>
      </c>
      <c r="B3680" s="87" t="s">
        <v>382</v>
      </c>
      <c r="C3680" s="87">
        <v>2005</v>
      </c>
      <c r="D3680" s="87" t="s">
        <v>15</v>
      </c>
      <c r="E3680" s="116">
        <v>-1</v>
      </c>
      <c r="F3680" s="87" t="s">
        <v>768</v>
      </c>
      <c r="G3680" s="87" t="s">
        <v>967</v>
      </c>
      <c r="H3680" s="87" t="s">
        <v>768</v>
      </c>
      <c r="I3680" s="87">
        <v>66</v>
      </c>
    </row>
    <row r="3681" spans="1:9" ht="15" customHeight="1" x14ac:dyDescent="0.25">
      <c r="A3681" s="87" t="s">
        <v>373</v>
      </c>
      <c r="B3681" s="87" t="s">
        <v>382</v>
      </c>
      <c r="C3681" s="87">
        <v>2006</v>
      </c>
      <c r="D3681" s="87" t="s">
        <v>15</v>
      </c>
      <c r="E3681" s="116">
        <v>-1</v>
      </c>
      <c r="F3681" s="87" t="s">
        <v>768</v>
      </c>
      <c r="G3681" s="87" t="s">
        <v>967</v>
      </c>
      <c r="H3681" s="87" t="s">
        <v>768</v>
      </c>
      <c r="I3681" s="87">
        <v>66</v>
      </c>
    </row>
    <row r="3682" spans="1:9" ht="15" customHeight="1" x14ac:dyDescent="0.25">
      <c r="A3682" s="87" t="s">
        <v>373</v>
      </c>
      <c r="B3682" s="87" t="s">
        <v>382</v>
      </c>
      <c r="C3682" s="87">
        <v>2007</v>
      </c>
      <c r="D3682" s="87" t="s">
        <v>15</v>
      </c>
      <c r="E3682" s="116">
        <v>-1</v>
      </c>
      <c r="F3682" s="87" t="s">
        <v>768</v>
      </c>
      <c r="G3682" s="87" t="s">
        <v>967</v>
      </c>
      <c r="H3682" s="87" t="s">
        <v>768</v>
      </c>
      <c r="I3682" s="87">
        <v>66</v>
      </c>
    </row>
    <row r="3683" spans="1:9" ht="15" customHeight="1" x14ac:dyDescent="0.25">
      <c r="A3683" s="87" t="s">
        <v>373</v>
      </c>
      <c r="B3683" s="87" t="s">
        <v>382</v>
      </c>
      <c r="C3683" s="87">
        <v>2008</v>
      </c>
      <c r="D3683" s="87" t="s">
        <v>15</v>
      </c>
      <c r="E3683" s="116">
        <v>6</v>
      </c>
      <c r="F3683" s="87" t="s">
        <v>967</v>
      </c>
      <c r="G3683" s="87" t="s">
        <v>272</v>
      </c>
      <c r="H3683" s="87" t="s">
        <v>967</v>
      </c>
      <c r="I3683" s="87">
        <v>66</v>
      </c>
    </row>
    <row r="3684" spans="1:9" ht="15" customHeight="1" x14ac:dyDescent="0.25">
      <c r="A3684" s="87" t="s">
        <v>373</v>
      </c>
      <c r="B3684" s="87" t="s">
        <v>382</v>
      </c>
      <c r="C3684" s="87">
        <v>2009</v>
      </c>
      <c r="D3684" s="87" t="s">
        <v>15</v>
      </c>
      <c r="E3684" s="116">
        <v>-1</v>
      </c>
      <c r="F3684" s="87" t="s">
        <v>967</v>
      </c>
      <c r="G3684" s="87" t="s">
        <v>967</v>
      </c>
      <c r="H3684" s="87" t="s">
        <v>967</v>
      </c>
      <c r="I3684" s="87">
        <v>66</v>
      </c>
    </row>
    <row r="3685" spans="1:9" ht="15" customHeight="1" x14ac:dyDescent="0.25">
      <c r="A3685" s="87" t="s">
        <v>373</v>
      </c>
      <c r="B3685" s="87" t="s">
        <v>382</v>
      </c>
      <c r="C3685" s="87">
        <v>2010</v>
      </c>
      <c r="D3685" s="87" t="s">
        <v>15</v>
      </c>
      <c r="E3685" s="116">
        <v>23</v>
      </c>
      <c r="F3685" s="87" t="s">
        <v>967</v>
      </c>
      <c r="G3685" s="87" t="s">
        <v>289</v>
      </c>
      <c r="H3685" s="87" t="s">
        <v>779</v>
      </c>
      <c r="I3685" s="87">
        <v>66</v>
      </c>
    </row>
    <row r="3686" spans="1:9" ht="15" customHeight="1" x14ac:dyDescent="0.25">
      <c r="A3686" s="87" t="s">
        <v>373</v>
      </c>
      <c r="B3686" s="87" t="s">
        <v>382</v>
      </c>
      <c r="C3686" s="87">
        <v>2011</v>
      </c>
      <c r="D3686" s="87" t="s">
        <v>15</v>
      </c>
      <c r="E3686" s="116">
        <v>5</v>
      </c>
      <c r="F3686" s="87" t="s">
        <v>967</v>
      </c>
      <c r="G3686" s="87" t="s">
        <v>274</v>
      </c>
      <c r="H3686" s="87" t="s">
        <v>967</v>
      </c>
      <c r="I3686" s="87">
        <v>66</v>
      </c>
    </row>
    <row r="3687" spans="1:9" ht="15" customHeight="1" x14ac:dyDescent="0.25">
      <c r="A3687" s="87" t="s">
        <v>373</v>
      </c>
      <c r="B3687" s="87" t="s">
        <v>382</v>
      </c>
      <c r="C3687" s="87">
        <v>2012</v>
      </c>
      <c r="D3687" s="87" t="s">
        <v>15</v>
      </c>
      <c r="E3687" s="116">
        <v>0</v>
      </c>
      <c r="F3687" s="87" t="s">
        <v>967</v>
      </c>
      <c r="G3687" s="87" t="s">
        <v>274</v>
      </c>
      <c r="H3687" s="87" t="s">
        <v>967</v>
      </c>
      <c r="I3687" s="87">
        <v>66</v>
      </c>
    </row>
    <row r="3688" spans="1:9" ht="15" customHeight="1" x14ac:dyDescent="0.25">
      <c r="A3688" s="87" t="s">
        <v>373</v>
      </c>
      <c r="B3688" s="87" t="s">
        <v>382</v>
      </c>
      <c r="C3688" s="87">
        <v>2013</v>
      </c>
      <c r="D3688" s="87" t="s">
        <v>15</v>
      </c>
      <c r="E3688" s="116">
        <v>0</v>
      </c>
      <c r="F3688" s="87" t="s">
        <v>967</v>
      </c>
      <c r="G3688" s="87" t="s">
        <v>274</v>
      </c>
      <c r="H3688" s="87" t="s">
        <v>967</v>
      </c>
      <c r="I3688" s="87">
        <v>66</v>
      </c>
    </row>
    <row r="3689" spans="1:9" ht="15" customHeight="1" x14ac:dyDescent="0.25">
      <c r="A3689" s="87" t="s">
        <v>373</v>
      </c>
      <c r="B3689" s="87" t="s">
        <v>382</v>
      </c>
      <c r="C3689" s="87">
        <v>2014</v>
      </c>
      <c r="D3689" s="87" t="s">
        <v>15</v>
      </c>
      <c r="E3689" s="116">
        <v>2</v>
      </c>
      <c r="F3689" s="87" t="s">
        <v>967</v>
      </c>
      <c r="G3689" s="87" t="s">
        <v>274</v>
      </c>
      <c r="H3689" s="87" t="s">
        <v>967</v>
      </c>
      <c r="I3689" s="87">
        <v>66</v>
      </c>
    </row>
    <row r="3690" spans="1:9" ht="15" customHeight="1" x14ac:dyDescent="0.25">
      <c r="A3690" s="87" t="s">
        <v>373</v>
      </c>
      <c r="B3690" s="87" t="s">
        <v>382</v>
      </c>
      <c r="C3690" s="87">
        <v>2015</v>
      </c>
      <c r="D3690" s="87" t="s">
        <v>15</v>
      </c>
      <c r="E3690" s="116">
        <v>0</v>
      </c>
      <c r="F3690" s="87" t="s">
        <v>967</v>
      </c>
      <c r="G3690" s="87" t="s">
        <v>272</v>
      </c>
      <c r="H3690" s="87" t="s">
        <v>780</v>
      </c>
      <c r="I3690" s="87">
        <v>66</v>
      </c>
    </row>
    <row r="3691" spans="1:9" ht="15" customHeight="1" x14ac:dyDescent="0.25">
      <c r="A3691" s="87" t="s">
        <v>373</v>
      </c>
      <c r="B3691" s="87" t="s">
        <v>382</v>
      </c>
      <c r="C3691" s="87">
        <v>2016</v>
      </c>
      <c r="D3691" s="87" t="s">
        <v>15</v>
      </c>
      <c r="E3691" s="116">
        <v>0</v>
      </c>
      <c r="F3691" s="87" t="s">
        <v>967</v>
      </c>
      <c r="G3691" s="87" t="s">
        <v>272</v>
      </c>
      <c r="H3691" s="87" t="s">
        <v>967</v>
      </c>
      <c r="I3691" s="87">
        <v>66</v>
      </c>
    </row>
    <row r="3692" spans="1:9" ht="15" customHeight="1" x14ac:dyDescent="0.25">
      <c r="A3692" s="87" t="s">
        <v>373</v>
      </c>
      <c r="B3692" s="87" t="s">
        <v>382</v>
      </c>
      <c r="C3692" s="87">
        <v>2017</v>
      </c>
      <c r="D3692" s="87" t="s">
        <v>15</v>
      </c>
      <c r="E3692" s="116">
        <v>0</v>
      </c>
      <c r="F3692" s="87" t="s">
        <v>967</v>
      </c>
      <c r="G3692" s="87" t="s">
        <v>274</v>
      </c>
      <c r="H3692" s="87" t="s">
        <v>967</v>
      </c>
      <c r="I3692" s="87">
        <v>66</v>
      </c>
    </row>
    <row r="3693" spans="1:9" ht="15" customHeight="1" x14ac:dyDescent="0.25">
      <c r="A3693" s="87" t="s">
        <v>373</v>
      </c>
      <c r="B3693" s="87" t="s">
        <v>382</v>
      </c>
      <c r="C3693" s="87">
        <v>2018</v>
      </c>
      <c r="D3693" s="87" t="s">
        <v>15</v>
      </c>
      <c r="E3693" s="116">
        <v>0</v>
      </c>
      <c r="F3693" s="87" t="s">
        <v>967</v>
      </c>
      <c r="G3693" s="87" t="s">
        <v>274</v>
      </c>
      <c r="H3693" s="87" t="s">
        <v>967</v>
      </c>
      <c r="I3693" s="87">
        <v>66</v>
      </c>
    </row>
    <row r="3694" spans="1:9" ht="15" customHeight="1" x14ac:dyDescent="0.25">
      <c r="A3694" s="87" t="s">
        <v>373</v>
      </c>
      <c r="B3694" s="87" t="s">
        <v>382</v>
      </c>
      <c r="C3694" s="87">
        <v>2019</v>
      </c>
      <c r="D3694" s="87" t="s">
        <v>15</v>
      </c>
      <c r="E3694" s="116">
        <v>2</v>
      </c>
      <c r="F3694" s="87" t="s">
        <v>967</v>
      </c>
      <c r="G3694" s="87" t="s">
        <v>272</v>
      </c>
      <c r="H3694" s="87" t="s">
        <v>967</v>
      </c>
      <c r="I3694" s="87">
        <v>66</v>
      </c>
    </row>
    <row r="3695" spans="1:9" ht="15" customHeight="1" x14ac:dyDescent="0.25">
      <c r="A3695" s="87" t="s">
        <v>373</v>
      </c>
      <c r="B3695" s="87" t="s">
        <v>382</v>
      </c>
      <c r="C3695" s="87">
        <v>2020</v>
      </c>
      <c r="D3695" s="87" t="s">
        <v>15</v>
      </c>
      <c r="E3695" s="116">
        <v>-1</v>
      </c>
      <c r="F3695" s="87" t="s">
        <v>967</v>
      </c>
      <c r="G3695" s="87" t="s">
        <v>967</v>
      </c>
      <c r="H3695" s="87" t="s">
        <v>967</v>
      </c>
      <c r="I3695" s="87">
        <v>66</v>
      </c>
    </row>
    <row r="3696" spans="1:9" ht="15" customHeight="1" x14ac:dyDescent="0.25">
      <c r="A3696" s="87" t="s">
        <v>373</v>
      </c>
      <c r="B3696" s="87" t="s">
        <v>382</v>
      </c>
      <c r="C3696" s="87">
        <v>2021</v>
      </c>
      <c r="D3696" s="87" t="s">
        <v>15</v>
      </c>
      <c r="E3696" s="116">
        <v>5</v>
      </c>
      <c r="F3696" s="87" t="s">
        <v>1064</v>
      </c>
      <c r="G3696" s="87" t="s">
        <v>277</v>
      </c>
      <c r="H3696" s="87" t="s">
        <v>967</v>
      </c>
      <c r="I3696" s="87">
        <v>66</v>
      </c>
    </row>
    <row r="3697" spans="1:9" ht="15" customHeight="1" x14ac:dyDescent="0.25">
      <c r="A3697" s="87" t="s">
        <v>373</v>
      </c>
      <c r="B3697" s="87" t="s">
        <v>382</v>
      </c>
      <c r="C3697" s="87">
        <v>2022</v>
      </c>
      <c r="D3697" s="87" t="s">
        <v>15</v>
      </c>
      <c r="E3697" s="116">
        <v>0</v>
      </c>
      <c r="F3697" s="87" t="s">
        <v>967</v>
      </c>
      <c r="G3697" s="87" t="s">
        <v>274</v>
      </c>
      <c r="H3697" s="87" t="s">
        <v>967</v>
      </c>
      <c r="I3697" s="87">
        <v>66</v>
      </c>
    </row>
    <row r="3698" spans="1:9" ht="15" customHeight="1" x14ac:dyDescent="0.25">
      <c r="A3698" s="87" t="s">
        <v>373</v>
      </c>
      <c r="B3698" s="87" t="s">
        <v>383</v>
      </c>
      <c r="C3698" s="87">
        <v>1975</v>
      </c>
      <c r="D3698" s="87" t="s">
        <v>15</v>
      </c>
      <c r="E3698" s="116">
        <v>-1</v>
      </c>
      <c r="F3698" s="87" t="s">
        <v>768</v>
      </c>
      <c r="G3698" s="87" t="s">
        <v>967</v>
      </c>
      <c r="H3698" s="87" t="s">
        <v>768</v>
      </c>
      <c r="I3698" s="87">
        <v>67</v>
      </c>
    </row>
    <row r="3699" spans="1:9" ht="15" customHeight="1" x14ac:dyDescent="0.25">
      <c r="A3699" s="87" t="s">
        <v>373</v>
      </c>
      <c r="B3699" s="87" t="s">
        <v>383</v>
      </c>
      <c r="C3699" s="87">
        <v>1976</v>
      </c>
      <c r="D3699" s="87" t="s">
        <v>15</v>
      </c>
      <c r="E3699" s="116">
        <v>-1</v>
      </c>
      <c r="F3699" s="87" t="s">
        <v>768</v>
      </c>
      <c r="G3699" s="87" t="s">
        <v>967</v>
      </c>
      <c r="H3699" s="87" t="s">
        <v>768</v>
      </c>
      <c r="I3699" s="87">
        <v>67</v>
      </c>
    </row>
    <row r="3700" spans="1:9" ht="15" customHeight="1" x14ac:dyDescent="0.25">
      <c r="A3700" s="87" t="s">
        <v>373</v>
      </c>
      <c r="B3700" s="87" t="s">
        <v>383</v>
      </c>
      <c r="C3700" s="87">
        <v>1977</v>
      </c>
      <c r="D3700" s="87" t="s">
        <v>15</v>
      </c>
      <c r="E3700" s="116">
        <v>25</v>
      </c>
      <c r="F3700" s="87" t="s">
        <v>768</v>
      </c>
      <c r="G3700" s="87" t="s">
        <v>967</v>
      </c>
      <c r="H3700" s="87" t="s">
        <v>768</v>
      </c>
      <c r="I3700" s="87">
        <v>67</v>
      </c>
    </row>
    <row r="3701" spans="1:9" ht="15" customHeight="1" x14ac:dyDescent="0.25">
      <c r="A3701" s="87" t="s">
        <v>373</v>
      </c>
      <c r="B3701" s="87" t="s">
        <v>383</v>
      </c>
      <c r="C3701" s="87">
        <v>1978</v>
      </c>
      <c r="D3701" s="87" t="s">
        <v>15</v>
      </c>
      <c r="E3701" s="116">
        <v>0</v>
      </c>
      <c r="F3701" s="87" t="s">
        <v>768</v>
      </c>
      <c r="G3701" s="87" t="s">
        <v>967</v>
      </c>
      <c r="H3701" s="87" t="s">
        <v>768</v>
      </c>
      <c r="I3701" s="87">
        <v>67</v>
      </c>
    </row>
    <row r="3702" spans="1:9" ht="15" customHeight="1" x14ac:dyDescent="0.25">
      <c r="A3702" s="87" t="s">
        <v>373</v>
      </c>
      <c r="B3702" s="87" t="s">
        <v>383</v>
      </c>
      <c r="C3702" s="87">
        <v>1979</v>
      </c>
      <c r="D3702" s="87" t="s">
        <v>15</v>
      </c>
      <c r="E3702" s="116">
        <v>10</v>
      </c>
      <c r="F3702" s="87" t="s">
        <v>768</v>
      </c>
      <c r="G3702" s="87" t="s">
        <v>967</v>
      </c>
      <c r="H3702" s="87" t="s">
        <v>768</v>
      </c>
      <c r="I3702" s="87">
        <v>67</v>
      </c>
    </row>
    <row r="3703" spans="1:9" ht="15" customHeight="1" x14ac:dyDescent="0.25">
      <c r="A3703" s="87" t="s">
        <v>373</v>
      </c>
      <c r="B3703" s="87" t="s">
        <v>383</v>
      </c>
      <c r="C3703" s="87">
        <v>1980</v>
      </c>
      <c r="D3703" s="87" t="s">
        <v>15</v>
      </c>
      <c r="E3703" s="116">
        <v>-1</v>
      </c>
      <c r="F3703" s="87" t="s">
        <v>768</v>
      </c>
      <c r="G3703" s="87" t="s">
        <v>967</v>
      </c>
      <c r="H3703" s="87" t="s">
        <v>768</v>
      </c>
      <c r="I3703" s="87">
        <v>67</v>
      </c>
    </row>
    <row r="3704" spans="1:9" ht="15" customHeight="1" x14ac:dyDescent="0.25">
      <c r="A3704" s="87" t="s">
        <v>373</v>
      </c>
      <c r="B3704" s="87" t="s">
        <v>383</v>
      </c>
      <c r="C3704" s="87">
        <v>1981</v>
      </c>
      <c r="D3704" s="87" t="s">
        <v>15</v>
      </c>
      <c r="E3704" s="116">
        <v>0</v>
      </c>
      <c r="F3704" s="87" t="s">
        <v>768</v>
      </c>
      <c r="G3704" s="87" t="s">
        <v>967</v>
      </c>
      <c r="H3704" s="87" t="s">
        <v>768</v>
      </c>
      <c r="I3704" s="87">
        <v>67</v>
      </c>
    </row>
    <row r="3705" spans="1:9" ht="15" customHeight="1" x14ac:dyDescent="0.25">
      <c r="A3705" s="87" t="s">
        <v>373</v>
      </c>
      <c r="B3705" s="87" t="s">
        <v>383</v>
      </c>
      <c r="C3705" s="87">
        <v>1982</v>
      </c>
      <c r="D3705" s="87" t="s">
        <v>15</v>
      </c>
      <c r="E3705" s="116">
        <v>20</v>
      </c>
      <c r="F3705" s="87" t="s">
        <v>768</v>
      </c>
      <c r="G3705" s="87" t="s">
        <v>967</v>
      </c>
      <c r="H3705" s="87" t="s">
        <v>768</v>
      </c>
      <c r="I3705" s="87">
        <v>67</v>
      </c>
    </row>
    <row r="3706" spans="1:9" ht="15" customHeight="1" x14ac:dyDescent="0.25">
      <c r="A3706" s="87" t="s">
        <v>373</v>
      </c>
      <c r="B3706" s="87" t="s">
        <v>383</v>
      </c>
      <c r="C3706" s="87">
        <v>1983</v>
      </c>
      <c r="D3706" s="87" t="s">
        <v>15</v>
      </c>
      <c r="E3706" s="116">
        <v>0</v>
      </c>
      <c r="F3706" s="87" t="s">
        <v>768</v>
      </c>
      <c r="G3706" s="87" t="s">
        <v>967</v>
      </c>
      <c r="H3706" s="87" t="s">
        <v>768</v>
      </c>
      <c r="I3706" s="87">
        <v>67</v>
      </c>
    </row>
    <row r="3707" spans="1:9" ht="15" customHeight="1" x14ac:dyDescent="0.25">
      <c r="A3707" s="87" t="s">
        <v>373</v>
      </c>
      <c r="B3707" s="87" t="s">
        <v>383</v>
      </c>
      <c r="C3707" s="87">
        <v>1984</v>
      </c>
      <c r="D3707" s="87" t="s">
        <v>15</v>
      </c>
      <c r="E3707" s="116">
        <v>15</v>
      </c>
      <c r="F3707" s="87" t="s">
        <v>768</v>
      </c>
      <c r="G3707" s="87" t="s">
        <v>967</v>
      </c>
      <c r="H3707" s="87" t="s">
        <v>768</v>
      </c>
      <c r="I3707" s="87">
        <v>67</v>
      </c>
    </row>
    <row r="3708" spans="1:9" ht="15" customHeight="1" x14ac:dyDescent="0.25">
      <c r="A3708" s="87" t="s">
        <v>373</v>
      </c>
      <c r="B3708" s="87" t="s">
        <v>383</v>
      </c>
      <c r="C3708" s="87">
        <v>1985</v>
      </c>
      <c r="D3708" s="87" t="s">
        <v>15</v>
      </c>
      <c r="E3708" s="116">
        <v>-1</v>
      </c>
      <c r="F3708" s="87" t="s">
        <v>768</v>
      </c>
      <c r="G3708" s="87" t="s">
        <v>967</v>
      </c>
      <c r="H3708" s="87" t="s">
        <v>768</v>
      </c>
      <c r="I3708" s="87">
        <v>67</v>
      </c>
    </row>
    <row r="3709" spans="1:9" ht="15" customHeight="1" x14ac:dyDescent="0.25">
      <c r="A3709" s="87" t="s">
        <v>373</v>
      </c>
      <c r="B3709" s="87" t="s">
        <v>383</v>
      </c>
      <c r="C3709" s="87">
        <v>1986</v>
      </c>
      <c r="D3709" s="87" t="s">
        <v>15</v>
      </c>
      <c r="E3709" s="116">
        <v>-1</v>
      </c>
      <c r="F3709" s="87" t="s">
        <v>768</v>
      </c>
      <c r="G3709" s="87" t="s">
        <v>967</v>
      </c>
      <c r="H3709" s="87" t="s">
        <v>768</v>
      </c>
      <c r="I3709" s="87">
        <v>67</v>
      </c>
    </row>
    <row r="3710" spans="1:9" ht="15" customHeight="1" x14ac:dyDescent="0.25">
      <c r="A3710" s="87" t="s">
        <v>373</v>
      </c>
      <c r="B3710" s="87" t="s">
        <v>383</v>
      </c>
      <c r="C3710" s="87">
        <v>1987</v>
      </c>
      <c r="D3710" s="87" t="s">
        <v>15</v>
      </c>
      <c r="E3710" s="116">
        <v>-1</v>
      </c>
      <c r="F3710" s="87" t="s">
        <v>768</v>
      </c>
      <c r="G3710" s="87" t="s">
        <v>967</v>
      </c>
      <c r="H3710" s="87" t="s">
        <v>768</v>
      </c>
      <c r="I3710" s="87">
        <v>67</v>
      </c>
    </row>
    <row r="3711" spans="1:9" ht="15" customHeight="1" x14ac:dyDescent="0.25">
      <c r="A3711" s="87" t="s">
        <v>373</v>
      </c>
      <c r="B3711" s="87" t="s">
        <v>383</v>
      </c>
      <c r="C3711" s="87">
        <v>1988</v>
      </c>
      <c r="D3711" s="87" t="s">
        <v>15</v>
      </c>
      <c r="E3711" s="116">
        <v>-1</v>
      </c>
      <c r="F3711" s="87" t="s">
        <v>768</v>
      </c>
      <c r="G3711" s="87" t="s">
        <v>967</v>
      </c>
      <c r="H3711" s="87" t="s">
        <v>768</v>
      </c>
      <c r="I3711" s="87">
        <v>67</v>
      </c>
    </row>
    <row r="3712" spans="1:9" ht="15" customHeight="1" x14ac:dyDescent="0.25">
      <c r="A3712" s="87" t="s">
        <v>373</v>
      </c>
      <c r="B3712" s="87" t="s">
        <v>383</v>
      </c>
      <c r="C3712" s="87">
        <v>1989</v>
      </c>
      <c r="D3712" s="87" t="s">
        <v>15</v>
      </c>
      <c r="E3712" s="116">
        <v>-1</v>
      </c>
      <c r="F3712" s="87" t="s">
        <v>768</v>
      </c>
      <c r="G3712" s="87" t="s">
        <v>967</v>
      </c>
      <c r="H3712" s="87" t="s">
        <v>768</v>
      </c>
      <c r="I3712" s="87">
        <v>67</v>
      </c>
    </row>
    <row r="3713" spans="1:9" ht="15" customHeight="1" x14ac:dyDescent="0.25">
      <c r="A3713" s="87" t="s">
        <v>373</v>
      </c>
      <c r="B3713" s="87" t="s">
        <v>383</v>
      </c>
      <c r="C3713" s="87">
        <v>1990</v>
      </c>
      <c r="D3713" s="87" t="s">
        <v>15</v>
      </c>
      <c r="E3713" s="116">
        <v>-1</v>
      </c>
      <c r="F3713" s="87" t="s">
        <v>768</v>
      </c>
      <c r="G3713" s="87" t="s">
        <v>967</v>
      </c>
      <c r="H3713" s="87" t="s">
        <v>768</v>
      </c>
      <c r="I3713" s="87">
        <v>67</v>
      </c>
    </row>
    <row r="3714" spans="1:9" ht="15" customHeight="1" x14ac:dyDescent="0.25">
      <c r="A3714" s="87" t="s">
        <v>373</v>
      </c>
      <c r="B3714" s="87" t="s">
        <v>383</v>
      </c>
      <c r="C3714" s="87">
        <v>1991</v>
      </c>
      <c r="D3714" s="87" t="s">
        <v>15</v>
      </c>
      <c r="E3714" s="116">
        <v>50</v>
      </c>
      <c r="F3714" s="87" t="s">
        <v>768</v>
      </c>
      <c r="G3714" s="87" t="s">
        <v>967</v>
      </c>
      <c r="H3714" s="87" t="s">
        <v>768</v>
      </c>
      <c r="I3714" s="87">
        <v>67</v>
      </c>
    </row>
    <row r="3715" spans="1:9" ht="15" customHeight="1" x14ac:dyDescent="0.25">
      <c r="A3715" s="87" t="s">
        <v>373</v>
      </c>
      <c r="B3715" s="87" t="s">
        <v>383</v>
      </c>
      <c r="C3715" s="87">
        <v>1992</v>
      </c>
      <c r="D3715" s="87" t="s">
        <v>15</v>
      </c>
      <c r="E3715" s="116">
        <v>-1</v>
      </c>
      <c r="F3715" s="87" t="s">
        <v>768</v>
      </c>
      <c r="G3715" s="87" t="s">
        <v>967</v>
      </c>
      <c r="H3715" s="87" t="s">
        <v>768</v>
      </c>
      <c r="I3715" s="87">
        <v>67</v>
      </c>
    </row>
    <row r="3716" spans="1:9" ht="15" customHeight="1" x14ac:dyDescent="0.25">
      <c r="A3716" s="87" t="s">
        <v>373</v>
      </c>
      <c r="B3716" s="87" t="s">
        <v>383</v>
      </c>
      <c r="C3716" s="87">
        <v>1993</v>
      </c>
      <c r="D3716" s="87" t="s">
        <v>15</v>
      </c>
      <c r="E3716" s="116">
        <v>3</v>
      </c>
      <c r="F3716" s="87" t="s">
        <v>768</v>
      </c>
      <c r="G3716" s="87" t="s">
        <v>967</v>
      </c>
      <c r="H3716" s="87" t="s">
        <v>768</v>
      </c>
      <c r="I3716" s="87">
        <v>67</v>
      </c>
    </row>
    <row r="3717" spans="1:9" ht="15" customHeight="1" x14ac:dyDescent="0.25">
      <c r="A3717" s="87" t="s">
        <v>373</v>
      </c>
      <c r="B3717" s="87" t="s">
        <v>383</v>
      </c>
      <c r="C3717" s="87">
        <v>1994</v>
      </c>
      <c r="D3717" s="87" t="s">
        <v>15</v>
      </c>
      <c r="E3717" s="116">
        <v>-1</v>
      </c>
      <c r="F3717" s="87" t="s">
        <v>768</v>
      </c>
      <c r="G3717" s="87" t="s">
        <v>967</v>
      </c>
      <c r="H3717" s="87" t="s">
        <v>768</v>
      </c>
      <c r="I3717" s="87">
        <v>67</v>
      </c>
    </row>
    <row r="3718" spans="1:9" ht="15" customHeight="1" x14ac:dyDescent="0.25">
      <c r="A3718" s="87" t="s">
        <v>373</v>
      </c>
      <c r="B3718" s="87" t="s">
        <v>383</v>
      </c>
      <c r="C3718" s="87">
        <v>1995</v>
      </c>
      <c r="D3718" s="87" t="s">
        <v>15</v>
      </c>
      <c r="E3718" s="116">
        <v>-1</v>
      </c>
      <c r="F3718" s="87" t="s">
        <v>768</v>
      </c>
      <c r="G3718" s="87" t="s">
        <v>967</v>
      </c>
      <c r="H3718" s="87" t="s">
        <v>768</v>
      </c>
      <c r="I3718" s="87">
        <v>67</v>
      </c>
    </row>
    <row r="3719" spans="1:9" ht="15" customHeight="1" x14ac:dyDescent="0.25">
      <c r="A3719" s="87" t="s">
        <v>373</v>
      </c>
      <c r="B3719" s="87" t="s">
        <v>383</v>
      </c>
      <c r="C3719" s="87">
        <v>1996</v>
      </c>
      <c r="D3719" s="87" t="s">
        <v>15</v>
      </c>
      <c r="E3719" s="116">
        <v>-1</v>
      </c>
      <c r="F3719" s="87" t="s">
        <v>768</v>
      </c>
      <c r="G3719" s="87" t="s">
        <v>967</v>
      </c>
      <c r="H3719" s="87" t="s">
        <v>768</v>
      </c>
      <c r="I3719" s="87">
        <v>67</v>
      </c>
    </row>
    <row r="3720" spans="1:9" ht="15" customHeight="1" x14ac:dyDescent="0.25">
      <c r="A3720" s="87" t="s">
        <v>373</v>
      </c>
      <c r="B3720" s="87" t="s">
        <v>383</v>
      </c>
      <c r="C3720" s="87">
        <v>1997</v>
      </c>
      <c r="D3720" s="87" t="s">
        <v>15</v>
      </c>
      <c r="E3720" s="116">
        <v>-1</v>
      </c>
      <c r="F3720" s="87" t="s">
        <v>768</v>
      </c>
      <c r="G3720" s="87" t="s">
        <v>967</v>
      </c>
      <c r="H3720" s="87" t="s">
        <v>768</v>
      </c>
      <c r="I3720" s="87">
        <v>67</v>
      </c>
    </row>
    <row r="3721" spans="1:9" ht="15" customHeight="1" x14ac:dyDescent="0.25">
      <c r="A3721" s="87" t="s">
        <v>373</v>
      </c>
      <c r="B3721" s="87" t="s">
        <v>383</v>
      </c>
      <c r="C3721" s="87">
        <v>1998</v>
      </c>
      <c r="D3721" s="87" t="s">
        <v>15</v>
      </c>
      <c r="E3721" s="116">
        <v>-1</v>
      </c>
      <c r="F3721" s="87" t="s">
        <v>768</v>
      </c>
      <c r="G3721" s="87" t="s">
        <v>967</v>
      </c>
      <c r="H3721" s="87" t="s">
        <v>768</v>
      </c>
      <c r="I3721" s="87">
        <v>67</v>
      </c>
    </row>
    <row r="3722" spans="1:9" ht="15" customHeight="1" x14ac:dyDescent="0.25">
      <c r="A3722" s="87" t="s">
        <v>373</v>
      </c>
      <c r="B3722" s="87" t="s">
        <v>383</v>
      </c>
      <c r="C3722" s="87">
        <v>1999</v>
      </c>
      <c r="D3722" s="87" t="s">
        <v>15</v>
      </c>
      <c r="E3722" s="116">
        <v>-1</v>
      </c>
      <c r="F3722" s="87" t="s">
        <v>768</v>
      </c>
      <c r="G3722" s="87" t="s">
        <v>967</v>
      </c>
      <c r="H3722" s="87" t="s">
        <v>768</v>
      </c>
      <c r="I3722" s="87">
        <v>67</v>
      </c>
    </row>
    <row r="3723" spans="1:9" ht="15" customHeight="1" x14ac:dyDescent="0.25">
      <c r="A3723" s="87" t="s">
        <v>373</v>
      </c>
      <c r="B3723" s="87" t="s">
        <v>383</v>
      </c>
      <c r="C3723" s="87">
        <v>2000</v>
      </c>
      <c r="D3723" s="87" t="s">
        <v>15</v>
      </c>
      <c r="E3723" s="116">
        <v>-1</v>
      </c>
      <c r="F3723" s="87" t="s">
        <v>768</v>
      </c>
      <c r="G3723" s="87" t="s">
        <v>967</v>
      </c>
      <c r="H3723" s="87" t="s">
        <v>768</v>
      </c>
      <c r="I3723" s="87">
        <v>67</v>
      </c>
    </row>
    <row r="3724" spans="1:9" ht="15" customHeight="1" x14ac:dyDescent="0.25">
      <c r="A3724" s="87" t="s">
        <v>373</v>
      </c>
      <c r="B3724" s="87" t="s">
        <v>383</v>
      </c>
      <c r="C3724" s="87">
        <v>2001</v>
      </c>
      <c r="D3724" s="87" t="s">
        <v>15</v>
      </c>
      <c r="E3724" s="116">
        <v>-1</v>
      </c>
      <c r="F3724" s="87" t="s">
        <v>768</v>
      </c>
      <c r="G3724" s="87" t="s">
        <v>967</v>
      </c>
      <c r="H3724" s="87" t="s">
        <v>768</v>
      </c>
      <c r="I3724" s="87">
        <v>67</v>
      </c>
    </row>
    <row r="3725" spans="1:9" ht="15" customHeight="1" x14ac:dyDescent="0.25">
      <c r="A3725" s="87" t="s">
        <v>373</v>
      </c>
      <c r="B3725" s="87" t="s">
        <v>383</v>
      </c>
      <c r="C3725" s="87">
        <v>2002</v>
      </c>
      <c r="D3725" s="87" t="s">
        <v>15</v>
      </c>
      <c r="E3725" s="116">
        <v>-1</v>
      </c>
      <c r="F3725" s="87" t="s">
        <v>768</v>
      </c>
      <c r="G3725" s="87" t="s">
        <v>967</v>
      </c>
      <c r="H3725" s="87" t="s">
        <v>768</v>
      </c>
      <c r="I3725" s="87">
        <v>67</v>
      </c>
    </row>
    <row r="3726" spans="1:9" ht="15" customHeight="1" x14ac:dyDescent="0.25">
      <c r="A3726" s="87" t="s">
        <v>373</v>
      </c>
      <c r="B3726" s="87" t="s">
        <v>383</v>
      </c>
      <c r="C3726" s="87">
        <v>2003</v>
      </c>
      <c r="D3726" s="87" t="s">
        <v>15</v>
      </c>
      <c r="E3726" s="116">
        <v>146</v>
      </c>
      <c r="F3726" s="87" t="s">
        <v>768</v>
      </c>
      <c r="G3726" s="87" t="s">
        <v>274</v>
      </c>
      <c r="H3726" s="87" t="s">
        <v>768</v>
      </c>
      <c r="I3726" s="87">
        <v>67</v>
      </c>
    </row>
    <row r="3727" spans="1:9" ht="15" customHeight="1" x14ac:dyDescent="0.25">
      <c r="A3727" s="87" t="s">
        <v>373</v>
      </c>
      <c r="B3727" s="87" t="s">
        <v>383</v>
      </c>
      <c r="C3727" s="87">
        <v>2004</v>
      </c>
      <c r="D3727" s="87" t="s">
        <v>15</v>
      </c>
      <c r="E3727" s="116">
        <v>-1</v>
      </c>
      <c r="F3727" s="87" t="s">
        <v>768</v>
      </c>
      <c r="G3727" s="87" t="s">
        <v>967</v>
      </c>
      <c r="H3727" s="87" t="s">
        <v>768</v>
      </c>
      <c r="I3727" s="87">
        <v>67</v>
      </c>
    </row>
    <row r="3728" spans="1:9" ht="15" customHeight="1" x14ac:dyDescent="0.25">
      <c r="A3728" s="87" t="s">
        <v>373</v>
      </c>
      <c r="B3728" s="87" t="s">
        <v>383</v>
      </c>
      <c r="C3728" s="87">
        <v>2005</v>
      </c>
      <c r="D3728" s="87" t="s">
        <v>15</v>
      </c>
      <c r="E3728" s="116">
        <v>-1</v>
      </c>
      <c r="F3728" s="87" t="s">
        <v>768</v>
      </c>
      <c r="G3728" s="87" t="s">
        <v>967</v>
      </c>
      <c r="H3728" s="87" t="s">
        <v>768</v>
      </c>
      <c r="I3728" s="87">
        <v>67</v>
      </c>
    </row>
    <row r="3729" spans="1:9" ht="15" customHeight="1" x14ac:dyDescent="0.25">
      <c r="A3729" s="87" t="s">
        <v>373</v>
      </c>
      <c r="B3729" s="87" t="s">
        <v>383</v>
      </c>
      <c r="C3729" s="87">
        <v>2006</v>
      </c>
      <c r="D3729" s="87" t="s">
        <v>15</v>
      </c>
      <c r="E3729" s="116">
        <v>-1</v>
      </c>
      <c r="F3729" s="87" t="s">
        <v>768</v>
      </c>
      <c r="G3729" s="87" t="s">
        <v>967</v>
      </c>
      <c r="H3729" s="87" t="s">
        <v>768</v>
      </c>
      <c r="I3729" s="87">
        <v>67</v>
      </c>
    </row>
    <row r="3730" spans="1:9" ht="15" customHeight="1" x14ac:dyDescent="0.25">
      <c r="A3730" s="87" t="s">
        <v>373</v>
      </c>
      <c r="B3730" s="87" t="s">
        <v>383</v>
      </c>
      <c r="C3730" s="87">
        <v>2007</v>
      </c>
      <c r="D3730" s="87" t="s">
        <v>15</v>
      </c>
      <c r="E3730" s="116">
        <v>-1</v>
      </c>
      <c r="F3730" s="87" t="s">
        <v>768</v>
      </c>
      <c r="G3730" s="87" t="s">
        <v>967</v>
      </c>
      <c r="H3730" s="87" t="s">
        <v>768</v>
      </c>
      <c r="I3730" s="87">
        <v>67</v>
      </c>
    </row>
    <row r="3731" spans="1:9" ht="15" customHeight="1" x14ac:dyDescent="0.25">
      <c r="A3731" s="87" t="s">
        <v>373</v>
      </c>
      <c r="B3731" s="87" t="s">
        <v>383</v>
      </c>
      <c r="C3731" s="87">
        <v>2008</v>
      </c>
      <c r="D3731" s="87" t="s">
        <v>15</v>
      </c>
      <c r="E3731" s="116">
        <v>23</v>
      </c>
      <c r="F3731" s="87" t="s">
        <v>967</v>
      </c>
      <c r="G3731" s="87" t="s">
        <v>272</v>
      </c>
      <c r="H3731" s="87" t="s">
        <v>967</v>
      </c>
      <c r="I3731" s="87">
        <v>67</v>
      </c>
    </row>
    <row r="3732" spans="1:9" ht="15" customHeight="1" x14ac:dyDescent="0.25">
      <c r="A3732" s="87" t="s">
        <v>373</v>
      </c>
      <c r="B3732" s="87" t="s">
        <v>383</v>
      </c>
      <c r="C3732" s="87">
        <v>2009</v>
      </c>
      <c r="D3732" s="87" t="s">
        <v>15</v>
      </c>
      <c r="E3732" s="116">
        <v>14</v>
      </c>
      <c r="F3732" s="87" t="s">
        <v>967</v>
      </c>
      <c r="G3732" s="87" t="s">
        <v>274</v>
      </c>
      <c r="H3732" s="87" t="s">
        <v>785</v>
      </c>
      <c r="I3732" s="87">
        <v>67</v>
      </c>
    </row>
    <row r="3733" spans="1:9" ht="15" customHeight="1" x14ac:dyDescent="0.25">
      <c r="A3733" s="87" t="s">
        <v>373</v>
      </c>
      <c r="B3733" s="87" t="s">
        <v>383</v>
      </c>
      <c r="C3733" s="87">
        <v>2010</v>
      </c>
      <c r="D3733" s="87" t="s">
        <v>15</v>
      </c>
      <c r="E3733" s="116">
        <v>56</v>
      </c>
      <c r="F3733" s="87" t="s">
        <v>967</v>
      </c>
      <c r="G3733" s="87" t="s">
        <v>274</v>
      </c>
      <c r="H3733" s="87" t="s">
        <v>967</v>
      </c>
      <c r="I3733" s="87">
        <v>67</v>
      </c>
    </row>
    <row r="3734" spans="1:9" ht="15" customHeight="1" x14ac:dyDescent="0.25">
      <c r="A3734" s="87" t="s">
        <v>373</v>
      </c>
      <c r="B3734" s="87" t="s">
        <v>383</v>
      </c>
      <c r="C3734" s="87">
        <v>2011</v>
      </c>
      <c r="D3734" s="87" t="s">
        <v>15</v>
      </c>
      <c r="E3734" s="116">
        <v>23</v>
      </c>
      <c r="F3734" s="87" t="s">
        <v>967</v>
      </c>
      <c r="G3734" s="87" t="s">
        <v>274</v>
      </c>
      <c r="H3734" s="87" t="s">
        <v>967</v>
      </c>
      <c r="I3734" s="87">
        <v>67</v>
      </c>
    </row>
    <row r="3735" spans="1:9" ht="15" customHeight="1" x14ac:dyDescent="0.25">
      <c r="A3735" s="87" t="s">
        <v>373</v>
      </c>
      <c r="B3735" s="87" t="s">
        <v>383</v>
      </c>
      <c r="C3735" s="87">
        <v>2012</v>
      </c>
      <c r="D3735" s="87" t="s">
        <v>15</v>
      </c>
      <c r="E3735" s="116">
        <v>17</v>
      </c>
      <c r="F3735" s="87" t="s">
        <v>967</v>
      </c>
      <c r="G3735" s="87" t="s">
        <v>274</v>
      </c>
      <c r="H3735" s="87" t="s">
        <v>967</v>
      </c>
      <c r="I3735" s="87">
        <v>67</v>
      </c>
    </row>
    <row r="3736" spans="1:9" ht="15" customHeight="1" x14ac:dyDescent="0.25">
      <c r="A3736" s="87" t="s">
        <v>373</v>
      </c>
      <c r="B3736" s="87" t="s">
        <v>383</v>
      </c>
      <c r="C3736" s="87">
        <v>2013</v>
      </c>
      <c r="D3736" s="87" t="s">
        <v>15</v>
      </c>
      <c r="E3736" s="116">
        <v>31</v>
      </c>
      <c r="F3736" s="87" t="s">
        <v>967</v>
      </c>
      <c r="G3736" s="87" t="s">
        <v>274</v>
      </c>
      <c r="H3736" s="87" t="s">
        <v>967</v>
      </c>
      <c r="I3736" s="87">
        <v>67</v>
      </c>
    </row>
    <row r="3737" spans="1:9" ht="15" customHeight="1" x14ac:dyDescent="0.25">
      <c r="A3737" s="87" t="s">
        <v>373</v>
      </c>
      <c r="B3737" s="87" t="s">
        <v>383</v>
      </c>
      <c r="C3737" s="87">
        <v>2014</v>
      </c>
      <c r="D3737" s="87" t="s">
        <v>15</v>
      </c>
      <c r="E3737" s="116">
        <v>23</v>
      </c>
      <c r="F3737" s="87" t="s">
        <v>967</v>
      </c>
      <c r="G3737" s="87" t="s">
        <v>274</v>
      </c>
      <c r="H3737" s="87" t="s">
        <v>967</v>
      </c>
      <c r="I3737" s="87">
        <v>67</v>
      </c>
    </row>
    <row r="3738" spans="1:9" ht="15" customHeight="1" x14ac:dyDescent="0.25">
      <c r="A3738" s="87" t="s">
        <v>373</v>
      </c>
      <c r="B3738" s="87" t="s">
        <v>383</v>
      </c>
      <c r="C3738" s="87">
        <v>2015</v>
      </c>
      <c r="D3738" s="87" t="s">
        <v>15</v>
      </c>
      <c r="E3738" s="116">
        <v>51</v>
      </c>
      <c r="F3738" s="87" t="s">
        <v>967</v>
      </c>
      <c r="G3738" s="87" t="s">
        <v>274</v>
      </c>
      <c r="H3738" s="87" t="s">
        <v>786</v>
      </c>
      <c r="I3738" s="87">
        <v>67</v>
      </c>
    </row>
    <row r="3739" spans="1:9" ht="15" customHeight="1" x14ac:dyDescent="0.25">
      <c r="A3739" s="87" t="s">
        <v>373</v>
      </c>
      <c r="B3739" s="87" t="s">
        <v>383</v>
      </c>
      <c r="C3739" s="87">
        <v>2016</v>
      </c>
      <c r="D3739" s="87" t="s">
        <v>15</v>
      </c>
      <c r="E3739" s="116">
        <v>9</v>
      </c>
      <c r="F3739" s="87" t="s">
        <v>967</v>
      </c>
      <c r="G3739" s="87" t="s">
        <v>272</v>
      </c>
      <c r="H3739" s="87" t="s">
        <v>967</v>
      </c>
      <c r="I3739" s="87">
        <v>67</v>
      </c>
    </row>
    <row r="3740" spans="1:9" ht="15" customHeight="1" x14ac:dyDescent="0.25">
      <c r="A3740" s="87" t="s">
        <v>373</v>
      </c>
      <c r="B3740" s="87" t="s">
        <v>383</v>
      </c>
      <c r="C3740" s="87">
        <v>2017</v>
      </c>
      <c r="D3740" s="87" t="s">
        <v>15</v>
      </c>
      <c r="E3740" s="116">
        <v>26</v>
      </c>
      <c r="F3740" s="87" t="s">
        <v>967</v>
      </c>
      <c r="G3740" s="87" t="s">
        <v>274</v>
      </c>
      <c r="H3740" s="87" t="s">
        <v>967</v>
      </c>
      <c r="I3740" s="87">
        <v>67</v>
      </c>
    </row>
    <row r="3741" spans="1:9" ht="15" customHeight="1" x14ac:dyDescent="0.25">
      <c r="A3741" s="87" t="s">
        <v>373</v>
      </c>
      <c r="B3741" s="87" t="s">
        <v>383</v>
      </c>
      <c r="C3741" s="87">
        <v>2018</v>
      </c>
      <c r="D3741" s="87" t="s">
        <v>15</v>
      </c>
      <c r="E3741" s="116">
        <v>62</v>
      </c>
      <c r="F3741" s="87" t="s">
        <v>967</v>
      </c>
      <c r="G3741" s="87" t="s">
        <v>272</v>
      </c>
      <c r="H3741" s="87" t="s">
        <v>967</v>
      </c>
      <c r="I3741" s="87">
        <v>67</v>
      </c>
    </row>
    <row r="3742" spans="1:9" ht="15" customHeight="1" x14ac:dyDescent="0.25">
      <c r="A3742" s="87" t="s">
        <v>373</v>
      </c>
      <c r="B3742" s="87" t="s">
        <v>383</v>
      </c>
      <c r="C3742" s="87">
        <v>2019</v>
      </c>
      <c r="D3742" s="87" t="s">
        <v>15</v>
      </c>
      <c r="E3742" s="116">
        <v>35</v>
      </c>
      <c r="F3742" s="87" t="s">
        <v>967</v>
      </c>
      <c r="G3742" s="87" t="s">
        <v>274</v>
      </c>
      <c r="H3742" s="87" t="s">
        <v>993</v>
      </c>
      <c r="I3742" s="87">
        <v>67</v>
      </c>
    </row>
    <row r="3743" spans="1:9" ht="15" customHeight="1" x14ac:dyDescent="0.25">
      <c r="A3743" s="87" t="s">
        <v>373</v>
      </c>
      <c r="B3743" s="87" t="s">
        <v>383</v>
      </c>
      <c r="C3743" s="87">
        <v>2020</v>
      </c>
      <c r="D3743" s="87" t="s">
        <v>15</v>
      </c>
      <c r="E3743" s="116">
        <v>12</v>
      </c>
      <c r="F3743" s="87" t="s">
        <v>967</v>
      </c>
      <c r="G3743" s="87" t="s">
        <v>272</v>
      </c>
      <c r="H3743" s="87" t="s">
        <v>967</v>
      </c>
      <c r="I3743" s="87">
        <v>67</v>
      </c>
    </row>
    <row r="3744" spans="1:9" ht="15" customHeight="1" x14ac:dyDescent="0.25">
      <c r="A3744" s="87" t="s">
        <v>373</v>
      </c>
      <c r="B3744" s="87" t="s">
        <v>383</v>
      </c>
      <c r="C3744" s="87">
        <v>2021</v>
      </c>
      <c r="D3744" s="87" t="s">
        <v>15</v>
      </c>
      <c r="E3744" s="116">
        <v>143</v>
      </c>
      <c r="F3744" s="87" t="s">
        <v>967</v>
      </c>
      <c r="G3744" s="87" t="s">
        <v>272</v>
      </c>
      <c r="H3744" s="87" t="s">
        <v>967</v>
      </c>
      <c r="I3744" s="87">
        <v>67</v>
      </c>
    </row>
    <row r="3745" spans="1:9" ht="15" customHeight="1" x14ac:dyDescent="0.25">
      <c r="A3745" s="87" t="s">
        <v>373</v>
      </c>
      <c r="B3745" s="87" t="s">
        <v>383</v>
      </c>
      <c r="C3745" s="87">
        <v>2022</v>
      </c>
      <c r="D3745" s="87" t="s">
        <v>15</v>
      </c>
      <c r="E3745" s="116">
        <v>46</v>
      </c>
      <c r="F3745" s="87" t="s">
        <v>967</v>
      </c>
      <c r="G3745" s="87" t="s">
        <v>274</v>
      </c>
      <c r="H3745" s="87" t="s">
        <v>967</v>
      </c>
      <c r="I3745" s="87">
        <v>67</v>
      </c>
    </row>
    <row r="3746" spans="1:9" ht="15" customHeight="1" x14ac:dyDescent="0.25">
      <c r="A3746" s="87" t="s">
        <v>8</v>
      </c>
      <c r="B3746" s="87" t="s">
        <v>384</v>
      </c>
      <c r="C3746" s="87">
        <v>1975</v>
      </c>
      <c r="D3746" s="87" t="s">
        <v>9</v>
      </c>
      <c r="E3746" s="116">
        <v>31569.794965073808</v>
      </c>
      <c r="F3746" s="87" t="s">
        <v>912</v>
      </c>
      <c r="G3746" s="87" t="s">
        <v>272</v>
      </c>
      <c r="H3746" s="87" t="s">
        <v>967</v>
      </c>
      <c r="I3746" s="87">
        <v>45</v>
      </c>
    </row>
    <row r="3747" spans="1:9" ht="15" customHeight="1" x14ac:dyDescent="0.25">
      <c r="A3747" s="87" t="s">
        <v>8</v>
      </c>
      <c r="B3747" s="87" t="s">
        <v>384</v>
      </c>
      <c r="C3747" s="87">
        <v>1976</v>
      </c>
      <c r="D3747" s="87" t="s">
        <v>9</v>
      </c>
      <c r="E3747" s="116">
        <v>3346.580456676159</v>
      </c>
      <c r="F3747" s="87" t="s">
        <v>967</v>
      </c>
      <c r="G3747" s="87" t="s">
        <v>272</v>
      </c>
      <c r="H3747" s="87" t="s">
        <v>967</v>
      </c>
      <c r="I3747" s="87">
        <v>45</v>
      </c>
    </row>
    <row r="3748" spans="1:9" ht="15" customHeight="1" x14ac:dyDescent="0.25">
      <c r="A3748" s="87" t="s">
        <v>8</v>
      </c>
      <c r="B3748" s="87" t="s">
        <v>384</v>
      </c>
      <c r="C3748" s="87">
        <v>1977</v>
      </c>
      <c r="D3748" s="87" t="s">
        <v>9</v>
      </c>
      <c r="E3748" s="116">
        <v>15503.405636904776</v>
      </c>
      <c r="F3748" s="87" t="s">
        <v>967</v>
      </c>
      <c r="G3748" s="87" t="s">
        <v>272</v>
      </c>
      <c r="H3748" s="87" t="s">
        <v>967</v>
      </c>
      <c r="I3748" s="87">
        <v>45</v>
      </c>
    </row>
    <row r="3749" spans="1:9" ht="15" customHeight="1" x14ac:dyDescent="0.25">
      <c r="A3749" s="87" t="s">
        <v>8</v>
      </c>
      <c r="B3749" s="87" t="s">
        <v>384</v>
      </c>
      <c r="C3749" s="87">
        <v>1978</v>
      </c>
      <c r="D3749" s="87" t="s">
        <v>9</v>
      </c>
      <c r="E3749" s="116">
        <v>17219.546507514933</v>
      </c>
      <c r="F3749" s="87" t="s">
        <v>967</v>
      </c>
      <c r="G3749" s="87" t="s">
        <v>272</v>
      </c>
      <c r="H3749" s="87" t="s">
        <v>967</v>
      </c>
      <c r="I3749" s="87">
        <v>45</v>
      </c>
    </row>
    <row r="3750" spans="1:9" ht="15" customHeight="1" x14ac:dyDescent="0.25">
      <c r="A3750" s="87" t="s">
        <v>8</v>
      </c>
      <c r="B3750" s="87" t="s">
        <v>384</v>
      </c>
      <c r="C3750" s="87">
        <v>1979</v>
      </c>
      <c r="D3750" s="87" t="s">
        <v>9</v>
      </c>
      <c r="E3750" s="116">
        <v>16453.490138332458</v>
      </c>
      <c r="F3750" s="87" t="s">
        <v>967</v>
      </c>
      <c r="G3750" s="87" t="s">
        <v>272</v>
      </c>
      <c r="H3750" s="87" t="s">
        <v>967</v>
      </c>
      <c r="I3750" s="87">
        <v>45</v>
      </c>
    </row>
    <row r="3751" spans="1:9" ht="15" customHeight="1" x14ac:dyDescent="0.25">
      <c r="A3751" s="87" t="s">
        <v>8</v>
      </c>
      <c r="B3751" s="87" t="s">
        <v>384</v>
      </c>
      <c r="C3751" s="87">
        <v>1980</v>
      </c>
      <c r="D3751" s="87" t="s">
        <v>9</v>
      </c>
      <c r="E3751" s="116">
        <v>5722.5817857792035</v>
      </c>
      <c r="F3751" s="87" t="s">
        <v>967</v>
      </c>
      <c r="G3751" s="87" t="s">
        <v>272</v>
      </c>
      <c r="H3751" s="87" t="s">
        <v>967</v>
      </c>
      <c r="I3751" s="87">
        <v>45</v>
      </c>
    </row>
    <row r="3752" spans="1:9" ht="15" customHeight="1" x14ac:dyDescent="0.25">
      <c r="A3752" s="87" t="s">
        <v>8</v>
      </c>
      <c r="B3752" s="87" t="s">
        <v>384</v>
      </c>
      <c r="C3752" s="87">
        <v>1981</v>
      </c>
      <c r="D3752" s="87" t="s">
        <v>9</v>
      </c>
      <c r="E3752" s="116">
        <v>8247.7248755065393</v>
      </c>
      <c r="F3752" s="87" t="s">
        <v>967</v>
      </c>
      <c r="G3752" s="87" t="s">
        <v>272</v>
      </c>
      <c r="H3752" s="87" t="s">
        <v>967</v>
      </c>
      <c r="I3752" s="87">
        <v>45</v>
      </c>
    </row>
    <row r="3753" spans="1:9" ht="15" customHeight="1" x14ac:dyDescent="0.25">
      <c r="A3753" s="87" t="s">
        <v>8</v>
      </c>
      <c r="B3753" s="87" t="s">
        <v>384</v>
      </c>
      <c r="C3753" s="87">
        <v>1982</v>
      </c>
      <c r="D3753" s="87" t="s">
        <v>9</v>
      </c>
      <c r="E3753" s="116">
        <v>2894.0016513637815</v>
      </c>
      <c r="F3753" s="87" t="s">
        <v>912</v>
      </c>
      <c r="G3753" s="87" t="s">
        <v>272</v>
      </c>
      <c r="H3753" s="87" t="s">
        <v>967</v>
      </c>
      <c r="I3753" s="87">
        <v>45</v>
      </c>
    </row>
    <row r="3754" spans="1:9" ht="15" customHeight="1" x14ac:dyDescent="0.25">
      <c r="A3754" s="87" t="s">
        <v>8</v>
      </c>
      <c r="B3754" s="87" t="s">
        <v>384</v>
      </c>
      <c r="C3754" s="87">
        <v>1983</v>
      </c>
      <c r="D3754" s="87" t="s">
        <v>9</v>
      </c>
      <c r="E3754" s="116">
        <v>5396</v>
      </c>
      <c r="F3754" s="87" t="s">
        <v>967</v>
      </c>
      <c r="G3754" s="87" t="s">
        <v>273</v>
      </c>
      <c r="H3754" s="87" t="s">
        <v>967</v>
      </c>
      <c r="I3754" s="87">
        <v>45</v>
      </c>
    </row>
    <row r="3755" spans="1:9" ht="15" customHeight="1" x14ac:dyDescent="0.25">
      <c r="A3755" s="87" t="s">
        <v>8</v>
      </c>
      <c r="B3755" s="87" t="s">
        <v>384</v>
      </c>
      <c r="C3755" s="87">
        <v>1984</v>
      </c>
      <c r="D3755" s="87" t="s">
        <v>9</v>
      </c>
      <c r="E3755" s="116">
        <v>7582</v>
      </c>
      <c r="F3755" s="87" t="s">
        <v>967</v>
      </c>
      <c r="G3755" s="87" t="s">
        <v>273</v>
      </c>
      <c r="H3755" s="87" t="s">
        <v>967</v>
      </c>
      <c r="I3755" s="87">
        <v>45</v>
      </c>
    </row>
    <row r="3756" spans="1:9" ht="15" customHeight="1" x14ac:dyDescent="0.25">
      <c r="A3756" s="87" t="s">
        <v>8</v>
      </c>
      <c r="B3756" s="87" t="s">
        <v>384</v>
      </c>
      <c r="C3756" s="87">
        <v>1985</v>
      </c>
      <c r="D3756" s="87" t="s">
        <v>9</v>
      </c>
      <c r="E3756" s="116">
        <v>10539</v>
      </c>
      <c r="F3756" s="87" t="s">
        <v>967</v>
      </c>
      <c r="G3756" s="87" t="s">
        <v>273</v>
      </c>
      <c r="H3756" s="87" t="s">
        <v>967</v>
      </c>
      <c r="I3756" s="87">
        <v>45</v>
      </c>
    </row>
    <row r="3757" spans="1:9" ht="15" customHeight="1" x14ac:dyDescent="0.25">
      <c r="A3757" s="87" t="s">
        <v>8</v>
      </c>
      <c r="B3757" s="87" t="s">
        <v>384</v>
      </c>
      <c r="C3757" s="87">
        <v>1986</v>
      </c>
      <c r="D3757" s="87" t="s">
        <v>9</v>
      </c>
      <c r="E3757" s="116">
        <v>20333.996806371386</v>
      </c>
      <c r="F3757" s="87" t="s">
        <v>967</v>
      </c>
      <c r="G3757" s="87" t="s">
        <v>272</v>
      </c>
      <c r="H3757" s="87" t="s">
        <v>967</v>
      </c>
      <c r="I3757" s="87">
        <v>45</v>
      </c>
    </row>
    <row r="3758" spans="1:9" ht="15" customHeight="1" x14ac:dyDescent="0.25">
      <c r="A3758" s="87" t="s">
        <v>8</v>
      </c>
      <c r="B3758" s="87" t="s">
        <v>384</v>
      </c>
      <c r="C3758" s="87">
        <v>1987</v>
      </c>
      <c r="D3758" s="87" t="s">
        <v>9</v>
      </c>
      <c r="E3758" s="116">
        <v>16453.490138332458</v>
      </c>
      <c r="F3758" s="87" t="s">
        <v>967</v>
      </c>
      <c r="G3758" s="87" t="s">
        <v>272</v>
      </c>
      <c r="H3758" s="87" t="s">
        <v>967</v>
      </c>
      <c r="I3758" s="87">
        <v>45</v>
      </c>
    </row>
    <row r="3759" spans="1:9" ht="15" customHeight="1" x14ac:dyDescent="0.25">
      <c r="A3759" s="87" t="s">
        <v>8</v>
      </c>
      <c r="B3759" s="87" t="s">
        <v>384</v>
      </c>
      <c r="C3759" s="87">
        <v>1988</v>
      </c>
      <c r="D3759" s="87" t="s">
        <v>9</v>
      </c>
      <c r="E3759" s="116">
        <v>24330.955313719438</v>
      </c>
      <c r="F3759" s="87" t="s">
        <v>912</v>
      </c>
      <c r="G3759" s="87" t="s">
        <v>272</v>
      </c>
      <c r="H3759" s="87" t="s">
        <v>967</v>
      </c>
      <c r="I3759" s="87">
        <v>45</v>
      </c>
    </row>
    <row r="3760" spans="1:9" ht="15" customHeight="1" x14ac:dyDescent="0.25">
      <c r="A3760" s="87" t="s">
        <v>8</v>
      </c>
      <c r="B3760" s="87" t="s">
        <v>384</v>
      </c>
      <c r="C3760" s="87">
        <v>1989</v>
      </c>
      <c r="D3760" s="87" t="s">
        <v>9</v>
      </c>
      <c r="E3760" s="116">
        <v>18378.260126793866</v>
      </c>
      <c r="F3760" s="87" t="s">
        <v>967</v>
      </c>
      <c r="G3760" s="87" t="s">
        <v>272</v>
      </c>
      <c r="H3760" s="87" t="s">
        <v>967</v>
      </c>
      <c r="I3760" s="87">
        <v>45</v>
      </c>
    </row>
    <row r="3761" spans="1:9" ht="15" customHeight="1" x14ac:dyDescent="0.25">
      <c r="A3761" s="87" t="s">
        <v>8</v>
      </c>
      <c r="B3761" s="87" t="s">
        <v>384</v>
      </c>
      <c r="C3761" s="87">
        <v>1990</v>
      </c>
      <c r="D3761" s="87" t="s">
        <v>9</v>
      </c>
      <c r="E3761" s="116">
        <v>22318.781229464086</v>
      </c>
      <c r="F3761" s="87" t="s">
        <v>913</v>
      </c>
      <c r="G3761" s="87" t="s">
        <v>272</v>
      </c>
      <c r="H3761" s="87" t="s">
        <v>967</v>
      </c>
      <c r="I3761" s="87">
        <v>45</v>
      </c>
    </row>
    <row r="3762" spans="1:9" ht="15" customHeight="1" x14ac:dyDescent="0.25">
      <c r="A3762" s="87" t="s">
        <v>8</v>
      </c>
      <c r="B3762" s="87" t="s">
        <v>384</v>
      </c>
      <c r="C3762" s="87">
        <v>1991</v>
      </c>
      <c r="D3762" s="87" t="s">
        <v>9</v>
      </c>
      <c r="E3762" s="116">
        <v>16453.490138332458</v>
      </c>
      <c r="F3762" s="87" t="s">
        <v>914</v>
      </c>
      <c r="G3762" s="87" t="s">
        <v>272</v>
      </c>
      <c r="H3762" s="87" t="s">
        <v>967</v>
      </c>
      <c r="I3762" s="87">
        <v>45</v>
      </c>
    </row>
    <row r="3763" spans="1:9" ht="15" customHeight="1" x14ac:dyDescent="0.25">
      <c r="A3763" s="87" t="s">
        <v>8</v>
      </c>
      <c r="B3763" s="87" t="s">
        <v>384</v>
      </c>
      <c r="C3763" s="87">
        <v>1992</v>
      </c>
      <c r="D3763" s="87" t="s">
        <v>9</v>
      </c>
      <c r="E3763" s="116">
        <v>22919.627126953408</v>
      </c>
      <c r="F3763" s="87" t="s">
        <v>915</v>
      </c>
      <c r="G3763" s="87" t="s">
        <v>272</v>
      </c>
      <c r="H3763" s="87" t="s">
        <v>967</v>
      </c>
      <c r="I3763" s="87">
        <v>45</v>
      </c>
    </row>
    <row r="3764" spans="1:9" ht="15" customHeight="1" x14ac:dyDescent="0.25">
      <c r="A3764" s="87" t="s">
        <v>8</v>
      </c>
      <c r="B3764" s="87" t="s">
        <v>384</v>
      </c>
      <c r="C3764" s="87">
        <v>1993</v>
      </c>
      <c r="D3764" s="87" t="s">
        <v>9</v>
      </c>
      <c r="E3764" s="116">
        <v>9116.5553073374376</v>
      </c>
      <c r="F3764" s="87" t="s">
        <v>967</v>
      </c>
      <c r="G3764" s="87" t="s">
        <v>272</v>
      </c>
      <c r="H3764" s="87" t="s">
        <v>633</v>
      </c>
      <c r="I3764" s="87">
        <v>45</v>
      </c>
    </row>
    <row r="3765" spans="1:9" ht="15" customHeight="1" x14ac:dyDescent="0.25">
      <c r="A3765" s="87" t="s">
        <v>8</v>
      </c>
      <c r="B3765" s="87" t="s">
        <v>384</v>
      </c>
      <c r="C3765" s="87">
        <v>1994</v>
      </c>
      <c r="D3765" s="87" t="s">
        <v>9</v>
      </c>
      <c r="E3765" s="116">
        <v>28743.31794737744</v>
      </c>
      <c r="F3765" s="87" t="s">
        <v>915</v>
      </c>
      <c r="G3765" s="87" t="s">
        <v>272</v>
      </c>
      <c r="H3765" s="87" t="s">
        <v>967</v>
      </c>
      <c r="I3765" s="87">
        <v>45</v>
      </c>
    </row>
    <row r="3766" spans="1:9" ht="15" customHeight="1" x14ac:dyDescent="0.25">
      <c r="A3766" s="87" t="s">
        <v>8</v>
      </c>
      <c r="B3766" s="87" t="s">
        <v>384</v>
      </c>
      <c r="C3766" s="87">
        <v>1995</v>
      </c>
      <c r="D3766" s="87" t="s">
        <v>9</v>
      </c>
      <c r="E3766" s="116">
        <v>16453.490138332458</v>
      </c>
      <c r="F3766" s="87" t="s">
        <v>967</v>
      </c>
      <c r="G3766" s="87" t="s">
        <v>272</v>
      </c>
      <c r="H3766" s="87" t="s">
        <v>967</v>
      </c>
      <c r="I3766" s="87">
        <v>45</v>
      </c>
    </row>
    <row r="3767" spans="1:9" ht="15" customHeight="1" x14ac:dyDescent="0.25">
      <c r="A3767" s="87" t="s">
        <v>8</v>
      </c>
      <c r="B3767" s="87" t="s">
        <v>384</v>
      </c>
      <c r="C3767" s="87">
        <v>1996</v>
      </c>
      <c r="D3767" s="87" t="s">
        <v>9</v>
      </c>
      <c r="E3767" s="116">
        <v>34757.335868631308</v>
      </c>
      <c r="F3767" s="87" t="s">
        <v>967</v>
      </c>
      <c r="G3767" s="87" t="s">
        <v>272</v>
      </c>
      <c r="H3767" s="87" t="s">
        <v>967</v>
      </c>
      <c r="I3767" s="87">
        <v>45</v>
      </c>
    </row>
    <row r="3768" spans="1:9" ht="15" customHeight="1" x14ac:dyDescent="0.25">
      <c r="A3768" s="87" t="s">
        <v>8</v>
      </c>
      <c r="B3768" s="87" t="s">
        <v>384</v>
      </c>
      <c r="C3768" s="87">
        <v>1997</v>
      </c>
      <c r="D3768" s="87" t="s">
        <v>9</v>
      </c>
      <c r="E3768" s="116">
        <v>22518.791506021036</v>
      </c>
      <c r="F3768" s="87" t="s">
        <v>915</v>
      </c>
      <c r="G3768" s="87" t="s">
        <v>272</v>
      </c>
      <c r="H3768" s="87" t="s">
        <v>967</v>
      </c>
      <c r="I3768" s="87">
        <v>45</v>
      </c>
    </row>
    <row r="3769" spans="1:9" ht="15" customHeight="1" x14ac:dyDescent="0.25">
      <c r="A3769" s="87" t="s">
        <v>8</v>
      </c>
      <c r="B3769" s="87" t="s">
        <v>384</v>
      </c>
      <c r="C3769" s="87">
        <v>1998</v>
      </c>
      <c r="D3769" s="87" t="s">
        <v>9</v>
      </c>
      <c r="E3769" s="116">
        <v>34254.800623849245</v>
      </c>
      <c r="F3769" s="87" t="s">
        <v>916</v>
      </c>
      <c r="G3769" s="87" t="s">
        <v>272</v>
      </c>
      <c r="H3769" s="87" t="s">
        <v>967</v>
      </c>
      <c r="I3769" s="87">
        <v>45</v>
      </c>
    </row>
    <row r="3770" spans="1:9" ht="15" customHeight="1" x14ac:dyDescent="0.25">
      <c r="A3770" s="87" t="s">
        <v>8</v>
      </c>
      <c r="B3770" s="87" t="s">
        <v>384</v>
      </c>
      <c r="C3770" s="87">
        <v>1999</v>
      </c>
      <c r="D3770" s="87" t="s">
        <v>9</v>
      </c>
      <c r="E3770" s="116">
        <v>47271.04573773322</v>
      </c>
      <c r="F3770" s="87" t="s">
        <v>967</v>
      </c>
      <c r="G3770" s="87" t="s">
        <v>272</v>
      </c>
      <c r="H3770" s="87" t="s">
        <v>967</v>
      </c>
      <c r="I3770" s="87">
        <v>45</v>
      </c>
    </row>
    <row r="3771" spans="1:9" ht="15" customHeight="1" x14ac:dyDescent="0.25">
      <c r="A3771" s="87" t="s">
        <v>8</v>
      </c>
      <c r="B3771" s="87" t="s">
        <v>384</v>
      </c>
      <c r="C3771" s="87">
        <v>2000</v>
      </c>
      <c r="D3771" s="87" t="s">
        <v>9</v>
      </c>
      <c r="E3771" s="116">
        <v>27800</v>
      </c>
      <c r="F3771" s="87" t="s">
        <v>967</v>
      </c>
      <c r="G3771" s="87" t="s">
        <v>273</v>
      </c>
      <c r="H3771" s="87" t="s">
        <v>967</v>
      </c>
      <c r="I3771" s="87">
        <v>45</v>
      </c>
    </row>
    <row r="3772" spans="1:9" ht="15" customHeight="1" x14ac:dyDescent="0.25">
      <c r="A3772" s="87" t="s">
        <v>8</v>
      </c>
      <c r="B3772" s="87" t="s">
        <v>384</v>
      </c>
      <c r="C3772" s="87">
        <v>2001</v>
      </c>
      <c r="D3772" s="87" t="s">
        <v>9</v>
      </c>
      <c r="E3772" s="116">
        <v>35743.065214454575</v>
      </c>
      <c r="F3772" s="87" t="s">
        <v>967</v>
      </c>
      <c r="G3772" s="87" t="s">
        <v>273</v>
      </c>
      <c r="H3772" s="87" t="s">
        <v>967</v>
      </c>
      <c r="I3772" s="87">
        <v>45</v>
      </c>
    </row>
    <row r="3773" spans="1:9" ht="15" customHeight="1" x14ac:dyDescent="0.25">
      <c r="A3773" s="87" t="s">
        <v>8</v>
      </c>
      <c r="B3773" s="87" t="s">
        <v>384</v>
      </c>
      <c r="C3773" s="87">
        <v>2002</v>
      </c>
      <c r="D3773" s="87" t="s">
        <v>9</v>
      </c>
      <c r="E3773" s="116">
        <v>54219</v>
      </c>
      <c r="F3773" s="87" t="s">
        <v>967</v>
      </c>
      <c r="G3773" s="87" t="s">
        <v>273</v>
      </c>
      <c r="H3773" s="87" t="s">
        <v>967</v>
      </c>
      <c r="I3773" s="87">
        <v>45</v>
      </c>
    </row>
    <row r="3774" spans="1:9" ht="15" customHeight="1" x14ac:dyDescent="0.25">
      <c r="A3774" s="87" t="s">
        <v>8</v>
      </c>
      <c r="B3774" s="87" t="s">
        <v>384</v>
      </c>
      <c r="C3774" s="87">
        <v>2003</v>
      </c>
      <c r="D3774" s="87" t="s">
        <v>9</v>
      </c>
      <c r="E3774" s="116">
        <v>39909.703862911774</v>
      </c>
      <c r="F3774" s="87" t="s">
        <v>967</v>
      </c>
      <c r="G3774" s="87" t="s">
        <v>272</v>
      </c>
      <c r="H3774" s="87" t="s">
        <v>967</v>
      </c>
      <c r="I3774" s="87">
        <v>45</v>
      </c>
    </row>
    <row r="3775" spans="1:9" ht="15" customHeight="1" x14ac:dyDescent="0.25">
      <c r="A3775" s="87" t="s">
        <v>8</v>
      </c>
      <c r="B3775" s="87" t="s">
        <v>384</v>
      </c>
      <c r="C3775" s="87">
        <v>2004</v>
      </c>
      <c r="D3775" s="87" t="s">
        <v>9</v>
      </c>
      <c r="E3775" s="116">
        <v>16963</v>
      </c>
      <c r="F3775" s="87" t="s">
        <v>967</v>
      </c>
      <c r="G3775" s="87" t="s">
        <v>273</v>
      </c>
      <c r="H3775" s="87" t="s">
        <v>967</v>
      </c>
      <c r="I3775" s="87">
        <v>45</v>
      </c>
    </row>
    <row r="3776" spans="1:9" ht="15" customHeight="1" x14ac:dyDescent="0.25">
      <c r="A3776" s="87" t="s">
        <v>8</v>
      </c>
      <c r="B3776" s="87" t="s">
        <v>384</v>
      </c>
      <c r="C3776" s="87">
        <v>2005</v>
      </c>
      <c r="D3776" s="87" t="s">
        <v>9</v>
      </c>
      <c r="E3776" s="116">
        <v>17893</v>
      </c>
      <c r="F3776" s="87" t="s">
        <v>967</v>
      </c>
      <c r="G3776" s="87" t="s">
        <v>273</v>
      </c>
      <c r="H3776" s="87" t="s">
        <v>967</v>
      </c>
      <c r="I3776" s="87">
        <v>45</v>
      </c>
    </row>
    <row r="3777" spans="1:9" ht="15" customHeight="1" x14ac:dyDescent="0.25">
      <c r="A3777" s="87" t="s">
        <v>8</v>
      </c>
      <c r="B3777" s="87" t="s">
        <v>384</v>
      </c>
      <c r="C3777" s="87">
        <v>2006</v>
      </c>
      <c r="D3777" s="87" t="s">
        <v>9</v>
      </c>
      <c r="E3777" s="116">
        <v>59084.527569860278</v>
      </c>
      <c r="F3777" s="87" t="s">
        <v>967</v>
      </c>
      <c r="G3777" s="87" t="s">
        <v>273</v>
      </c>
      <c r="H3777" s="87" t="s">
        <v>967</v>
      </c>
      <c r="I3777" s="87">
        <v>45</v>
      </c>
    </row>
    <row r="3778" spans="1:9" ht="15" customHeight="1" x14ac:dyDescent="0.25">
      <c r="A3778" s="87" t="s">
        <v>8</v>
      </c>
      <c r="B3778" s="87" t="s">
        <v>384</v>
      </c>
      <c r="C3778" s="87">
        <v>2007</v>
      </c>
      <c r="D3778" s="87" t="s">
        <v>9</v>
      </c>
      <c r="E3778" s="116">
        <v>15926</v>
      </c>
      <c r="F3778" s="87" t="s">
        <v>967</v>
      </c>
      <c r="G3778" s="87" t="s">
        <v>273</v>
      </c>
      <c r="H3778" s="87" t="s">
        <v>967</v>
      </c>
      <c r="I3778" s="87">
        <v>45</v>
      </c>
    </row>
    <row r="3779" spans="1:9" ht="15" customHeight="1" x14ac:dyDescent="0.25">
      <c r="A3779" s="87" t="s">
        <v>8</v>
      </c>
      <c r="B3779" s="87" t="s">
        <v>384</v>
      </c>
      <c r="C3779" s="87">
        <v>2008</v>
      </c>
      <c r="D3779" s="87" t="s">
        <v>9</v>
      </c>
      <c r="E3779" s="116">
        <v>14921.4560185185</v>
      </c>
      <c r="F3779" s="87" t="s">
        <v>967</v>
      </c>
      <c r="G3779" s="87" t="s">
        <v>273</v>
      </c>
      <c r="H3779" s="87" t="s">
        <v>967</v>
      </c>
      <c r="I3779" s="87">
        <v>45</v>
      </c>
    </row>
    <row r="3780" spans="1:9" ht="15" customHeight="1" x14ac:dyDescent="0.25">
      <c r="A3780" s="87" t="s">
        <v>8</v>
      </c>
      <c r="B3780" s="87" t="s">
        <v>384</v>
      </c>
      <c r="C3780" s="87">
        <v>2009</v>
      </c>
      <c r="D3780" s="87" t="s">
        <v>9</v>
      </c>
      <c r="E3780" s="116">
        <v>25288</v>
      </c>
      <c r="F3780" s="87" t="s">
        <v>967</v>
      </c>
      <c r="G3780" s="87" t="s">
        <v>273</v>
      </c>
      <c r="H3780" s="87" t="s">
        <v>967</v>
      </c>
      <c r="I3780" s="87">
        <v>45</v>
      </c>
    </row>
    <row r="3781" spans="1:9" ht="15" customHeight="1" x14ac:dyDescent="0.25">
      <c r="A3781" s="87" t="s">
        <v>8</v>
      </c>
      <c r="B3781" s="87" t="s">
        <v>384</v>
      </c>
      <c r="C3781" s="87">
        <v>2010</v>
      </c>
      <c r="D3781" s="87" t="s">
        <v>9</v>
      </c>
      <c r="E3781" s="116">
        <v>71353.652690934206</v>
      </c>
      <c r="F3781" s="87" t="s">
        <v>967</v>
      </c>
      <c r="G3781" s="87" t="s">
        <v>273</v>
      </c>
      <c r="H3781" s="87" t="s">
        <v>939</v>
      </c>
      <c r="I3781" s="87">
        <v>45</v>
      </c>
    </row>
    <row r="3782" spans="1:9" ht="15" customHeight="1" x14ac:dyDescent="0.25">
      <c r="A3782" s="87" t="s">
        <v>8</v>
      </c>
      <c r="B3782" s="87" t="s">
        <v>384</v>
      </c>
      <c r="C3782" s="87">
        <v>2011</v>
      </c>
      <c r="D3782" s="87" t="s">
        <v>9</v>
      </c>
      <c r="E3782" s="116">
        <v>18895</v>
      </c>
      <c r="F3782" s="87" t="s">
        <v>967</v>
      </c>
      <c r="G3782" s="87" t="s">
        <v>273</v>
      </c>
      <c r="H3782" s="87" t="s">
        <v>967</v>
      </c>
      <c r="I3782" s="87">
        <v>45</v>
      </c>
    </row>
    <row r="3783" spans="1:9" ht="15" customHeight="1" x14ac:dyDescent="0.25">
      <c r="A3783" s="87" t="s">
        <v>8</v>
      </c>
      <c r="B3783" s="87" t="s">
        <v>384</v>
      </c>
      <c r="C3783" s="87">
        <v>2012</v>
      </c>
      <c r="D3783" s="87" t="s">
        <v>9</v>
      </c>
      <c r="E3783" s="116">
        <v>4091</v>
      </c>
      <c r="F3783" s="87" t="s">
        <v>967</v>
      </c>
      <c r="G3783" s="87" t="s">
        <v>273</v>
      </c>
      <c r="H3783" s="87" t="s">
        <v>967</v>
      </c>
      <c r="I3783" s="87">
        <v>45</v>
      </c>
    </row>
    <row r="3784" spans="1:9" ht="15" customHeight="1" x14ac:dyDescent="0.25">
      <c r="A3784" s="87" t="s">
        <v>8</v>
      </c>
      <c r="B3784" s="87" t="s">
        <v>384</v>
      </c>
      <c r="C3784" s="87">
        <v>2013</v>
      </c>
      <c r="D3784" s="87" t="s">
        <v>9</v>
      </c>
      <c r="E3784" s="116">
        <v>28797</v>
      </c>
      <c r="F3784" s="87" t="s">
        <v>967</v>
      </c>
      <c r="G3784" s="87" t="s">
        <v>273</v>
      </c>
      <c r="H3784" s="87" t="s">
        <v>967</v>
      </c>
      <c r="I3784" s="87">
        <v>45</v>
      </c>
    </row>
    <row r="3785" spans="1:9" ht="15" customHeight="1" x14ac:dyDescent="0.25">
      <c r="A3785" s="87" t="s">
        <v>8</v>
      </c>
      <c r="B3785" s="87" t="s">
        <v>384</v>
      </c>
      <c r="C3785" s="87">
        <v>2014</v>
      </c>
      <c r="D3785" s="87" t="s">
        <v>9</v>
      </c>
      <c r="E3785" s="116">
        <v>43952</v>
      </c>
      <c r="F3785" s="87" t="s">
        <v>967</v>
      </c>
      <c r="G3785" s="87" t="s">
        <v>273</v>
      </c>
      <c r="H3785" s="87" t="s">
        <v>967</v>
      </c>
      <c r="I3785" s="87">
        <v>45</v>
      </c>
    </row>
    <row r="3786" spans="1:9" ht="15" customHeight="1" x14ac:dyDescent="0.25">
      <c r="A3786" s="87" t="s">
        <v>8</v>
      </c>
      <c r="B3786" s="87" t="s">
        <v>384</v>
      </c>
      <c r="C3786" s="87">
        <v>2015</v>
      </c>
      <c r="D3786" s="87" t="s">
        <v>9</v>
      </c>
      <c r="E3786" s="116">
        <v>39440</v>
      </c>
      <c r="F3786" s="87" t="s">
        <v>967</v>
      </c>
      <c r="G3786" s="87" t="s">
        <v>273</v>
      </c>
      <c r="H3786" s="87" t="s">
        <v>967</v>
      </c>
      <c r="I3786" s="87">
        <v>45</v>
      </c>
    </row>
    <row r="3787" spans="1:9" ht="15" customHeight="1" x14ac:dyDescent="0.25">
      <c r="A3787" s="87" t="s">
        <v>8</v>
      </c>
      <c r="B3787" s="87" t="s">
        <v>384</v>
      </c>
      <c r="C3787" s="87">
        <v>2016</v>
      </c>
      <c r="D3787" s="87" t="s">
        <v>9</v>
      </c>
      <c r="E3787" s="116">
        <v>6438</v>
      </c>
      <c r="F3787" s="87" t="s">
        <v>967</v>
      </c>
      <c r="G3787" s="87" t="s">
        <v>273</v>
      </c>
      <c r="H3787" s="87" t="s">
        <v>940</v>
      </c>
      <c r="I3787" s="87">
        <v>45</v>
      </c>
    </row>
    <row r="3788" spans="1:9" ht="15" customHeight="1" x14ac:dyDescent="0.25">
      <c r="A3788" s="87" t="s">
        <v>8</v>
      </c>
      <c r="B3788" s="87" t="s">
        <v>384</v>
      </c>
      <c r="C3788" s="87">
        <v>2017</v>
      </c>
      <c r="D3788" s="87" t="s">
        <v>9</v>
      </c>
      <c r="E3788" s="116">
        <v>13430</v>
      </c>
      <c r="F3788" s="87" t="s">
        <v>967</v>
      </c>
      <c r="G3788" s="87" t="s">
        <v>273</v>
      </c>
      <c r="H3788" s="87" t="s">
        <v>967</v>
      </c>
      <c r="I3788" s="87">
        <v>45</v>
      </c>
    </row>
    <row r="3789" spans="1:9" ht="15" customHeight="1" x14ac:dyDescent="0.25">
      <c r="A3789" s="87" t="s">
        <v>8</v>
      </c>
      <c r="B3789" s="87" t="s">
        <v>384</v>
      </c>
      <c r="C3789" s="87">
        <v>2018</v>
      </c>
      <c r="D3789" s="87" t="s">
        <v>9</v>
      </c>
      <c r="E3789" s="116">
        <v>17120</v>
      </c>
      <c r="F3789" s="87" t="s">
        <v>967</v>
      </c>
      <c r="G3789" s="87" t="s">
        <v>273</v>
      </c>
      <c r="H3789" s="87" t="s">
        <v>967</v>
      </c>
      <c r="I3789" s="87">
        <v>45</v>
      </c>
    </row>
    <row r="3790" spans="1:9" ht="15" customHeight="1" x14ac:dyDescent="0.25">
      <c r="A3790" s="87" t="s">
        <v>8</v>
      </c>
      <c r="B3790" s="87" t="s">
        <v>384</v>
      </c>
      <c r="C3790" s="87">
        <v>2019</v>
      </c>
      <c r="D3790" s="87" t="s">
        <v>9</v>
      </c>
      <c r="E3790" s="116">
        <v>29649</v>
      </c>
      <c r="F3790" s="87" t="s">
        <v>967</v>
      </c>
      <c r="G3790" s="87" t="s">
        <v>273</v>
      </c>
      <c r="H3790" s="87" t="s">
        <v>967</v>
      </c>
      <c r="I3790" s="87">
        <v>45</v>
      </c>
    </row>
    <row r="3791" spans="1:9" ht="15" customHeight="1" x14ac:dyDescent="0.25">
      <c r="A3791" s="87" t="s">
        <v>8</v>
      </c>
      <c r="B3791" s="87" t="s">
        <v>384</v>
      </c>
      <c r="C3791" s="87">
        <v>2020</v>
      </c>
      <c r="D3791" s="87" t="s">
        <v>9</v>
      </c>
      <c r="E3791" s="116">
        <v>25528</v>
      </c>
      <c r="F3791" s="87" t="s">
        <v>967</v>
      </c>
      <c r="G3791" s="87" t="s">
        <v>273</v>
      </c>
      <c r="H3791" s="87" t="s">
        <v>967</v>
      </c>
      <c r="I3791" s="87">
        <v>45</v>
      </c>
    </row>
    <row r="3792" spans="1:9" ht="15" customHeight="1" x14ac:dyDescent="0.25">
      <c r="A3792" s="87" t="s">
        <v>8</v>
      </c>
      <c r="B3792" s="87" t="s">
        <v>384</v>
      </c>
      <c r="C3792" s="87">
        <v>2021</v>
      </c>
      <c r="D3792" s="87" t="s">
        <v>9</v>
      </c>
      <c r="E3792" s="116">
        <v>29507</v>
      </c>
      <c r="F3792" s="87" t="s">
        <v>967</v>
      </c>
      <c r="G3792" s="87" t="s">
        <v>273</v>
      </c>
      <c r="H3792" s="87" t="s">
        <v>967</v>
      </c>
      <c r="I3792" s="87">
        <v>45</v>
      </c>
    </row>
    <row r="3793" spans="1:9" ht="15" customHeight="1" x14ac:dyDescent="0.25">
      <c r="A3793" s="87" t="s">
        <v>8</v>
      </c>
      <c r="B3793" s="87" t="s">
        <v>384</v>
      </c>
      <c r="C3793" s="87">
        <v>2022</v>
      </c>
      <c r="D3793" s="87" t="s">
        <v>9</v>
      </c>
      <c r="E3793" s="116">
        <v>33914</v>
      </c>
      <c r="F3793" s="87" t="s">
        <v>967</v>
      </c>
      <c r="G3793" s="87" t="s">
        <v>273</v>
      </c>
      <c r="H3793" s="87" t="s">
        <v>967</v>
      </c>
      <c r="I3793" s="87">
        <v>45</v>
      </c>
    </row>
    <row r="3794" spans="1:9" ht="15" customHeight="1" x14ac:dyDescent="0.25">
      <c r="A3794" s="87" t="s">
        <v>8</v>
      </c>
      <c r="B3794" s="87" t="s">
        <v>385</v>
      </c>
      <c r="C3794" s="87">
        <v>1975</v>
      </c>
      <c r="D3794" s="87" t="s">
        <v>9</v>
      </c>
      <c r="E3794" s="116">
        <v>819.14431624835856</v>
      </c>
      <c r="F3794" s="87" t="s">
        <v>967</v>
      </c>
      <c r="G3794" s="87" t="s">
        <v>272</v>
      </c>
      <c r="H3794" s="87" t="s">
        <v>967</v>
      </c>
      <c r="I3794" s="87">
        <v>44</v>
      </c>
    </row>
    <row r="3795" spans="1:9" ht="15" customHeight="1" x14ac:dyDescent="0.25">
      <c r="A3795" s="87" t="s">
        <v>8</v>
      </c>
      <c r="B3795" s="87" t="s">
        <v>385</v>
      </c>
      <c r="C3795" s="87">
        <v>1976</v>
      </c>
      <c r="D3795" s="87" t="s">
        <v>9</v>
      </c>
      <c r="E3795" s="116">
        <v>558.54828029069813</v>
      </c>
      <c r="F3795" s="87" t="s">
        <v>967</v>
      </c>
      <c r="G3795" s="87" t="s">
        <v>272</v>
      </c>
      <c r="H3795" s="87" t="s">
        <v>967</v>
      </c>
      <c r="I3795" s="87">
        <v>44</v>
      </c>
    </row>
    <row r="3796" spans="1:9" ht="15" customHeight="1" x14ac:dyDescent="0.25">
      <c r="A3796" s="87" t="s">
        <v>8</v>
      </c>
      <c r="B3796" s="87" t="s">
        <v>385</v>
      </c>
      <c r="C3796" s="87">
        <v>1977</v>
      </c>
      <c r="D3796" s="87" t="s">
        <v>9</v>
      </c>
      <c r="E3796" s="116">
        <v>754.376497297274</v>
      </c>
      <c r="F3796" s="87" t="s">
        <v>967</v>
      </c>
      <c r="G3796" s="87" t="s">
        <v>272</v>
      </c>
      <c r="H3796" s="87" t="s">
        <v>967</v>
      </c>
      <c r="I3796" s="87">
        <v>44</v>
      </c>
    </row>
    <row r="3797" spans="1:9" ht="15" customHeight="1" x14ac:dyDescent="0.25">
      <c r="A3797" s="87" t="s">
        <v>8</v>
      </c>
      <c r="B3797" s="87" t="s">
        <v>385</v>
      </c>
      <c r="C3797" s="87">
        <v>1978</v>
      </c>
      <c r="D3797" s="87" t="s">
        <v>9</v>
      </c>
      <c r="E3797" s="116">
        <v>492.62228597830205</v>
      </c>
      <c r="F3797" s="87" t="s">
        <v>967</v>
      </c>
      <c r="G3797" s="87" t="s">
        <v>272</v>
      </c>
      <c r="H3797" s="87" t="s">
        <v>967</v>
      </c>
      <c r="I3797" s="87">
        <v>44</v>
      </c>
    </row>
    <row r="3798" spans="1:9" ht="15" customHeight="1" x14ac:dyDescent="0.25">
      <c r="A3798" s="87" t="s">
        <v>8</v>
      </c>
      <c r="B3798" s="87" t="s">
        <v>385</v>
      </c>
      <c r="C3798" s="87">
        <v>1979</v>
      </c>
      <c r="D3798" s="87" t="s">
        <v>9</v>
      </c>
      <c r="E3798" s="116">
        <v>689.37785651803858</v>
      </c>
      <c r="F3798" s="87" t="s">
        <v>967</v>
      </c>
      <c r="G3798" s="87" t="s">
        <v>272</v>
      </c>
      <c r="H3798" s="87" t="s">
        <v>967</v>
      </c>
      <c r="I3798" s="87">
        <v>44</v>
      </c>
    </row>
    <row r="3799" spans="1:9" ht="15" customHeight="1" x14ac:dyDescent="0.25">
      <c r="A3799" s="87" t="s">
        <v>8</v>
      </c>
      <c r="B3799" s="87" t="s">
        <v>385</v>
      </c>
      <c r="C3799" s="87">
        <v>1980</v>
      </c>
      <c r="D3799" s="87" t="s">
        <v>9</v>
      </c>
      <c r="E3799" s="116">
        <v>689.37785651803858</v>
      </c>
      <c r="F3799" s="87" t="s">
        <v>967</v>
      </c>
      <c r="G3799" s="87" t="s">
        <v>272</v>
      </c>
      <c r="H3799" s="87" t="s">
        <v>967</v>
      </c>
      <c r="I3799" s="87">
        <v>44</v>
      </c>
    </row>
    <row r="3800" spans="1:9" ht="15" customHeight="1" x14ac:dyDescent="0.25">
      <c r="A3800" s="87" t="s">
        <v>8</v>
      </c>
      <c r="B3800" s="87" t="s">
        <v>385</v>
      </c>
      <c r="C3800" s="87">
        <v>1981</v>
      </c>
      <c r="D3800" s="87" t="s">
        <v>9</v>
      </c>
      <c r="E3800" s="116">
        <v>689.37785651803858</v>
      </c>
      <c r="F3800" s="87" t="s">
        <v>967</v>
      </c>
      <c r="G3800" s="87" t="s">
        <v>272</v>
      </c>
      <c r="H3800" s="87" t="s">
        <v>967</v>
      </c>
      <c r="I3800" s="87">
        <v>44</v>
      </c>
    </row>
    <row r="3801" spans="1:9" ht="15" customHeight="1" x14ac:dyDescent="0.25">
      <c r="A3801" s="87" t="s">
        <v>8</v>
      </c>
      <c r="B3801" s="87" t="s">
        <v>385</v>
      </c>
      <c r="C3801" s="87">
        <v>1982</v>
      </c>
      <c r="D3801" s="87" t="s">
        <v>9</v>
      </c>
      <c r="E3801" s="116">
        <v>689.37785651803858</v>
      </c>
      <c r="F3801" s="87" t="s">
        <v>967</v>
      </c>
      <c r="G3801" s="87" t="s">
        <v>272</v>
      </c>
      <c r="H3801" s="87" t="s">
        <v>967</v>
      </c>
      <c r="I3801" s="87">
        <v>44</v>
      </c>
    </row>
    <row r="3802" spans="1:9" ht="15" customHeight="1" x14ac:dyDescent="0.25">
      <c r="A3802" s="87" t="s">
        <v>8</v>
      </c>
      <c r="B3802" s="87" t="s">
        <v>385</v>
      </c>
      <c r="C3802" s="87">
        <v>1983</v>
      </c>
      <c r="D3802" s="87" t="s">
        <v>9</v>
      </c>
      <c r="E3802" s="116">
        <v>426.26581142709978</v>
      </c>
      <c r="F3802" s="87" t="s">
        <v>967</v>
      </c>
      <c r="G3802" s="87" t="s">
        <v>272</v>
      </c>
      <c r="H3802" s="87" t="s">
        <v>967</v>
      </c>
      <c r="I3802" s="87">
        <v>44</v>
      </c>
    </row>
    <row r="3803" spans="1:9" ht="15" customHeight="1" x14ac:dyDescent="0.25">
      <c r="A3803" s="87" t="s">
        <v>8</v>
      </c>
      <c r="B3803" s="87" t="s">
        <v>385</v>
      </c>
      <c r="C3803" s="87">
        <v>1984</v>
      </c>
      <c r="D3803" s="87" t="s">
        <v>9</v>
      </c>
      <c r="E3803" s="116">
        <v>948.08896061752603</v>
      </c>
      <c r="F3803" s="87" t="s">
        <v>967</v>
      </c>
      <c r="G3803" s="87" t="s">
        <v>272</v>
      </c>
      <c r="H3803" s="87" t="s">
        <v>967</v>
      </c>
      <c r="I3803" s="87">
        <v>44</v>
      </c>
    </row>
    <row r="3804" spans="1:9" ht="15" customHeight="1" x14ac:dyDescent="0.25">
      <c r="A3804" s="87" t="s">
        <v>8</v>
      </c>
      <c r="B3804" s="87" t="s">
        <v>385</v>
      </c>
      <c r="C3804" s="87">
        <v>1985</v>
      </c>
      <c r="D3804" s="87" t="s">
        <v>9</v>
      </c>
      <c r="E3804" s="116">
        <v>1204.1153910842427</v>
      </c>
      <c r="F3804" s="87" t="s">
        <v>967</v>
      </c>
      <c r="G3804" s="87" t="s">
        <v>272</v>
      </c>
      <c r="H3804" s="87" t="s">
        <v>967</v>
      </c>
      <c r="I3804" s="87">
        <v>44</v>
      </c>
    </row>
    <row r="3805" spans="1:9" ht="15" customHeight="1" x14ac:dyDescent="0.25">
      <c r="A3805" s="87" t="s">
        <v>8</v>
      </c>
      <c r="B3805" s="87" t="s">
        <v>385</v>
      </c>
      <c r="C3805" s="87">
        <v>1986</v>
      </c>
      <c r="D3805" s="87" t="s">
        <v>9</v>
      </c>
      <c r="E3805" s="116">
        <v>1331.3988304094689</v>
      </c>
      <c r="F3805" s="87" t="s">
        <v>967</v>
      </c>
      <c r="G3805" s="87" t="s">
        <v>272</v>
      </c>
      <c r="H3805" s="87" t="s">
        <v>967</v>
      </c>
      <c r="I3805" s="87">
        <v>44</v>
      </c>
    </row>
    <row r="3806" spans="1:9" ht="15" customHeight="1" x14ac:dyDescent="0.25">
      <c r="A3806" s="87" t="s">
        <v>8</v>
      </c>
      <c r="B3806" s="87" t="s">
        <v>385</v>
      </c>
      <c r="C3806" s="87">
        <v>1987</v>
      </c>
      <c r="D3806" s="87" t="s">
        <v>9</v>
      </c>
      <c r="E3806" s="116">
        <v>2213.7452013876273</v>
      </c>
      <c r="F3806" s="87" t="s">
        <v>967</v>
      </c>
      <c r="G3806" s="87" t="s">
        <v>272</v>
      </c>
      <c r="H3806" s="87" t="s">
        <v>967</v>
      </c>
      <c r="I3806" s="87">
        <v>44</v>
      </c>
    </row>
    <row r="3807" spans="1:9" ht="15" customHeight="1" x14ac:dyDescent="0.25">
      <c r="A3807" s="87" t="s">
        <v>8</v>
      </c>
      <c r="B3807" s="87" t="s">
        <v>385</v>
      </c>
      <c r="C3807" s="87">
        <v>1988</v>
      </c>
      <c r="D3807" s="87" t="s">
        <v>9</v>
      </c>
      <c r="E3807" s="116">
        <v>2088.3895694367229</v>
      </c>
      <c r="F3807" s="87" t="s">
        <v>967</v>
      </c>
      <c r="G3807" s="87" t="s">
        <v>272</v>
      </c>
      <c r="H3807" s="87" t="s">
        <v>967</v>
      </c>
      <c r="I3807" s="87">
        <v>44</v>
      </c>
    </row>
    <row r="3808" spans="1:9" ht="15" customHeight="1" x14ac:dyDescent="0.25">
      <c r="A3808" s="87" t="s">
        <v>8</v>
      </c>
      <c r="B3808" s="87" t="s">
        <v>385</v>
      </c>
      <c r="C3808" s="87">
        <v>1989</v>
      </c>
      <c r="D3808" s="87" t="s">
        <v>9</v>
      </c>
      <c r="E3808" s="116">
        <v>1962.8439060320079</v>
      </c>
      <c r="F3808" s="87" t="s">
        <v>967</v>
      </c>
      <c r="G3808" s="87" t="s">
        <v>272</v>
      </c>
      <c r="H3808" s="87" t="s">
        <v>967</v>
      </c>
      <c r="I3808" s="87">
        <v>44</v>
      </c>
    </row>
    <row r="3809" spans="1:9" ht="15" customHeight="1" x14ac:dyDescent="0.25">
      <c r="A3809" s="87" t="s">
        <v>8</v>
      </c>
      <c r="B3809" s="87" t="s">
        <v>385</v>
      </c>
      <c r="C3809" s="87">
        <v>1990</v>
      </c>
      <c r="D3809" s="87" t="s">
        <v>9</v>
      </c>
      <c r="E3809" s="116">
        <v>5068.1227366196954</v>
      </c>
      <c r="F3809" s="87" t="s">
        <v>967</v>
      </c>
      <c r="G3809" s="87" t="s">
        <v>272</v>
      </c>
      <c r="H3809" s="87" t="s">
        <v>967</v>
      </c>
      <c r="I3809" s="87">
        <v>44</v>
      </c>
    </row>
    <row r="3810" spans="1:9" ht="15" customHeight="1" x14ac:dyDescent="0.25">
      <c r="A3810" s="87" t="s">
        <v>8</v>
      </c>
      <c r="B3810" s="87" t="s">
        <v>385</v>
      </c>
      <c r="C3810" s="87">
        <v>1991</v>
      </c>
      <c r="D3810" s="87" t="s">
        <v>9</v>
      </c>
      <c r="E3810" s="116">
        <v>6300.7752829671035</v>
      </c>
      <c r="F3810" s="87" t="s">
        <v>967</v>
      </c>
      <c r="G3810" s="87" t="s">
        <v>272</v>
      </c>
      <c r="H3810" s="87" t="s">
        <v>967</v>
      </c>
      <c r="I3810" s="87">
        <v>44</v>
      </c>
    </row>
    <row r="3811" spans="1:9" ht="15" customHeight="1" x14ac:dyDescent="0.25">
      <c r="A3811" s="87" t="s">
        <v>8</v>
      </c>
      <c r="B3811" s="87" t="s">
        <v>385</v>
      </c>
      <c r="C3811" s="87">
        <v>1992</v>
      </c>
      <c r="D3811" s="87" t="s">
        <v>9</v>
      </c>
      <c r="E3811" s="116">
        <v>6300.7752829671035</v>
      </c>
      <c r="F3811" s="87" t="s">
        <v>967</v>
      </c>
      <c r="G3811" s="87" t="s">
        <v>272</v>
      </c>
      <c r="H3811" s="87" t="s">
        <v>967</v>
      </c>
      <c r="I3811" s="87">
        <v>44</v>
      </c>
    </row>
    <row r="3812" spans="1:9" ht="15" customHeight="1" x14ac:dyDescent="0.25">
      <c r="A3812" s="87" t="s">
        <v>8</v>
      </c>
      <c r="B3812" s="87" t="s">
        <v>385</v>
      </c>
      <c r="C3812" s="87">
        <v>1993</v>
      </c>
      <c r="D3812" s="87" t="s">
        <v>9</v>
      </c>
      <c r="E3812" s="116">
        <v>3211.4658966367738</v>
      </c>
      <c r="F3812" s="87" t="s">
        <v>967</v>
      </c>
      <c r="G3812" s="87" t="s">
        <v>272</v>
      </c>
      <c r="H3812" s="87" t="s">
        <v>967</v>
      </c>
      <c r="I3812" s="87">
        <v>44</v>
      </c>
    </row>
    <row r="3813" spans="1:9" ht="15" customHeight="1" x14ac:dyDescent="0.25">
      <c r="A3813" s="87" t="s">
        <v>8</v>
      </c>
      <c r="B3813" s="87" t="s">
        <v>385</v>
      </c>
      <c r="C3813" s="87">
        <v>1994</v>
      </c>
      <c r="D3813" s="87" t="s">
        <v>9</v>
      </c>
      <c r="E3813" s="116">
        <v>5068.1227366196954</v>
      </c>
      <c r="F3813" s="87" t="s">
        <v>967</v>
      </c>
      <c r="G3813" s="87" t="s">
        <v>272</v>
      </c>
      <c r="H3813" s="87" t="s">
        <v>967</v>
      </c>
      <c r="I3813" s="87">
        <v>44</v>
      </c>
    </row>
    <row r="3814" spans="1:9" ht="15" customHeight="1" x14ac:dyDescent="0.25">
      <c r="A3814" s="87" t="s">
        <v>8</v>
      </c>
      <c r="B3814" s="87" t="s">
        <v>385</v>
      </c>
      <c r="C3814" s="87">
        <v>1995</v>
      </c>
      <c r="D3814" s="87" t="s">
        <v>9</v>
      </c>
      <c r="E3814" s="116">
        <v>3831.8236993381379</v>
      </c>
      <c r="F3814" s="87" t="s">
        <v>967</v>
      </c>
      <c r="G3814" s="87" t="s">
        <v>272</v>
      </c>
      <c r="H3814" s="87" t="s">
        <v>967</v>
      </c>
      <c r="I3814" s="87">
        <v>44</v>
      </c>
    </row>
    <row r="3815" spans="1:9" ht="15" customHeight="1" x14ac:dyDescent="0.25">
      <c r="A3815" s="87" t="s">
        <v>8</v>
      </c>
      <c r="B3815" s="87" t="s">
        <v>385</v>
      </c>
      <c r="C3815" s="87">
        <v>1996</v>
      </c>
      <c r="D3815" s="87" t="s">
        <v>9</v>
      </c>
      <c r="E3815" s="116">
        <v>6300.7752829671035</v>
      </c>
      <c r="F3815" s="87" t="s">
        <v>967</v>
      </c>
      <c r="G3815" s="87" t="s">
        <v>272</v>
      </c>
      <c r="H3815" s="87" t="s">
        <v>967</v>
      </c>
      <c r="I3815" s="87">
        <v>44</v>
      </c>
    </row>
    <row r="3816" spans="1:9" ht="15" customHeight="1" x14ac:dyDescent="0.25">
      <c r="A3816" s="87" t="s">
        <v>8</v>
      </c>
      <c r="B3816" s="87" t="s">
        <v>385</v>
      </c>
      <c r="C3816" s="87">
        <v>1997</v>
      </c>
      <c r="D3816" s="87" t="s">
        <v>9</v>
      </c>
      <c r="E3816" s="116">
        <v>4821.2215787978694</v>
      </c>
      <c r="F3816" s="87" t="s">
        <v>967</v>
      </c>
      <c r="G3816" s="87" t="s">
        <v>272</v>
      </c>
      <c r="H3816" s="87" t="s">
        <v>967</v>
      </c>
      <c r="I3816" s="87">
        <v>44</v>
      </c>
    </row>
    <row r="3817" spans="1:9" ht="15" customHeight="1" x14ac:dyDescent="0.25">
      <c r="A3817" s="87" t="s">
        <v>8</v>
      </c>
      <c r="B3817" s="87" t="s">
        <v>385</v>
      </c>
      <c r="C3817" s="87">
        <v>1998</v>
      </c>
      <c r="D3817" s="87" t="s">
        <v>9</v>
      </c>
      <c r="E3817" s="116">
        <v>5652.7394106830116</v>
      </c>
      <c r="F3817" s="87" t="s">
        <v>967</v>
      </c>
      <c r="G3817" s="87" t="s">
        <v>272</v>
      </c>
      <c r="H3817" s="87" t="s">
        <v>967</v>
      </c>
      <c r="I3817" s="87">
        <v>44</v>
      </c>
    </row>
    <row r="3818" spans="1:9" ht="15" customHeight="1" x14ac:dyDescent="0.25">
      <c r="A3818" s="87" t="s">
        <v>8</v>
      </c>
      <c r="B3818" s="87" t="s">
        <v>385</v>
      </c>
      <c r="C3818" s="87">
        <v>1999</v>
      </c>
      <c r="D3818" s="87" t="s">
        <v>9</v>
      </c>
      <c r="E3818" s="116">
        <v>3138.1299297183227</v>
      </c>
      <c r="F3818" s="87" t="s">
        <v>967</v>
      </c>
      <c r="G3818" s="87" t="s">
        <v>272</v>
      </c>
      <c r="H3818" s="87" t="s">
        <v>967</v>
      </c>
      <c r="I3818" s="87">
        <v>44</v>
      </c>
    </row>
    <row r="3819" spans="1:9" ht="15" customHeight="1" x14ac:dyDescent="0.25">
      <c r="A3819" s="87" t="s">
        <v>8</v>
      </c>
      <c r="B3819" s="87" t="s">
        <v>385</v>
      </c>
      <c r="C3819" s="87">
        <v>2000</v>
      </c>
      <c r="D3819" s="87" t="s">
        <v>9</v>
      </c>
      <c r="E3819" s="116">
        <v>3356.8039346411824</v>
      </c>
      <c r="F3819" s="87" t="s">
        <v>967</v>
      </c>
      <c r="G3819" s="87" t="s">
        <v>272</v>
      </c>
      <c r="H3819" s="87" t="s">
        <v>967</v>
      </c>
      <c r="I3819" s="87">
        <v>44</v>
      </c>
    </row>
    <row r="3820" spans="1:9" ht="15" customHeight="1" x14ac:dyDescent="0.25">
      <c r="A3820" s="87" t="s">
        <v>8</v>
      </c>
      <c r="B3820" s="87" t="s">
        <v>385</v>
      </c>
      <c r="C3820" s="87">
        <v>2001</v>
      </c>
      <c r="D3820" s="87" t="s">
        <v>9</v>
      </c>
      <c r="E3820" s="116">
        <v>3668.2278288763368</v>
      </c>
      <c r="F3820" s="87" t="s">
        <v>967</v>
      </c>
      <c r="G3820" s="87" t="s">
        <v>272</v>
      </c>
      <c r="H3820" s="87" t="s">
        <v>967</v>
      </c>
      <c r="I3820" s="87">
        <v>44</v>
      </c>
    </row>
    <row r="3821" spans="1:9" ht="15" customHeight="1" x14ac:dyDescent="0.25">
      <c r="A3821" s="87" t="s">
        <v>8</v>
      </c>
      <c r="B3821" s="87" t="s">
        <v>385</v>
      </c>
      <c r="C3821" s="87">
        <v>2002</v>
      </c>
      <c r="D3821" s="87" t="s">
        <v>9</v>
      </c>
      <c r="E3821" s="116">
        <v>7254.5778900788655</v>
      </c>
      <c r="F3821" s="87" t="s">
        <v>967</v>
      </c>
      <c r="G3821" s="87" t="s">
        <v>272</v>
      </c>
      <c r="H3821" s="87" t="s">
        <v>967</v>
      </c>
      <c r="I3821" s="87">
        <v>44</v>
      </c>
    </row>
    <row r="3822" spans="1:9" ht="15" customHeight="1" x14ac:dyDescent="0.25">
      <c r="A3822" s="87" t="s">
        <v>8</v>
      </c>
      <c r="B3822" s="87" t="s">
        <v>385</v>
      </c>
      <c r="C3822" s="87">
        <v>2003</v>
      </c>
      <c r="D3822" s="87" t="s">
        <v>9</v>
      </c>
      <c r="E3822" s="116">
        <v>6063.0732209632479</v>
      </c>
      <c r="F3822" s="87" t="s">
        <v>967</v>
      </c>
      <c r="G3822" s="87" t="s">
        <v>272</v>
      </c>
      <c r="H3822" s="87" t="s">
        <v>967</v>
      </c>
      <c r="I3822" s="87">
        <v>44</v>
      </c>
    </row>
    <row r="3823" spans="1:9" ht="15" customHeight="1" x14ac:dyDescent="0.25">
      <c r="A3823" s="87" t="s">
        <v>8</v>
      </c>
      <c r="B3823" s="87" t="s">
        <v>385</v>
      </c>
      <c r="C3823" s="87">
        <v>2004</v>
      </c>
      <c r="D3823" s="87" t="s">
        <v>9</v>
      </c>
      <c r="E3823" s="116">
        <v>1855.9654264484204</v>
      </c>
      <c r="F3823" s="87" t="s">
        <v>967</v>
      </c>
      <c r="G3823" s="87" t="s">
        <v>272</v>
      </c>
      <c r="H3823" s="87" t="s">
        <v>967</v>
      </c>
      <c r="I3823" s="87">
        <v>44</v>
      </c>
    </row>
    <row r="3824" spans="1:9" ht="15" customHeight="1" x14ac:dyDescent="0.25">
      <c r="A3824" s="87" t="s">
        <v>8</v>
      </c>
      <c r="B3824" s="87" t="s">
        <v>385</v>
      </c>
      <c r="C3824" s="87">
        <v>2005</v>
      </c>
      <c r="D3824" s="87" t="s">
        <v>9</v>
      </c>
      <c r="E3824" s="116">
        <v>2442.7107487586172</v>
      </c>
      <c r="F3824" s="87" t="s">
        <v>967</v>
      </c>
      <c r="G3824" s="87" t="s">
        <v>272</v>
      </c>
      <c r="H3824" s="87" t="s">
        <v>967</v>
      </c>
      <c r="I3824" s="87">
        <v>44</v>
      </c>
    </row>
    <row r="3825" spans="1:9" ht="15" customHeight="1" x14ac:dyDescent="0.25">
      <c r="A3825" s="87" t="s">
        <v>8</v>
      </c>
      <c r="B3825" s="87" t="s">
        <v>385</v>
      </c>
      <c r="C3825" s="87">
        <v>2006</v>
      </c>
      <c r="D3825" s="87" t="s">
        <v>9</v>
      </c>
      <c r="E3825" s="116">
        <v>5120</v>
      </c>
      <c r="F3825" s="87" t="s">
        <v>967</v>
      </c>
      <c r="G3825" s="87" t="s">
        <v>273</v>
      </c>
      <c r="H3825" s="87" t="s">
        <v>967</v>
      </c>
      <c r="I3825" s="87">
        <v>44</v>
      </c>
    </row>
    <row r="3826" spans="1:9" ht="15" customHeight="1" x14ac:dyDescent="0.25">
      <c r="A3826" s="87" t="s">
        <v>8</v>
      </c>
      <c r="B3826" s="87" t="s">
        <v>385</v>
      </c>
      <c r="C3826" s="87">
        <v>2007</v>
      </c>
      <c r="D3826" s="87" t="s">
        <v>9</v>
      </c>
      <c r="E3826" s="116">
        <v>1118</v>
      </c>
      <c r="F3826" s="87" t="s">
        <v>967</v>
      </c>
      <c r="G3826" s="87" t="s">
        <v>273</v>
      </c>
      <c r="H3826" s="87" t="s">
        <v>967</v>
      </c>
      <c r="I3826" s="87">
        <v>44</v>
      </c>
    </row>
    <row r="3827" spans="1:9" ht="15" customHeight="1" x14ac:dyDescent="0.25">
      <c r="A3827" s="87" t="s">
        <v>8</v>
      </c>
      <c r="B3827" s="87" t="s">
        <v>385</v>
      </c>
      <c r="C3827" s="87">
        <v>2008</v>
      </c>
      <c r="D3827" s="87" t="s">
        <v>9</v>
      </c>
      <c r="E3827" s="116">
        <v>1655</v>
      </c>
      <c r="F3827" s="87" t="s">
        <v>967</v>
      </c>
      <c r="G3827" s="87" t="s">
        <v>273</v>
      </c>
      <c r="H3827" s="87" t="s">
        <v>967</v>
      </c>
      <c r="I3827" s="87">
        <v>44</v>
      </c>
    </row>
    <row r="3828" spans="1:9" ht="15" customHeight="1" x14ac:dyDescent="0.25">
      <c r="A3828" s="87" t="s">
        <v>8</v>
      </c>
      <c r="B3828" s="87" t="s">
        <v>385</v>
      </c>
      <c r="C3828" s="87">
        <v>2009</v>
      </c>
      <c r="D3828" s="87" t="s">
        <v>9</v>
      </c>
      <c r="E3828" s="116">
        <v>1717</v>
      </c>
      <c r="F3828" s="87" t="s">
        <v>967</v>
      </c>
      <c r="G3828" s="87" t="s">
        <v>273</v>
      </c>
      <c r="H3828" s="87" t="s">
        <v>967</v>
      </c>
      <c r="I3828" s="87">
        <v>44</v>
      </c>
    </row>
    <row r="3829" spans="1:9" ht="15" customHeight="1" x14ac:dyDescent="0.25">
      <c r="A3829" s="87" t="s">
        <v>8</v>
      </c>
      <c r="B3829" s="87" t="s">
        <v>385</v>
      </c>
      <c r="C3829" s="87">
        <v>2010</v>
      </c>
      <c r="D3829" s="87" t="s">
        <v>9</v>
      </c>
      <c r="E3829" s="116">
        <v>5037</v>
      </c>
      <c r="F3829" s="87" t="s">
        <v>967</v>
      </c>
      <c r="G3829" s="87" t="s">
        <v>273</v>
      </c>
      <c r="H3829" s="87" t="s">
        <v>967</v>
      </c>
      <c r="I3829" s="87">
        <v>44</v>
      </c>
    </row>
    <row r="3830" spans="1:9" ht="15" customHeight="1" x14ac:dyDescent="0.25">
      <c r="A3830" s="87" t="s">
        <v>8</v>
      </c>
      <c r="B3830" s="87" t="s">
        <v>385</v>
      </c>
      <c r="C3830" s="87">
        <v>2011</v>
      </c>
      <c r="D3830" s="87" t="s">
        <v>9</v>
      </c>
      <c r="E3830" s="116">
        <v>1031</v>
      </c>
      <c r="F3830" s="87" t="s">
        <v>967</v>
      </c>
      <c r="G3830" s="87" t="s">
        <v>273</v>
      </c>
      <c r="H3830" s="87" t="s">
        <v>967</v>
      </c>
      <c r="I3830" s="87">
        <v>44</v>
      </c>
    </row>
    <row r="3831" spans="1:9" ht="15" customHeight="1" x14ac:dyDescent="0.25">
      <c r="A3831" s="87" t="s">
        <v>8</v>
      </c>
      <c r="B3831" s="87" t="s">
        <v>385</v>
      </c>
      <c r="C3831" s="87">
        <v>2012</v>
      </c>
      <c r="D3831" s="87" t="s">
        <v>9</v>
      </c>
      <c r="E3831" s="116">
        <v>293</v>
      </c>
      <c r="F3831" s="87" t="s">
        <v>967</v>
      </c>
      <c r="G3831" s="87" t="s">
        <v>273</v>
      </c>
      <c r="H3831" s="87" t="s">
        <v>967</v>
      </c>
      <c r="I3831" s="87">
        <v>44</v>
      </c>
    </row>
    <row r="3832" spans="1:9" ht="15" customHeight="1" x14ac:dyDescent="0.25">
      <c r="A3832" s="87" t="s">
        <v>8</v>
      </c>
      <c r="B3832" s="87" t="s">
        <v>385</v>
      </c>
      <c r="C3832" s="87">
        <v>2013</v>
      </c>
      <c r="D3832" s="87" t="s">
        <v>9</v>
      </c>
      <c r="E3832" s="116">
        <v>2274</v>
      </c>
      <c r="F3832" s="87" t="s">
        <v>967</v>
      </c>
      <c r="G3832" s="87" t="s">
        <v>273</v>
      </c>
      <c r="H3832" s="87" t="s">
        <v>967</v>
      </c>
      <c r="I3832" s="87">
        <v>44</v>
      </c>
    </row>
    <row r="3833" spans="1:9" ht="15" customHeight="1" x14ac:dyDescent="0.25">
      <c r="A3833" s="87" t="s">
        <v>8</v>
      </c>
      <c r="B3833" s="87" t="s">
        <v>385</v>
      </c>
      <c r="C3833" s="87">
        <v>2014</v>
      </c>
      <c r="D3833" s="87" t="s">
        <v>9</v>
      </c>
      <c r="E3833" s="116">
        <v>2170</v>
      </c>
      <c r="F3833" s="87" t="s">
        <v>967</v>
      </c>
      <c r="G3833" s="87" t="s">
        <v>273</v>
      </c>
      <c r="H3833" s="87" t="s">
        <v>967</v>
      </c>
      <c r="I3833" s="87">
        <v>44</v>
      </c>
    </row>
    <row r="3834" spans="1:9" ht="15" customHeight="1" x14ac:dyDescent="0.25">
      <c r="A3834" s="87" t="s">
        <v>8</v>
      </c>
      <c r="B3834" s="87" t="s">
        <v>385</v>
      </c>
      <c r="C3834" s="87">
        <v>2015</v>
      </c>
      <c r="D3834" s="87" t="s">
        <v>9</v>
      </c>
      <c r="E3834" s="116">
        <v>3039.8831486136241</v>
      </c>
      <c r="F3834" s="87" t="s">
        <v>787</v>
      </c>
      <c r="G3834" s="87" t="s">
        <v>272</v>
      </c>
      <c r="H3834" s="87" t="s">
        <v>967</v>
      </c>
      <c r="I3834" s="87">
        <v>44</v>
      </c>
    </row>
    <row r="3835" spans="1:9" ht="15" customHeight="1" x14ac:dyDescent="0.25">
      <c r="A3835" s="87" t="s">
        <v>8</v>
      </c>
      <c r="B3835" s="87" t="s">
        <v>385</v>
      </c>
      <c r="C3835" s="87">
        <v>2016</v>
      </c>
      <c r="D3835" s="87" t="s">
        <v>9</v>
      </c>
      <c r="E3835" s="116">
        <v>475.41445536496781</v>
      </c>
      <c r="F3835" s="87" t="s">
        <v>967</v>
      </c>
      <c r="G3835" s="87" t="s">
        <v>272</v>
      </c>
      <c r="H3835" s="87" t="s">
        <v>967</v>
      </c>
      <c r="I3835" s="87">
        <v>44</v>
      </c>
    </row>
    <row r="3836" spans="1:9" ht="15" customHeight="1" x14ac:dyDescent="0.25">
      <c r="A3836" s="87" t="s">
        <v>8</v>
      </c>
      <c r="B3836" s="87" t="s">
        <v>385</v>
      </c>
      <c r="C3836" s="87">
        <v>2017</v>
      </c>
      <c r="D3836" s="87" t="s">
        <v>9</v>
      </c>
      <c r="E3836" s="116">
        <v>787</v>
      </c>
      <c r="F3836" s="87" t="s">
        <v>967</v>
      </c>
      <c r="G3836" s="87" t="s">
        <v>273</v>
      </c>
      <c r="H3836" s="87" t="s">
        <v>967</v>
      </c>
      <c r="I3836" s="87">
        <v>44</v>
      </c>
    </row>
    <row r="3837" spans="1:9" ht="15" customHeight="1" x14ac:dyDescent="0.25">
      <c r="A3837" s="87" t="s">
        <v>8</v>
      </c>
      <c r="B3837" s="87" t="s">
        <v>385</v>
      </c>
      <c r="C3837" s="87">
        <v>2018</v>
      </c>
      <c r="D3837" s="87" t="s">
        <v>9</v>
      </c>
      <c r="E3837" s="116">
        <v>2100</v>
      </c>
      <c r="F3837" s="87" t="s">
        <v>967</v>
      </c>
      <c r="G3837" s="87" t="s">
        <v>273</v>
      </c>
      <c r="H3837" s="87" t="s">
        <v>967</v>
      </c>
      <c r="I3837" s="87">
        <v>44</v>
      </c>
    </row>
    <row r="3838" spans="1:9" ht="15" customHeight="1" x14ac:dyDescent="0.25">
      <c r="A3838" s="87" t="s">
        <v>8</v>
      </c>
      <c r="B3838" s="87" t="s">
        <v>385</v>
      </c>
      <c r="C3838" s="87">
        <v>2019</v>
      </c>
      <c r="D3838" s="87" t="s">
        <v>9</v>
      </c>
      <c r="E3838" s="116">
        <v>2056</v>
      </c>
      <c r="F3838" s="87" t="s">
        <v>967</v>
      </c>
      <c r="G3838" s="87" t="s">
        <v>273</v>
      </c>
      <c r="H3838" s="87" t="s">
        <v>967</v>
      </c>
      <c r="I3838" s="87">
        <v>44</v>
      </c>
    </row>
    <row r="3839" spans="1:9" ht="15" customHeight="1" x14ac:dyDescent="0.25">
      <c r="A3839" s="87" t="s">
        <v>8</v>
      </c>
      <c r="B3839" s="87" t="s">
        <v>385</v>
      </c>
      <c r="C3839" s="87">
        <v>2020</v>
      </c>
      <c r="D3839" s="87" t="s">
        <v>9</v>
      </c>
      <c r="E3839" s="116">
        <v>2054</v>
      </c>
      <c r="F3839" s="87" t="s">
        <v>967</v>
      </c>
      <c r="G3839" s="87" t="s">
        <v>273</v>
      </c>
      <c r="H3839" s="87" t="s">
        <v>967</v>
      </c>
      <c r="I3839" s="87">
        <v>44</v>
      </c>
    </row>
    <row r="3840" spans="1:9" ht="15" customHeight="1" x14ac:dyDescent="0.25">
      <c r="A3840" s="87" t="s">
        <v>8</v>
      </c>
      <c r="B3840" s="87" t="s">
        <v>385</v>
      </c>
      <c r="C3840" s="87">
        <v>2021</v>
      </c>
      <c r="D3840" s="87" t="s">
        <v>9</v>
      </c>
      <c r="E3840" s="116">
        <v>1920</v>
      </c>
      <c r="F3840" s="87" t="s">
        <v>967</v>
      </c>
      <c r="G3840" s="87" t="s">
        <v>273</v>
      </c>
      <c r="H3840" s="87" t="s">
        <v>967</v>
      </c>
      <c r="I3840" s="87">
        <v>44</v>
      </c>
    </row>
    <row r="3841" spans="1:9" ht="15" customHeight="1" x14ac:dyDescent="0.25">
      <c r="A3841" s="87" t="s">
        <v>8</v>
      </c>
      <c r="B3841" s="87" t="s">
        <v>385</v>
      </c>
      <c r="C3841" s="87">
        <v>2022</v>
      </c>
      <c r="D3841" s="87" t="s">
        <v>9</v>
      </c>
      <c r="E3841" s="116">
        <v>1725</v>
      </c>
      <c r="F3841" s="87" t="s">
        <v>967</v>
      </c>
      <c r="G3841" s="87" t="s">
        <v>273</v>
      </c>
      <c r="H3841" s="87" t="s">
        <v>967</v>
      </c>
      <c r="I3841" s="87">
        <v>44</v>
      </c>
    </row>
    <row r="3842" spans="1:9" ht="15" customHeight="1" x14ac:dyDescent="0.25">
      <c r="A3842" s="87" t="s">
        <v>8</v>
      </c>
      <c r="B3842" s="87" t="s">
        <v>386</v>
      </c>
      <c r="C3842" s="87">
        <v>1975</v>
      </c>
      <c r="D3842" s="87" t="s">
        <v>9</v>
      </c>
      <c r="E3842" s="116">
        <v>-1</v>
      </c>
      <c r="F3842" s="87" t="s">
        <v>967</v>
      </c>
      <c r="G3842" s="87" t="s">
        <v>967</v>
      </c>
      <c r="H3842" s="87" t="s">
        <v>967</v>
      </c>
      <c r="I3842" s="87">
        <v>82</v>
      </c>
    </row>
    <row r="3843" spans="1:9" ht="15" customHeight="1" x14ac:dyDescent="0.25">
      <c r="A3843" s="87" t="s">
        <v>8</v>
      </c>
      <c r="B3843" s="87" t="s">
        <v>386</v>
      </c>
      <c r="C3843" s="87">
        <v>1976</v>
      </c>
      <c r="D3843" s="87" t="s">
        <v>9</v>
      </c>
      <c r="E3843" s="116">
        <v>-1</v>
      </c>
      <c r="F3843" s="87" t="s">
        <v>967</v>
      </c>
      <c r="G3843" s="87" t="s">
        <v>967</v>
      </c>
      <c r="H3843" s="87" t="s">
        <v>967</v>
      </c>
      <c r="I3843" s="87">
        <v>82</v>
      </c>
    </row>
    <row r="3844" spans="1:9" ht="15" customHeight="1" x14ac:dyDescent="0.25">
      <c r="A3844" s="87" t="s">
        <v>8</v>
      </c>
      <c r="B3844" s="87" t="s">
        <v>386</v>
      </c>
      <c r="C3844" s="87">
        <v>1977</v>
      </c>
      <c r="D3844" s="87" t="s">
        <v>9</v>
      </c>
      <c r="E3844" s="116">
        <v>-1</v>
      </c>
      <c r="F3844" s="87" t="s">
        <v>967</v>
      </c>
      <c r="G3844" s="87" t="s">
        <v>967</v>
      </c>
      <c r="H3844" s="87" t="s">
        <v>967</v>
      </c>
      <c r="I3844" s="87">
        <v>82</v>
      </c>
    </row>
    <row r="3845" spans="1:9" ht="15" customHeight="1" x14ac:dyDescent="0.25">
      <c r="A3845" s="87" t="s">
        <v>8</v>
      </c>
      <c r="B3845" s="87" t="s">
        <v>386</v>
      </c>
      <c r="C3845" s="87">
        <v>1978</v>
      </c>
      <c r="D3845" s="87" t="s">
        <v>9</v>
      </c>
      <c r="E3845" s="116">
        <v>-1</v>
      </c>
      <c r="F3845" s="87" t="s">
        <v>967</v>
      </c>
      <c r="G3845" s="87" t="s">
        <v>967</v>
      </c>
      <c r="H3845" s="87" t="s">
        <v>967</v>
      </c>
      <c r="I3845" s="87">
        <v>82</v>
      </c>
    </row>
    <row r="3846" spans="1:9" ht="15" customHeight="1" x14ac:dyDescent="0.25">
      <c r="A3846" s="87" t="s">
        <v>8</v>
      </c>
      <c r="B3846" s="87" t="s">
        <v>386</v>
      </c>
      <c r="C3846" s="87">
        <v>1979</v>
      </c>
      <c r="D3846" s="87" t="s">
        <v>9</v>
      </c>
      <c r="E3846" s="116">
        <v>-1</v>
      </c>
      <c r="F3846" s="87" t="s">
        <v>967</v>
      </c>
      <c r="G3846" s="87" t="s">
        <v>967</v>
      </c>
      <c r="H3846" s="87" t="s">
        <v>967</v>
      </c>
      <c r="I3846" s="87">
        <v>82</v>
      </c>
    </row>
    <row r="3847" spans="1:9" ht="15" customHeight="1" x14ac:dyDescent="0.25">
      <c r="A3847" s="87" t="s">
        <v>8</v>
      </c>
      <c r="B3847" s="87" t="s">
        <v>386</v>
      </c>
      <c r="C3847" s="87">
        <v>1980</v>
      </c>
      <c r="D3847" s="87" t="s">
        <v>9</v>
      </c>
      <c r="E3847" s="116">
        <v>-1</v>
      </c>
      <c r="F3847" s="87" t="s">
        <v>967</v>
      </c>
      <c r="G3847" s="87" t="s">
        <v>967</v>
      </c>
      <c r="H3847" s="87" t="s">
        <v>967</v>
      </c>
      <c r="I3847" s="87">
        <v>82</v>
      </c>
    </row>
    <row r="3848" spans="1:9" ht="15" customHeight="1" x14ac:dyDescent="0.25">
      <c r="A3848" s="87" t="s">
        <v>8</v>
      </c>
      <c r="B3848" s="87" t="s">
        <v>386</v>
      </c>
      <c r="C3848" s="87">
        <v>1981</v>
      </c>
      <c r="D3848" s="87" t="s">
        <v>9</v>
      </c>
      <c r="E3848" s="116">
        <v>-1</v>
      </c>
      <c r="F3848" s="87" t="s">
        <v>967</v>
      </c>
      <c r="G3848" s="87" t="s">
        <v>967</v>
      </c>
      <c r="H3848" s="87" t="s">
        <v>967</v>
      </c>
      <c r="I3848" s="87">
        <v>82</v>
      </c>
    </row>
    <row r="3849" spans="1:9" ht="15" customHeight="1" x14ac:dyDescent="0.25">
      <c r="A3849" s="87" t="s">
        <v>8</v>
      </c>
      <c r="B3849" s="87" t="s">
        <v>386</v>
      </c>
      <c r="C3849" s="87">
        <v>1982</v>
      </c>
      <c r="D3849" s="87" t="s">
        <v>9</v>
      </c>
      <c r="E3849" s="116">
        <v>-1</v>
      </c>
      <c r="F3849" s="87" t="s">
        <v>967</v>
      </c>
      <c r="G3849" s="87" t="s">
        <v>967</v>
      </c>
      <c r="H3849" s="87" t="s">
        <v>967</v>
      </c>
      <c r="I3849" s="87">
        <v>82</v>
      </c>
    </row>
    <row r="3850" spans="1:9" ht="15" customHeight="1" x14ac:dyDescent="0.25">
      <c r="A3850" s="87" t="s">
        <v>8</v>
      </c>
      <c r="B3850" s="87" t="s">
        <v>386</v>
      </c>
      <c r="C3850" s="87">
        <v>1983</v>
      </c>
      <c r="D3850" s="87" t="s">
        <v>9</v>
      </c>
      <c r="E3850" s="116">
        <v>-1</v>
      </c>
      <c r="F3850" s="87" t="s">
        <v>967</v>
      </c>
      <c r="G3850" s="87" t="s">
        <v>967</v>
      </c>
      <c r="H3850" s="87" t="s">
        <v>967</v>
      </c>
      <c r="I3850" s="87">
        <v>82</v>
      </c>
    </row>
    <row r="3851" spans="1:9" ht="15" customHeight="1" x14ac:dyDescent="0.25">
      <c r="A3851" s="87" t="s">
        <v>8</v>
      </c>
      <c r="B3851" s="87" t="s">
        <v>386</v>
      </c>
      <c r="C3851" s="87">
        <v>1984</v>
      </c>
      <c r="D3851" s="87" t="s">
        <v>9</v>
      </c>
      <c r="E3851" s="116">
        <v>-1</v>
      </c>
      <c r="F3851" s="87" t="s">
        <v>967</v>
      </c>
      <c r="G3851" s="87" t="s">
        <v>967</v>
      </c>
      <c r="H3851" s="87" t="s">
        <v>967</v>
      </c>
      <c r="I3851" s="87">
        <v>82</v>
      </c>
    </row>
    <row r="3852" spans="1:9" ht="15" customHeight="1" x14ac:dyDescent="0.25">
      <c r="A3852" s="87" t="s">
        <v>8</v>
      </c>
      <c r="B3852" s="87" t="s">
        <v>386</v>
      </c>
      <c r="C3852" s="87">
        <v>1985</v>
      </c>
      <c r="D3852" s="87" t="s">
        <v>9</v>
      </c>
      <c r="E3852" s="116">
        <v>-1</v>
      </c>
      <c r="F3852" s="87" t="s">
        <v>967</v>
      </c>
      <c r="G3852" s="87" t="s">
        <v>967</v>
      </c>
      <c r="H3852" s="87" t="s">
        <v>967</v>
      </c>
      <c r="I3852" s="87">
        <v>82</v>
      </c>
    </row>
    <row r="3853" spans="1:9" ht="15" customHeight="1" x14ac:dyDescent="0.25">
      <c r="A3853" s="87" t="s">
        <v>8</v>
      </c>
      <c r="B3853" s="87" t="s">
        <v>386</v>
      </c>
      <c r="C3853" s="87">
        <v>1986</v>
      </c>
      <c r="D3853" s="87" t="s">
        <v>9</v>
      </c>
      <c r="E3853" s="116">
        <v>-1</v>
      </c>
      <c r="F3853" s="87" t="s">
        <v>967</v>
      </c>
      <c r="G3853" s="87" t="s">
        <v>967</v>
      </c>
      <c r="H3853" s="87" t="s">
        <v>967</v>
      </c>
      <c r="I3853" s="87">
        <v>82</v>
      </c>
    </row>
    <row r="3854" spans="1:9" ht="15" customHeight="1" x14ac:dyDescent="0.25">
      <c r="A3854" s="87" t="s">
        <v>8</v>
      </c>
      <c r="B3854" s="87" t="s">
        <v>386</v>
      </c>
      <c r="C3854" s="87">
        <v>1987</v>
      </c>
      <c r="D3854" s="87" t="s">
        <v>9</v>
      </c>
      <c r="E3854" s="116">
        <v>-1</v>
      </c>
      <c r="F3854" s="87" t="s">
        <v>967</v>
      </c>
      <c r="G3854" s="87" t="s">
        <v>967</v>
      </c>
      <c r="H3854" s="87" t="s">
        <v>967</v>
      </c>
      <c r="I3854" s="87">
        <v>82</v>
      </c>
    </row>
    <row r="3855" spans="1:9" ht="15" customHeight="1" x14ac:dyDescent="0.25">
      <c r="A3855" s="87" t="s">
        <v>8</v>
      </c>
      <c r="B3855" s="87" t="s">
        <v>386</v>
      </c>
      <c r="C3855" s="87">
        <v>1988</v>
      </c>
      <c r="D3855" s="87" t="s">
        <v>9</v>
      </c>
      <c r="E3855" s="116">
        <v>-1</v>
      </c>
      <c r="F3855" s="87" t="s">
        <v>967</v>
      </c>
      <c r="G3855" s="87" t="s">
        <v>967</v>
      </c>
      <c r="H3855" s="87" t="s">
        <v>967</v>
      </c>
      <c r="I3855" s="87">
        <v>82</v>
      </c>
    </row>
    <row r="3856" spans="1:9" ht="15" customHeight="1" x14ac:dyDescent="0.25">
      <c r="A3856" s="87" t="s">
        <v>8</v>
      </c>
      <c r="B3856" s="87" t="s">
        <v>386</v>
      </c>
      <c r="C3856" s="87">
        <v>1989</v>
      </c>
      <c r="D3856" s="87" t="s">
        <v>9</v>
      </c>
      <c r="E3856" s="116">
        <v>-1</v>
      </c>
      <c r="F3856" s="87" t="s">
        <v>967</v>
      </c>
      <c r="G3856" s="87" t="s">
        <v>967</v>
      </c>
      <c r="H3856" s="87" t="s">
        <v>967</v>
      </c>
      <c r="I3856" s="87">
        <v>82</v>
      </c>
    </row>
    <row r="3857" spans="1:9" ht="15" customHeight="1" x14ac:dyDescent="0.25">
      <c r="A3857" s="87" t="s">
        <v>8</v>
      </c>
      <c r="B3857" s="87" t="s">
        <v>386</v>
      </c>
      <c r="C3857" s="87">
        <v>1990</v>
      </c>
      <c r="D3857" s="87" t="s">
        <v>9</v>
      </c>
      <c r="E3857" s="116">
        <v>-1</v>
      </c>
      <c r="F3857" s="87" t="s">
        <v>967</v>
      </c>
      <c r="G3857" s="87" t="s">
        <v>967</v>
      </c>
      <c r="H3857" s="87" t="s">
        <v>967</v>
      </c>
      <c r="I3857" s="87">
        <v>82</v>
      </c>
    </row>
    <row r="3858" spans="1:9" ht="15" customHeight="1" x14ac:dyDescent="0.25">
      <c r="A3858" s="87" t="s">
        <v>8</v>
      </c>
      <c r="B3858" s="87" t="s">
        <v>386</v>
      </c>
      <c r="C3858" s="87">
        <v>1991</v>
      </c>
      <c r="D3858" s="87" t="s">
        <v>9</v>
      </c>
      <c r="E3858" s="116">
        <v>-1</v>
      </c>
      <c r="F3858" s="87" t="s">
        <v>967</v>
      </c>
      <c r="G3858" s="87" t="s">
        <v>967</v>
      </c>
      <c r="H3858" s="87" t="s">
        <v>967</v>
      </c>
      <c r="I3858" s="87">
        <v>82</v>
      </c>
    </row>
    <row r="3859" spans="1:9" ht="15" customHeight="1" x14ac:dyDescent="0.25">
      <c r="A3859" s="87" t="s">
        <v>8</v>
      </c>
      <c r="B3859" s="87" t="s">
        <v>386</v>
      </c>
      <c r="C3859" s="87">
        <v>1992</v>
      </c>
      <c r="D3859" s="87" t="s">
        <v>9</v>
      </c>
      <c r="E3859" s="116">
        <v>-1</v>
      </c>
      <c r="F3859" s="87" t="s">
        <v>967</v>
      </c>
      <c r="G3859" s="87" t="s">
        <v>967</v>
      </c>
      <c r="H3859" s="87" t="s">
        <v>967</v>
      </c>
      <c r="I3859" s="87">
        <v>82</v>
      </c>
    </row>
    <row r="3860" spans="1:9" ht="15" customHeight="1" x14ac:dyDescent="0.25">
      <c r="A3860" s="87" t="s">
        <v>8</v>
      </c>
      <c r="B3860" s="87" t="s">
        <v>386</v>
      </c>
      <c r="C3860" s="87">
        <v>1993</v>
      </c>
      <c r="D3860" s="87" t="s">
        <v>9</v>
      </c>
      <c r="E3860" s="116">
        <v>-1</v>
      </c>
      <c r="F3860" s="87" t="s">
        <v>967</v>
      </c>
      <c r="G3860" s="87" t="s">
        <v>967</v>
      </c>
      <c r="H3860" s="87" t="s">
        <v>967</v>
      </c>
      <c r="I3860" s="87">
        <v>82</v>
      </c>
    </row>
    <row r="3861" spans="1:9" ht="15" customHeight="1" x14ac:dyDescent="0.25">
      <c r="A3861" s="87" t="s">
        <v>8</v>
      </c>
      <c r="B3861" s="87" t="s">
        <v>386</v>
      </c>
      <c r="C3861" s="87">
        <v>1994</v>
      </c>
      <c r="D3861" s="87" t="s">
        <v>9</v>
      </c>
      <c r="E3861" s="116">
        <v>-1</v>
      </c>
      <c r="F3861" s="87" t="s">
        <v>967</v>
      </c>
      <c r="G3861" s="87" t="s">
        <v>967</v>
      </c>
      <c r="H3861" s="87" t="s">
        <v>967</v>
      </c>
      <c r="I3861" s="87">
        <v>82</v>
      </c>
    </row>
    <row r="3862" spans="1:9" ht="15" customHeight="1" x14ac:dyDescent="0.25">
      <c r="A3862" s="87" t="s">
        <v>8</v>
      </c>
      <c r="B3862" s="87" t="s">
        <v>386</v>
      </c>
      <c r="C3862" s="87">
        <v>1995</v>
      </c>
      <c r="D3862" s="87" t="s">
        <v>9</v>
      </c>
      <c r="E3862" s="116">
        <v>-1</v>
      </c>
      <c r="F3862" s="87" t="s">
        <v>967</v>
      </c>
      <c r="G3862" s="87" t="s">
        <v>967</v>
      </c>
      <c r="H3862" s="87" t="s">
        <v>967</v>
      </c>
      <c r="I3862" s="87">
        <v>82</v>
      </c>
    </row>
    <row r="3863" spans="1:9" ht="15" customHeight="1" x14ac:dyDescent="0.25">
      <c r="A3863" s="87" t="s">
        <v>8</v>
      </c>
      <c r="B3863" s="87" t="s">
        <v>386</v>
      </c>
      <c r="C3863" s="87">
        <v>1996</v>
      </c>
      <c r="D3863" s="87" t="s">
        <v>9</v>
      </c>
      <c r="E3863" s="116">
        <v>30</v>
      </c>
      <c r="F3863" s="87" t="s">
        <v>967</v>
      </c>
      <c r="G3863" s="87" t="s">
        <v>967</v>
      </c>
      <c r="H3863" s="87" t="s">
        <v>967</v>
      </c>
      <c r="I3863" s="87">
        <v>82</v>
      </c>
    </row>
    <row r="3864" spans="1:9" ht="15" customHeight="1" x14ac:dyDescent="0.25">
      <c r="A3864" s="87" t="s">
        <v>8</v>
      </c>
      <c r="B3864" s="87" t="s">
        <v>386</v>
      </c>
      <c r="C3864" s="87">
        <v>1997</v>
      </c>
      <c r="D3864" s="87" t="s">
        <v>9</v>
      </c>
      <c r="E3864" s="116">
        <v>80</v>
      </c>
      <c r="F3864" s="87" t="s">
        <v>967</v>
      </c>
      <c r="G3864" s="87" t="s">
        <v>272</v>
      </c>
      <c r="H3864" s="87" t="s">
        <v>876</v>
      </c>
      <c r="I3864" s="87">
        <v>82</v>
      </c>
    </row>
    <row r="3865" spans="1:9" ht="15" customHeight="1" x14ac:dyDescent="0.25">
      <c r="A3865" s="87" t="s">
        <v>8</v>
      </c>
      <c r="B3865" s="87" t="s">
        <v>386</v>
      </c>
      <c r="C3865" s="87">
        <v>1998</v>
      </c>
      <c r="D3865" s="87" t="s">
        <v>9</v>
      </c>
      <c r="E3865" s="116">
        <v>117</v>
      </c>
      <c r="F3865" s="87" t="s">
        <v>967</v>
      </c>
      <c r="G3865" s="87" t="s">
        <v>272</v>
      </c>
      <c r="H3865" s="87" t="s">
        <v>877</v>
      </c>
      <c r="I3865" s="87">
        <v>82</v>
      </c>
    </row>
    <row r="3866" spans="1:9" ht="15" customHeight="1" x14ac:dyDescent="0.25">
      <c r="A3866" s="87" t="s">
        <v>8</v>
      </c>
      <c r="B3866" s="87" t="s">
        <v>386</v>
      </c>
      <c r="C3866" s="87">
        <v>1999</v>
      </c>
      <c r="D3866" s="87" t="s">
        <v>9</v>
      </c>
      <c r="E3866" s="116">
        <v>99</v>
      </c>
      <c r="F3866" s="87" t="s">
        <v>878</v>
      </c>
      <c r="G3866" s="87" t="s">
        <v>272</v>
      </c>
      <c r="H3866" s="87" t="s">
        <v>967</v>
      </c>
      <c r="I3866" s="87">
        <v>82</v>
      </c>
    </row>
    <row r="3867" spans="1:9" ht="15" customHeight="1" x14ac:dyDescent="0.25">
      <c r="A3867" s="87" t="s">
        <v>8</v>
      </c>
      <c r="B3867" s="87" t="s">
        <v>386</v>
      </c>
      <c r="C3867" s="87">
        <v>2000</v>
      </c>
      <c r="D3867" s="87" t="s">
        <v>9</v>
      </c>
      <c r="E3867" s="116">
        <v>40</v>
      </c>
      <c r="F3867" s="87" t="s">
        <v>967</v>
      </c>
      <c r="G3867" s="87" t="s">
        <v>272</v>
      </c>
      <c r="H3867" s="87" t="s">
        <v>967</v>
      </c>
      <c r="I3867" s="87">
        <v>82</v>
      </c>
    </row>
    <row r="3868" spans="1:9" ht="15" customHeight="1" x14ac:dyDescent="0.25">
      <c r="A3868" s="87" t="s">
        <v>8</v>
      </c>
      <c r="B3868" s="87" t="s">
        <v>386</v>
      </c>
      <c r="C3868" s="87">
        <v>2001</v>
      </c>
      <c r="D3868" s="87" t="s">
        <v>9</v>
      </c>
      <c r="E3868" s="116">
        <v>191</v>
      </c>
      <c r="F3868" s="87" t="s">
        <v>387</v>
      </c>
      <c r="G3868" s="87" t="s">
        <v>272</v>
      </c>
      <c r="H3868" s="87" t="s">
        <v>967</v>
      </c>
      <c r="I3868" s="87">
        <v>82</v>
      </c>
    </row>
    <row r="3869" spans="1:9" ht="15" customHeight="1" x14ac:dyDescent="0.25">
      <c r="A3869" s="87" t="s">
        <v>8</v>
      </c>
      <c r="B3869" s="87" t="s">
        <v>386</v>
      </c>
      <c r="C3869" s="87">
        <v>2002</v>
      </c>
      <c r="D3869" s="87" t="s">
        <v>9</v>
      </c>
      <c r="E3869" s="116">
        <v>149</v>
      </c>
      <c r="F3869" s="87" t="s">
        <v>967</v>
      </c>
      <c r="G3869" s="87" t="s">
        <v>272</v>
      </c>
      <c r="H3869" s="87" t="s">
        <v>758</v>
      </c>
      <c r="I3869" s="87">
        <v>82</v>
      </c>
    </row>
    <row r="3870" spans="1:9" ht="15" customHeight="1" x14ac:dyDescent="0.25">
      <c r="A3870" s="87" t="s">
        <v>8</v>
      </c>
      <c r="B3870" s="87" t="s">
        <v>386</v>
      </c>
      <c r="C3870" s="87">
        <v>2003</v>
      </c>
      <c r="D3870" s="87" t="s">
        <v>9</v>
      </c>
      <c r="E3870" s="116">
        <v>-1</v>
      </c>
      <c r="F3870" s="87" t="s">
        <v>967</v>
      </c>
      <c r="G3870" s="87" t="s">
        <v>967</v>
      </c>
      <c r="H3870" s="87" t="s">
        <v>967</v>
      </c>
      <c r="I3870" s="87">
        <v>82</v>
      </c>
    </row>
    <row r="3871" spans="1:9" ht="15" customHeight="1" x14ac:dyDescent="0.25">
      <c r="A3871" s="87" t="s">
        <v>8</v>
      </c>
      <c r="B3871" s="87" t="s">
        <v>386</v>
      </c>
      <c r="C3871" s="87">
        <v>2004</v>
      </c>
      <c r="D3871" s="87" t="s">
        <v>9</v>
      </c>
      <c r="E3871" s="116">
        <v>-1</v>
      </c>
      <c r="F3871" s="87" t="s">
        <v>967</v>
      </c>
      <c r="G3871" s="87" t="s">
        <v>967</v>
      </c>
      <c r="H3871" s="87" t="s">
        <v>967</v>
      </c>
      <c r="I3871" s="87">
        <v>82</v>
      </c>
    </row>
    <row r="3872" spans="1:9" ht="15" customHeight="1" x14ac:dyDescent="0.25">
      <c r="A3872" s="87" t="s">
        <v>8</v>
      </c>
      <c r="B3872" s="87" t="s">
        <v>386</v>
      </c>
      <c r="C3872" s="87">
        <v>2005</v>
      </c>
      <c r="D3872" s="87" t="s">
        <v>9</v>
      </c>
      <c r="E3872" s="116">
        <v>-1</v>
      </c>
      <c r="F3872" s="87" t="s">
        <v>967</v>
      </c>
      <c r="G3872" s="87" t="s">
        <v>967</v>
      </c>
      <c r="H3872" s="87" t="s">
        <v>967</v>
      </c>
      <c r="I3872" s="87">
        <v>82</v>
      </c>
    </row>
    <row r="3873" spans="1:9" ht="15" customHeight="1" x14ac:dyDescent="0.25">
      <c r="A3873" s="87" t="s">
        <v>8</v>
      </c>
      <c r="B3873" s="87" t="s">
        <v>386</v>
      </c>
      <c r="C3873" s="87">
        <v>2006</v>
      </c>
      <c r="D3873" s="87" t="s">
        <v>9</v>
      </c>
      <c r="E3873" s="116">
        <v>-1</v>
      </c>
      <c r="F3873" s="87" t="s">
        <v>967</v>
      </c>
      <c r="G3873" s="87" t="s">
        <v>967</v>
      </c>
      <c r="H3873" s="87" t="s">
        <v>967</v>
      </c>
      <c r="I3873" s="87">
        <v>82</v>
      </c>
    </row>
    <row r="3874" spans="1:9" ht="15" customHeight="1" x14ac:dyDescent="0.25">
      <c r="A3874" s="87" t="s">
        <v>8</v>
      </c>
      <c r="B3874" s="87" t="s">
        <v>386</v>
      </c>
      <c r="C3874" s="87">
        <v>2007</v>
      </c>
      <c r="D3874" s="87" t="s">
        <v>9</v>
      </c>
      <c r="E3874" s="116">
        <v>45</v>
      </c>
      <c r="F3874" s="87" t="s">
        <v>967</v>
      </c>
      <c r="G3874" s="87" t="s">
        <v>272</v>
      </c>
      <c r="H3874" s="87" t="s">
        <v>514</v>
      </c>
      <c r="I3874" s="87">
        <v>82</v>
      </c>
    </row>
    <row r="3875" spans="1:9" ht="15" customHeight="1" x14ac:dyDescent="0.25">
      <c r="A3875" s="87" t="s">
        <v>8</v>
      </c>
      <c r="B3875" s="87" t="s">
        <v>386</v>
      </c>
      <c r="C3875" s="87">
        <v>2008</v>
      </c>
      <c r="D3875" s="87" t="s">
        <v>9</v>
      </c>
      <c r="E3875" s="116">
        <v>-1</v>
      </c>
      <c r="F3875" s="87" t="s">
        <v>967</v>
      </c>
      <c r="G3875" s="87" t="s">
        <v>967</v>
      </c>
      <c r="H3875" s="87" t="s">
        <v>967</v>
      </c>
      <c r="I3875" s="87">
        <v>82</v>
      </c>
    </row>
    <row r="3876" spans="1:9" ht="15" customHeight="1" x14ac:dyDescent="0.25">
      <c r="A3876" s="87" t="s">
        <v>8</v>
      </c>
      <c r="B3876" s="87" t="s">
        <v>386</v>
      </c>
      <c r="C3876" s="87">
        <v>2009</v>
      </c>
      <c r="D3876" s="87" t="s">
        <v>9</v>
      </c>
      <c r="E3876" s="116">
        <v>5</v>
      </c>
      <c r="F3876" s="87" t="s">
        <v>967</v>
      </c>
      <c r="G3876" s="87" t="s">
        <v>272</v>
      </c>
      <c r="H3876" s="87" t="s">
        <v>967</v>
      </c>
      <c r="I3876" s="87">
        <v>82</v>
      </c>
    </row>
    <row r="3877" spans="1:9" ht="15" customHeight="1" x14ac:dyDescent="0.25">
      <c r="A3877" s="87" t="s">
        <v>8</v>
      </c>
      <c r="B3877" s="87" t="s">
        <v>386</v>
      </c>
      <c r="C3877" s="87">
        <v>2010</v>
      </c>
      <c r="D3877" s="87" t="s">
        <v>9</v>
      </c>
      <c r="E3877" s="116">
        <v>15</v>
      </c>
      <c r="F3877" s="87" t="s">
        <v>967</v>
      </c>
      <c r="G3877" s="87" t="s">
        <v>272</v>
      </c>
      <c r="H3877" s="87" t="s">
        <v>967</v>
      </c>
      <c r="I3877" s="87">
        <v>82</v>
      </c>
    </row>
    <row r="3878" spans="1:9" ht="15" customHeight="1" x14ac:dyDescent="0.25">
      <c r="A3878" s="87" t="s">
        <v>8</v>
      </c>
      <c r="B3878" s="87" t="s">
        <v>386</v>
      </c>
      <c r="C3878" s="87">
        <v>2011</v>
      </c>
      <c r="D3878" s="87" t="s">
        <v>9</v>
      </c>
      <c r="E3878" s="116">
        <v>2</v>
      </c>
      <c r="F3878" s="87" t="s">
        <v>967</v>
      </c>
      <c r="G3878" s="87" t="s">
        <v>272</v>
      </c>
      <c r="H3878" s="87" t="s">
        <v>879</v>
      </c>
      <c r="I3878" s="87">
        <v>82</v>
      </c>
    </row>
    <row r="3879" spans="1:9" ht="15" customHeight="1" x14ac:dyDescent="0.25">
      <c r="A3879" s="87" t="s">
        <v>8</v>
      </c>
      <c r="B3879" s="87" t="s">
        <v>386</v>
      </c>
      <c r="C3879" s="87">
        <v>2012</v>
      </c>
      <c r="D3879" s="87" t="s">
        <v>9</v>
      </c>
      <c r="E3879" s="116">
        <v>-1</v>
      </c>
      <c r="F3879" s="87" t="s">
        <v>967</v>
      </c>
      <c r="G3879" s="87" t="s">
        <v>967</v>
      </c>
      <c r="H3879" s="87" t="s">
        <v>967</v>
      </c>
      <c r="I3879" s="87">
        <v>82</v>
      </c>
    </row>
    <row r="3880" spans="1:9" ht="15" customHeight="1" x14ac:dyDescent="0.25">
      <c r="A3880" s="87" t="s">
        <v>8</v>
      </c>
      <c r="B3880" s="87" t="s">
        <v>386</v>
      </c>
      <c r="C3880" s="87">
        <v>2013</v>
      </c>
      <c r="D3880" s="87" t="s">
        <v>9</v>
      </c>
      <c r="E3880" s="116">
        <v>0</v>
      </c>
      <c r="F3880" s="87" t="s">
        <v>967</v>
      </c>
      <c r="G3880" s="87" t="s">
        <v>272</v>
      </c>
      <c r="H3880" s="87" t="s">
        <v>967</v>
      </c>
      <c r="I3880" s="87">
        <v>82</v>
      </c>
    </row>
    <row r="3881" spans="1:9" ht="15" customHeight="1" x14ac:dyDescent="0.25">
      <c r="A3881" s="87" t="s">
        <v>8</v>
      </c>
      <c r="B3881" s="87" t="s">
        <v>386</v>
      </c>
      <c r="C3881" s="87">
        <v>2014</v>
      </c>
      <c r="D3881" s="87" t="s">
        <v>9</v>
      </c>
      <c r="E3881" s="116">
        <v>9</v>
      </c>
      <c r="F3881" s="87" t="s">
        <v>967</v>
      </c>
      <c r="G3881" s="87" t="s">
        <v>272</v>
      </c>
      <c r="H3881" s="87" t="s">
        <v>967</v>
      </c>
      <c r="I3881" s="87">
        <v>82</v>
      </c>
    </row>
    <row r="3882" spans="1:9" ht="15" customHeight="1" x14ac:dyDescent="0.25">
      <c r="A3882" s="87" t="s">
        <v>8</v>
      </c>
      <c r="B3882" s="87" t="s">
        <v>386</v>
      </c>
      <c r="C3882" s="87">
        <v>2015</v>
      </c>
      <c r="D3882" s="87" t="s">
        <v>9</v>
      </c>
      <c r="E3882" s="116">
        <v>5</v>
      </c>
      <c r="F3882" s="87" t="s">
        <v>967</v>
      </c>
      <c r="G3882" s="87" t="s">
        <v>272</v>
      </c>
      <c r="H3882" s="87" t="s">
        <v>880</v>
      </c>
      <c r="I3882" s="87">
        <v>82</v>
      </c>
    </row>
    <row r="3883" spans="1:9" ht="15" customHeight="1" x14ac:dyDescent="0.25">
      <c r="A3883" s="87" t="s">
        <v>8</v>
      </c>
      <c r="B3883" s="87" t="s">
        <v>386</v>
      </c>
      <c r="C3883" s="87">
        <v>2016</v>
      </c>
      <c r="D3883" s="87" t="s">
        <v>9</v>
      </c>
      <c r="E3883" s="116">
        <v>-1</v>
      </c>
      <c r="F3883" s="87" t="s">
        <v>967</v>
      </c>
      <c r="G3883" s="87" t="s">
        <v>967</v>
      </c>
      <c r="H3883" s="87" t="s">
        <v>967</v>
      </c>
      <c r="I3883" s="87">
        <v>82</v>
      </c>
    </row>
    <row r="3884" spans="1:9" ht="15" customHeight="1" x14ac:dyDescent="0.25">
      <c r="A3884" s="87" t="s">
        <v>8</v>
      </c>
      <c r="B3884" s="87" t="s">
        <v>386</v>
      </c>
      <c r="C3884" s="87">
        <v>2017</v>
      </c>
      <c r="D3884" s="87" t="s">
        <v>9</v>
      </c>
      <c r="E3884" s="116">
        <v>2</v>
      </c>
      <c r="F3884" s="87" t="s">
        <v>967</v>
      </c>
      <c r="G3884" s="87" t="s">
        <v>272</v>
      </c>
      <c r="H3884" s="87" t="s">
        <v>967</v>
      </c>
      <c r="I3884" s="87">
        <v>82</v>
      </c>
    </row>
    <row r="3885" spans="1:9" ht="15" customHeight="1" x14ac:dyDescent="0.25">
      <c r="A3885" s="87" t="s">
        <v>8</v>
      </c>
      <c r="B3885" s="87" t="s">
        <v>386</v>
      </c>
      <c r="C3885" s="87">
        <v>2018</v>
      </c>
      <c r="D3885" s="87" t="s">
        <v>9</v>
      </c>
      <c r="E3885" s="116">
        <v>12</v>
      </c>
      <c r="F3885" s="87" t="s">
        <v>967</v>
      </c>
      <c r="G3885" s="87" t="s">
        <v>272</v>
      </c>
      <c r="H3885" s="87" t="s">
        <v>967</v>
      </c>
      <c r="I3885" s="87">
        <v>82</v>
      </c>
    </row>
    <row r="3886" spans="1:9" ht="15" customHeight="1" x14ac:dyDescent="0.25">
      <c r="A3886" s="87" t="s">
        <v>8</v>
      </c>
      <c r="B3886" s="87" t="s">
        <v>386</v>
      </c>
      <c r="C3886" s="87">
        <v>2019</v>
      </c>
      <c r="D3886" s="87" t="s">
        <v>9</v>
      </c>
      <c r="E3886" s="116">
        <v>0</v>
      </c>
      <c r="F3886" s="87" t="s">
        <v>967</v>
      </c>
      <c r="G3886" s="87" t="s">
        <v>272</v>
      </c>
      <c r="H3886" s="87" t="s">
        <v>994</v>
      </c>
      <c r="I3886" s="87">
        <v>82</v>
      </c>
    </row>
    <row r="3887" spans="1:9" ht="15" customHeight="1" x14ac:dyDescent="0.25">
      <c r="A3887" s="87" t="s">
        <v>8</v>
      </c>
      <c r="B3887" s="87" t="s">
        <v>386</v>
      </c>
      <c r="C3887" s="87">
        <v>2020</v>
      </c>
      <c r="D3887" s="87" t="s">
        <v>9</v>
      </c>
      <c r="E3887" s="116">
        <v>-1</v>
      </c>
      <c r="F3887" s="87" t="s">
        <v>967</v>
      </c>
      <c r="G3887" s="87" t="s">
        <v>967</v>
      </c>
      <c r="H3887" s="87" t="s">
        <v>967</v>
      </c>
      <c r="I3887" s="87">
        <v>82</v>
      </c>
    </row>
    <row r="3888" spans="1:9" ht="15" customHeight="1" x14ac:dyDescent="0.25">
      <c r="A3888" s="87" t="s">
        <v>8</v>
      </c>
      <c r="B3888" s="87" t="s">
        <v>386</v>
      </c>
      <c r="C3888" s="87">
        <v>2021</v>
      </c>
      <c r="D3888" s="87" t="s">
        <v>9</v>
      </c>
      <c r="E3888" s="116">
        <v>3</v>
      </c>
      <c r="F3888" s="87" t="s">
        <v>1065</v>
      </c>
      <c r="G3888" s="87" t="s">
        <v>277</v>
      </c>
      <c r="H3888" s="87" t="s">
        <v>967</v>
      </c>
      <c r="I3888" s="87">
        <v>82</v>
      </c>
    </row>
    <row r="3889" spans="1:9" ht="15" customHeight="1" x14ac:dyDescent="0.25">
      <c r="A3889" s="87" t="s">
        <v>8</v>
      </c>
      <c r="B3889" s="87" t="s">
        <v>386</v>
      </c>
      <c r="C3889" s="87">
        <v>2022</v>
      </c>
      <c r="D3889" s="87" t="s">
        <v>9</v>
      </c>
      <c r="E3889" s="116">
        <v>0</v>
      </c>
      <c r="F3889" s="87" t="s">
        <v>967</v>
      </c>
      <c r="G3889" s="87" t="s">
        <v>272</v>
      </c>
      <c r="H3889" s="87" t="s">
        <v>967</v>
      </c>
      <c r="I3889" s="87">
        <v>82</v>
      </c>
    </row>
    <row r="3890" spans="1:9" ht="15" customHeight="1" x14ac:dyDescent="0.25">
      <c r="A3890" s="87" t="s">
        <v>19</v>
      </c>
      <c r="B3890" s="87" t="s">
        <v>388</v>
      </c>
      <c r="C3890" s="87">
        <v>1975</v>
      </c>
      <c r="D3890" s="87" t="s">
        <v>82</v>
      </c>
      <c r="E3890" s="116">
        <v>25</v>
      </c>
      <c r="F3890" s="87" t="s">
        <v>508</v>
      </c>
      <c r="G3890" s="87" t="s">
        <v>967</v>
      </c>
      <c r="H3890" s="87" t="s">
        <v>508</v>
      </c>
      <c r="I3890" s="87">
        <v>43</v>
      </c>
    </row>
    <row r="3891" spans="1:9" ht="15" customHeight="1" x14ac:dyDescent="0.25">
      <c r="A3891" s="87" t="s">
        <v>19</v>
      </c>
      <c r="B3891" s="87" t="s">
        <v>388</v>
      </c>
      <c r="C3891" s="87">
        <v>1976</v>
      </c>
      <c r="D3891" s="87" t="s">
        <v>82</v>
      </c>
      <c r="E3891" s="116">
        <v>0</v>
      </c>
      <c r="F3891" s="87" t="s">
        <v>508</v>
      </c>
      <c r="G3891" s="87" t="s">
        <v>967</v>
      </c>
      <c r="H3891" s="87" t="s">
        <v>508</v>
      </c>
      <c r="I3891" s="87">
        <v>43</v>
      </c>
    </row>
    <row r="3892" spans="1:9" ht="15" customHeight="1" x14ac:dyDescent="0.25">
      <c r="A3892" s="87" t="s">
        <v>19</v>
      </c>
      <c r="B3892" s="87" t="s">
        <v>388</v>
      </c>
      <c r="C3892" s="87">
        <v>1977</v>
      </c>
      <c r="D3892" s="87" t="s">
        <v>82</v>
      </c>
      <c r="E3892" s="116">
        <v>15</v>
      </c>
      <c r="F3892" s="87" t="s">
        <v>508</v>
      </c>
      <c r="G3892" s="87" t="s">
        <v>967</v>
      </c>
      <c r="H3892" s="87" t="s">
        <v>508</v>
      </c>
      <c r="I3892" s="87">
        <v>43</v>
      </c>
    </row>
    <row r="3893" spans="1:9" ht="15" customHeight="1" x14ac:dyDescent="0.25">
      <c r="A3893" s="87" t="s">
        <v>19</v>
      </c>
      <c r="B3893" s="87" t="s">
        <v>388</v>
      </c>
      <c r="C3893" s="87">
        <v>1978</v>
      </c>
      <c r="D3893" s="87" t="s">
        <v>82</v>
      </c>
      <c r="E3893" s="116">
        <v>20</v>
      </c>
      <c r="F3893" s="87" t="s">
        <v>508</v>
      </c>
      <c r="G3893" s="87" t="s">
        <v>967</v>
      </c>
      <c r="H3893" s="87" t="s">
        <v>508</v>
      </c>
      <c r="I3893" s="87">
        <v>43</v>
      </c>
    </row>
    <row r="3894" spans="1:9" ht="15" customHeight="1" x14ac:dyDescent="0.25">
      <c r="A3894" s="87" t="s">
        <v>19</v>
      </c>
      <c r="B3894" s="87" t="s">
        <v>388</v>
      </c>
      <c r="C3894" s="87">
        <v>1979</v>
      </c>
      <c r="D3894" s="87" t="s">
        <v>82</v>
      </c>
      <c r="E3894" s="116">
        <v>50</v>
      </c>
      <c r="F3894" s="87" t="s">
        <v>508</v>
      </c>
      <c r="G3894" s="87" t="s">
        <v>967</v>
      </c>
      <c r="H3894" s="87" t="s">
        <v>508</v>
      </c>
      <c r="I3894" s="87">
        <v>43</v>
      </c>
    </row>
    <row r="3895" spans="1:9" ht="15" customHeight="1" x14ac:dyDescent="0.25">
      <c r="A3895" s="87" t="s">
        <v>19</v>
      </c>
      <c r="B3895" s="87" t="s">
        <v>388</v>
      </c>
      <c r="C3895" s="87">
        <v>1980</v>
      </c>
      <c r="D3895" s="87" t="s">
        <v>82</v>
      </c>
      <c r="E3895" s="116">
        <v>50</v>
      </c>
      <c r="F3895" s="87" t="s">
        <v>508</v>
      </c>
      <c r="G3895" s="87" t="s">
        <v>967</v>
      </c>
      <c r="H3895" s="87" t="s">
        <v>508</v>
      </c>
      <c r="I3895" s="87">
        <v>43</v>
      </c>
    </row>
    <row r="3896" spans="1:9" ht="15" customHeight="1" x14ac:dyDescent="0.25">
      <c r="A3896" s="87" t="s">
        <v>19</v>
      </c>
      <c r="B3896" s="87" t="s">
        <v>388</v>
      </c>
      <c r="C3896" s="87">
        <v>1981</v>
      </c>
      <c r="D3896" s="87" t="s">
        <v>82</v>
      </c>
      <c r="E3896" s="116">
        <v>40</v>
      </c>
      <c r="F3896" s="87" t="s">
        <v>508</v>
      </c>
      <c r="G3896" s="87" t="s">
        <v>967</v>
      </c>
      <c r="H3896" s="87" t="s">
        <v>508</v>
      </c>
      <c r="I3896" s="87">
        <v>43</v>
      </c>
    </row>
    <row r="3897" spans="1:9" ht="15" customHeight="1" x14ac:dyDescent="0.25">
      <c r="A3897" s="87" t="s">
        <v>19</v>
      </c>
      <c r="B3897" s="87" t="s">
        <v>388</v>
      </c>
      <c r="C3897" s="87">
        <v>1982</v>
      </c>
      <c r="D3897" s="87" t="s">
        <v>82</v>
      </c>
      <c r="E3897" s="116">
        <v>10</v>
      </c>
      <c r="F3897" s="87" t="s">
        <v>508</v>
      </c>
      <c r="G3897" s="87" t="s">
        <v>967</v>
      </c>
      <c r="H3897" s="87" t="s">
        <v>508</v>
      </c>
      <c r="I3897" s="87">
        <v>43</v>
      </c>
    </row>
    <row r="3898" spans="1:9" ht="15" customHeight="1" x14ac:dyDescent="0.25">
      <c r="A3898" s="87" t="s">
        <v>19</v>
      </c>
      <c r="B3898" s="87" t="s">
        <v>388</v>
      </c>
      <c r="C3898" s="87">
        <v>1983</v>
      </c>
      <c r="D3898" s="87" t="s">
        <v>82</v>
      </c>
      <c r="E3898" s="116">
        <v>10</v>
      </c>
      <c r="F3898" s="87" t="s">
        <v>508</v>
      </c>
      <c r="G3898" s="87" t="s">
        <v>967</v>
      </c>
      <c r="H3898" s="87" t="s">
        <v>508</v>
      </c>
      <c r="I3898" s="87">
        <v>43</v>
      </c>
    </row>
    <row r="3899" spans="1:9" ht="15" customHeight="1" x14ac:dyDescent="0.25">
      <c r="A3899" s="87" t="s">
        <v>19</v>
      </c>
      <c r="B3899" s="87" t="s">
        <v>388</v>
      </c>
      <c r="C3899" s="87">
        <v>1984</v>
      </c>
      <c r="D3899" s="87" t="s">
        <v>82</v>
      </c>
      <c r="E3899" s="116">
        <v>100</v>
      </c>
      <c r="F3899" s="87" t="s">
        <v>508</v>
      </c>
      <c r="G3899" s="87" t="s">
        <v>967</v>
      </c>
      <c r="H3899" s="87" t="s">
        <v>508</v>
      </c>
      <c r="I3899" s="87">
        <v>43</v>
      </c>
    </row>
    <row r="3900" spans="1:9" ht="15" customHeight="1" x14ac:dyDescent="0.25">
      <c r="A3900" s="87" t="s">
        <v>19</v>
      </c>
      <c r="B3900" s="87" t="s">
        <v>388</v>
      </c>
      <c r="C3900" s="87">
        <v>1985</v>
      </c>
      <c r="D3900" s="87" t="s">
        <v>82</v>
      </c>
      <c r="E3900" s="116">
        <v>200</v>
      </c>
      <c r="F3900" s="87" t="s">
        <v>508</v>
      </c>
      <c r="G3900" s="87" t="s">
        <v>967</v>
      </c>
      <c r="H3900" s="87" t="s">
        <v>508</v>
      </c>
      <c r="I3900" s="87">
        <v>43</v>
      </c>
    </row>
    <row r="3901" spans="1:9" ht="15" customHeight="1" x14ac:dyDescent="0.25">
      <c r="A3901" s="87" t="s">
        <v>19</v>
      </c>
      <c r="B3901" s="87" t="s">
        <v>388</v>
      </c>
      <c r="C3901" s="87">
        <v>1986</v>
      </c>
      <c r="D3901" s="87" t="s">
        <v>82</v>
      </c>
      <c r="E3901" s="116">
        <v>230</v>
      </c>
      <c r="F3901" s="87" t="s">
        <v>508</v>
      </c>
      <c r="G3901" s="87" t="s">
        <v>967</v>
      </c>
      <c r="H3901" s="87" t="s">
        <v>508</v>
      </c>
      <c r="I3901" s="87">
        <v>43</v>
      </c>
    </row>
    <row r="3902" spans="1:9" ht="15" customHeight="1" x14ac:dyDescent="0.25">
      <c r="A3902" s="87" t="s">
        <v>19</v>
      </c>
      <c r="B3902" s="87" t="s">
        <v>388</v>
      </c>
      <c r="C3902" s="87">
        <v>1987</v>
      </c>
      <c r="D3902" s="87" t="s">
        <v>82</v>
      </c>
      <c r="E3902" s="116">
        <v>0</v>
      </c>
      <c r="F3902" s="87" t="s">
        <v>508</v>
      </c>
      <c r="G3902" s="87" t="s">
        <v>967</v>
      </c>
      <c r="H3902" s="87" t="s">
        <v>508</v>
      </c>
      <c r="I3902" s="87">
        <v>43</v>
      </c>
    </row>
    <row r="3903" spans="1:9" ht="15" customHeight="1" x14ac:dyDescent="0.25">
      <c r="A3903" s="87" t="s">
        <v>19</v>
      </c>
      <c r="B3903" s="87" t="s">
        <v>388</v>
      </c>
      <c r="C3903" s="87">
        <v>1988</v>
      </c>
      <c r="D3903" s="87" t="s">
        <v>82</v>
      </c>
      <c r="E3903" s="116">
        <v>50</v>
      </c>
      <c r="F3903" s="87" t="s">
        <v>508</v>
      </c>
      <c r="G3903" s="87" t="s">
        <v>967</v>
      </c>
      <c r="H3903" s="87" t="s">
        <v>508</v>
      </c>
      <c r="I3903" s="87">
        <v>43</v>
      </c>
    </row>
    <row r="3904" spans="1:9" ht="15" customHeight="1" x14ac:dyDescent="0.25">
      <c r="A3904" s="87" t="s">
        <v>19</v>
      </c>
      <c r="B3904" s="87" t="s">
        <v>388</v>
      </c>
      <c r="C3904" s="87">
        <v>1989</v>
      </c>
      <c r="D3904" s="87" t="s">
        <v>82</v>
      </c>
      <c r="E3904" s="116">
        <v>190</v>
      </c>
      <c r="F3904" s="87" t="s">
        <v>508</v>
      </c>
      <c r="G3904" s="87" t="s">
        <v>967</v>
      </c>
      <c r="H3904" s="87" t="s">
        <v>508</v>
      </c>
      <c r="I3904" s="87">
        <v>43</v>
      </c>
    </row>
    <row r="3905" spans="1:9" ht="15" customHeight="1" x14ac:dyDescent="0.25">
      <c r="A3905" s="87" t="s">
        <v>19</v>
      </c>
      <c r="B3905" s="87" t="s">
        <v>388</v>
      </c>
      <c r="C3905" s="87">
        <v>1990</v>
      </c>
      <c r="D3905" s="87" t="s">
        <v>82</v>
      </c>
      <c r="E3905" s="116">
        <v>200</v>
      </c>
      <c r="F3905" s="87" t="s">
        <v>508</v>
      </c>
      <c r="G3905" s="87" t="s">
        <v>967</v>
      </c>
      <c r="H3905" s="87" t="s">
        <v>508</v>
      </c>
      <c r="I3905" s="87">
        <v>43</v>
      </c>
    </row>
    <row r="3906" spans="1:9" ht="15" customHeight="1" x14ac:dyDescent="0.25">
      <c r="A3906" s="87" t="s">
        <v>19</v>
      </c>
      <c r="B3906" s="87" t="s">
        <v>388</v>
      </c>
      <c r="C3906" s="87">
        <v>1991</v>
      </c>
      <c r="D3906" s="87" t="s">
        <v>82</v>
      </c>
      <c r="E3906" s="116">
        <v>180</v>
      </c>
      <c r="F3906" s="87" t="s">
        <v>508</v>
      </c>
      <c r="G3906" s="87" t="s">
        <v>967</v>
      </c>
      <c r="H3906" s="87" t="s">
        <v>508</v>
      </c>
      <c r="I3906" s="87">
        <v>43</v>
      </c>
    </row>
    <row r="3907" spans="1:9" ht="15" customHeight="1" x14ac:dyDescent="0.25">
      <c r="A3907" s="87" t="s">
        <v>19</v>
      </c>
      <c r="B3907" s="87" t="s">
        <v>388</v>
      </c>
      <c r="C3907" s="87">
        <v>1992</v>
      </c>
      <c r="D3907" s="87" t="s">
        <v>82</v>
      </c>
      <c r="E3907" s="116">
        <v>80</v>
      </c>
      <c r="F3907" s="87" t="s">
        <v>508</v>
      </c>
      <c r="G3907" s="87" t="s">
        <v>967</v>
      </c>
      <c r="H3907" s="87" t="s">
        <v>508</v>
      </c>
      <c r="I3907" s="87">
        <v>43</v>
      </c>
    </row>
    <row r="3908" spans="1:9" ht="15" customHeight="1" x14ac:dyDescent="0.25">
      <c r="A3908" s="87" t="s">
        <v>19</v>
      </c>
      <c r="B3908" s="87" t="s">
        <v>388</v>
      </c>
      <c r="C3908" s="87">
        <v>1993</v>
      </c>
      <c r="D3908" s="87" t="s">
        <v>82</v>
      </c>
      <c r="E3908" s="116">
        <v>250</v>
      </c>
      <c r="F3908" s="87" t="s">
        <v>508</v>
      </c>
      <c r="G3908" s="87" t="s">
        <v>967</v>
      </c>
      <c r="H3908" s="87" t="s">
        <v>508</v>
      </c>
      <c r="I3908" s="87">
        <v>43</v>
      </c>
    </row>
    <row r="3909" spans="1:9" ht="15" customHeight="1" x14ac:dyDescent="0.25">
      <c r="A3909" s="87" t="s">
        <v>19</v>
      </c>
      <c r="B3909" s="87" t="s">
        <v>388</v>
      </c>
      <c r="C3909" s="87">
        <v>1994</v>
      </c>
      <c r="D3909" s="87" t="s">
        <v>82</v>
      </c>
      <c r="E3909" s="116">
        <v>200</v>
      </c>
      <c r="F3909" s="87" t="s">
        <v>508</v>
      </c>
      <c r="G3909" s="87" t="s">
        <v>967</v>
      </c>
      <c r="H3909" s="87" t="s">
        <v>508</v>
      </c>
      <c r="I3909" s="87">
        <v>43</v>
      </c>
    </row>
    <row r="3910" spans="1:9" ht="15" customHeight="1" x14ac:dyDescent="0.25">
      <c r="A3910" s="87" t="s">
        <v>19</v>
      </c>
      <c r="B3910" s="87" t="s">
        <v>388</v>
      </c>
      <c r="C3910" s="87">
        <v>1995</v>
      </c>
      <c r="D3910" s="87" t="s">
        <v>82</v>
      </c>
      <c r="E3910" s="116">
        <v>280</v>
      </c>
      <c r="F3910" s="87" t="s">
        <v>508</v>
      </c>
      <c r="G3910" s="87" t="s">
        <v>332</v>
      </c>
      <c r="H3910" s="87" t="s">
        <v>967</v>
      </c>
      <c r="I3910" s="87">
        <v>43</v>
      </c>
    </row>
    <row r="3911" spans="1:9" ht="15" customHeight="1" x14ac:dyDescent="0.25">
      <c r="A3911" s="87" t="s">
        <v>19</v>
      </c>
      <c r="B3911" s="87" t="s">
        <v>388</v>
      </c>
      <c r="C3911" s="87">
        <v>1996</v>
      </c>
      <c r="D3911" s="87" t="s">
        <v>82</v>
      </c>
      <c r="E3911" s="116">
        <v>400</v>
      </c>
      <c r="F3911" s="87" t="s">
        <v>508</v>
      </c>
      <c r="G3911" s="87" t="s">
        <v>332</v>
      </c>
      <c r="H3911" s="87" t="s">
        <v>967</v>
      </c>
      <c r="I3911" s="87">
        <v>43</v>
      </c>
    </row>
    <row r="3912" spans="1:9" ht="15" customHeight="1" x14ac:dyDescent="0.25">
      <c r="A3912" s="87" t="s">
        <v>19</v>
      </c>
      <c r="B3912" s="87" t="s">
        <v>388</v>
      </c>
      <c r="C3912" s="87">
        <v>1997</v>
      </c>
      <c r="D3912" s="87" t="s">
        <v>82</v>
      </c>
      <c r="E3912" s="116">
        <v>-1</v>
      </c>
      <c r="F3912" s="87" t="s">
        <v>508</v>
      </c>
      <c r="G3912" s="87" t="s">
        <v>967</v>
      </c>
      <c r="H3912" s="87" t="s">
        <v>518</v>
      </c>
      <c r="I3912" s="87">
        <v>43</v>
      </c>
    </row>
    <row r="3913" spans="1:9" ht="15" customHeight="1" x14ac:dyDescent="0.25">
      <c r="A3913" s="87" t="s">
        <v>19</v>
      </c>
      <c r="B3913" s="87" t="s">
        <v>388</v>
      </c>
      <c r="C3913" s="87">
        <v>1998</v>
      </c>
      <c r="D3913" s="87" t="s">
        <v>82</v>
      </c>
      <c r="E3913" s="116">
        <v>150</v>
      </c>
      <c r="F3913" s="87" t="s">
        <v>519</v>
      </c>
      <c r="G3913" s="87" t="s">
        <v>967</v>
      </c>
      <c r="H3913" s="87" t="s">
        <v>967</v>
      </c>
      <c r="I3913" s="87">
        <v>43</v>
      </c>
    </row>
    <row r="3914" spans="1:9" ht="15" customHeight="1" x14ac:dyDescent="0.25">
      <c r="A3914" s="87" t="s">
        <v>19</v>
      </c>
      <c r="B3914" s="87" t="s">
        <v>388</v>
      </c>
      <c r="C3914" s="87">
        <v>1999</v>
      </c>
      <c r="D3914" s="87" t="s">
        <v>82</v>
      </c>
      <c r="E3914" s="116">
        <v>256</v>
      </c>
      <c r="F3914" s="87" t="s">
        <v>967</v>
      </c>
      <c r="G3914" s="87" t="s">
        <v>272</v>
      </c>
      <c r="H3914" s="87" t="s">
        <v>520</v>
      </c>
      <c r="I3914" s="87">
        <v>43</v>
      </c>
    </row>
    <row r="3915" spans="1:9" ht="15" customHeight="1" x14ac:dyDescent="0.25">
      <c r="A3915" s="87" t="s">
        <v>19</v>
      </c>
      <c r="B3915" s="87" t="s">
        <v>388</v>
      </c>
      <c r="C3915" s="87">
        <v>2000</v>
      </c>
      <c r="D3915" s="87" t="s">
        <v>82</v>
      </c>
      <c r="E3915" s="116">
        <v>49</v>
      </c>
      <c r="F3915" s="87" t="s">
        <v>389</v>
      </c>
      <c r="G3915" s="87" t="s">
        <v>274</v>
      </c>
      <c r="H3915" s="87" t="s">
        <v>967</v>
      </c>
      <c r="I3915" s="87">
        <v>43</v>
      </c>
    </row>
    <row r="3916" spans="1:9" ht="15" customHeight="1" x14ac:dyDescent="0.25">
      <c r="A3916" s="87" t="s">
        <v>19</v>
      </c>
      <c r="B3916" s="87" t="s">
        <v>388</v>
      </c>
      <c r="C3916" s="87">
        <v>2001</v>
      </c>
      <c r="D3916" s="87" t="s">
        <v>82</v>
      </c>
      <c r="E3916" s="116">
        <v>258</v>
      </c>
      <c r="F3916" s="87" t="s">
        <v>967</v>
      </c>
      <c r="G3916" s="87" t="s">
        <v>274</v>
      </c>
      <c r="H3916" s="87" t="s">
        <v>967</v>
      </c>
      <c r="I3916" s="87">
        <v>43</v>
      </c>
    </row>
    <row r="3917" spans="1:9" ht="15" customHeight="1" x14ac:dyDescent="0.25">
      <c r="A3917" s="87" t="s">
        <v>19</v>
      </c>
      <c r="B3917" s="87" t="s">
        <v>388</v>
      </c>
      <c r="C3917" s="87">
        <v>2002</v>
      </c>
      <c r="D3917" s="87" t="s">
        <v>82</v>
      </c>
      <c r="E3917" s="116">
        <v>171</v>
      </c>
      <c r="F3917" s="87" t="s">
        <v>967</v>
      </c>
      <c r="G3917" s="87" t="s">
        <v>967</v>
      </c>
      <c r="H3917" s="87" t="s">
        <v>967</v>
      </c>
      <c r="I3917" s="87">
        <v>43</v>
      </c>
    </row>
    <row r="3918" spans="1:9" ht="15" customHeight="1" x14ac:dyDescent="0.25">
      <c r="A3918" s="87" t="s">
        <v>19</v>
      </c>
      <c r="B3918" s="87" t="s">
        <v>388</v>
      </c>
      <c r="C3918" s="87">
        <v>2003</v>
      </c>
      <c r="D3918" s="87" t="s">
        <v>82</v>
      </c>
      <c r="E3918" s="116">
        <v>194</v>
      </c>
      <c r="F3918" s="87" t="s">
        <v>967</v>
      </c>
      <c r="G3918" s="87" t="s">
        <v>274</v>
      </c>
      <c r="H3918" s="87" t="s">
        <v>967</v>
      </c>
      <c r="I3918" s="87">
        <v>43</v>
      </c>
    </row>
    <row r="3919" spans="1:9" ht="15" customHeight="1" x14ac:dyDescent="0.25">
      <c r="A3919" s="87" t="s">
        <v>19</v>
      </c>
      <c r="B3919" s="87" t="s">
        <v>388</v>
      </c>
      <c r="C3919" s="87">
        <v>2004</v>
      </c>
      <c r="D3919" s="87" t="s">
        <v>82</v>
      </c>
      <c r="E3919" s="116">
        <v>126</v>
      </c>
      <c r="F3919" s="87" t="s">
        <v>967</v>
      </c>
      <c r="G3919" s="87" t="s">
        <v>967</v>
      </c>
      <c r="H3919" s="87" t="s">
        <v>967</v>
      </c>
      <c r="I3919" s="87">
        <v>43</v>
      </c>
    </row>
    <row r="3920" spans="1:9" ht="15" customHeight="1" x14ac:dyDescent="0.25">
      <c r="A3920" s="87" t="s">
        <v>19</v>
      </c>
      <c r="B3920" s="87" t="s">
        <v>388</v>
      </c>
      <c r="C3920" s="87">
        <v>2005</v>
      </c>
      <c r="D3920" s="87" t="s">
        <v>82</v>
      </c>
      <c r="E3920" s="116">
        <v>72</v>
      </c>
      <c r="F3920" s="87" t="s">
        <v>967</v>
      </c>
      <c r="G3920" s="87" t="s">
        <v>272</v>
      </c>
      <c r="H3920" s="87" t="s">
        <v>967</v>
      </c>
      <c r="I3920" s="87">
        <v>43</v>
      </c>
    </row>
    <row r="3921" spans="1:9" ht="15" customHeight="1" x14ac:dyDescent="0.25">
      <c r="A3921" s="87" t="s">
        <v>19</v>
      </c>
      <c r="B3921" s="87" t="s">
        <v>388</v>
      </c>
      <c r="C3921" s="87">
        <v>2006</v>
      </c>
      <c r="D3921" s="87" t="s">
        <v>82</v>
      </c>
      <c r="E3921" s="116">
        <v>186</v>
      </c>
      <c r="F3921" s="87" t="s">
        <v>967</v>
      </c>
      <c r="G3921" s="87" t="s">
        <v>272</v>
      </c>
      <c r="H3921" s="87" t="s">
        <v>967</v>
      </c>
      <c r="I3921" s="87">
        <v>43</v>
      </c>
    </row>
    <row r="3922" spans="1:9" ht="15" customHeight="1" x14ac:dyDescent="0.25">
      <c r="A3922" s="87" t="s">
        <v>19</v>
      </c>
      <c r="B3922" s="87" t="s">
        <v>388</v>
      </c>
      <c r="C3922" s="87">
        <v>2007</v>
      </c>
      <c r="D3922" s="87" t="s">
        <v>82</v>
      </c>
      <c r="E3922" s="116">
        <v>5</v>
      </c>
      <c r="F3922" s="87" t="s">
        <v>967</v>
      </c>
      <c r="G3922" s="87" t="s">
        <v>967</v>
      </c>
      <c r="H3922" s="87" t="s">
        <v>967</v>
      </c>
      <c r="I3922" s="87">
        <v>43</v>
      </c>
    </row>
    <row r="3923" spans="1:9" ht="15" customHeight="1" x14ac:dyDescent="0.25">
      <c r="A3923" s="87" t="s">
        <v>19</v>
      </c>
      <c r="B3923" s="87" t="s">
        <v>388</v>
      </c>
      <c r="C3923" s="87">
        <v>2008</v>
      </c>
      <c r="D3923" s="87" t="s">
        <v>82</v>
      </c>
      <c r="E3923" s="116">
        <v>71</v>
      </c>
      <c r="F3923" s="87" t="s">
        <v>967</v>
      </c>
      <c r="G3923" s="87" t="s">
        <v>272</v>
      </c>
      <c r="H3923" s="87" t="s">
        <v>967</v>
      </c>
      <c r="I3923" s="87">
        <v>43</v>
      </c>
    </row>
    <row r="3924" spans="1:9" ht="15" customHeight="1" x14ac:dyDescent="0.25">
      <c r="A3924" s="87" t="s">
        <v>19</v>
      </c>
      <c r="B3924" s="87" t="s">
        <v>388</v>
      </c>
      <c r="C3924" s="87">
        <v>2009</v>
      </c>
      <c r="D3924" s="87" t="s">
        <v>82</v>
      </c>
      <c r="E3924" s="116">
        <v>25</v>
      </c>
      <c r="F3924" s="87" t="s">
        <v>967</v>
      </c>
      <c r="G3924" s="87" t="s">
        <v>274</v>
      </c>
      <c r="H3924" s="87" t="s">
        <v>967</v>
      </c>
      <c r="I3924" s="87">
        <v>43</v>
      </c>
    </row>
    <row r="3925" spans="1:9" ht="15" customHeight="1" x14ac:dyDescent="0.25">
      <c r="A3925" s="87" t="s">
        <v>19</v>
      </c>
      <c r="B3925" s="87" t="s">
        <v>388</v>
      </c>
      <c r="C3925" s="87">
        <v>2010</v>
      </c>
      <c r="D3925" s="87" t="s">
        <v>82</v>
      </c>
      <c r="E3925" s="116">
        <v>135</v>
      </c>
      <c r="F3925" s="87" t="s">
        <v>967</v>
      </c>
      <c r="G3925" s="87" t="s">
        <v>274</v>
      </c>
      <c r="H3925" s="87" t="s">
        <v>967</v>
      </c>
      <c r="I3925" s="87">
        <v>43</v>
      </c>
    </row>
    <row r="3926" spans="1:9" ht="15" customHeight="1" x14ac:dyDescent="0.25">
      <c r="A3926" s="87" t="s">
        <v>19</v>
      </c>
      <c r="B3926" s="87" t="s">
        <v>388</v>
      </c>
      <c r="C3926" s="87">
        <v>2011</v>
      </c>
      <c r="D3926" s="87" t="s">
        <v>82</v>
      </c>
      <c r="E3926" s="116">
        <v>8</v>
      </c>
      <c r="F3926" s="87" t="s">
        <v>967</v>
      </c>
      <c r="G3926" s="87" t="s">
        <v>274</v>
      </c>
      <c r="H3926" s="87" t="s">
        <v>967</v>
      </c>
      <c r="I3926" s="87">
        <v>43</v>
      </c>
    </row>
    <row r="3927" spans="1:9" ht="15" customHeight="1" x14ac:dyDescent="0.25">
      <c r="A3927" s="87" t="s">
        <v>19</v>
      </c>
      <c r="B3927" s="87" t="s">
        <v>388</v>
      </c>
      <c r="C3927" s="87">
        <v>2012</v>
      </c>
      <c r="D3927" s="87" t="s">
        <v>82</v>
      </c>
      <c r="E3927" s="116">
        <v>9</v>
      </c>
      <c r="F3927" s="87" t="s">
        <v>967</v>
      </c>
      <c r="G3927" s="87" t="s">
        <v>274</v>
      </c>
      <c r="H3927" s="87" t="s">
        <v>967</v>
      </c>
      <c r="I3927" s="87">
        <v>43</v>
      </c>
    </row>
    <row r="3928" spans="1:9" ht="15" customHeight="1" x14ac:dyDescent="0.25">
      <c r="A3928" s="87" t="s">
        <v>19</v>
      </c>
      <c r="B3928" s="87" t="s">
        <v>388</v>
      </c>
      <c r="C3928" s="87">
        <v>2013</v>
      </c>
      <c r="D3928" s="87" t="s">
        <v>82</v>
      </c>
      <c r="E3928" s="116">
        <v>165</v>
      </c>
      <c r="F3928" s="87" t="s">
        <v>967</v>
      </c>
      <c r="G3928" s="87" t="s">
        <v>274</v>
      </c>
      <c r="H3928" s="87" t="s">
        <v>967</v>
      </c>
      <c r="I3928" s="87">
        <v>43</v>
      </c>
    </row>
    <row r="3929" spans="1:9" ht="15" customHeight="1" x14ac:dyDescent="0.25">
      <c r="A3929" s="87" t="s">
        <v>19</v>
      </c>
      <c r="B3929" s="87" t="s">
        <v>388</v>
      </c>
      <c r="C3929" s="87">
        <v>2014</v>
      </c>
      <c r="D3929" s="87" t="s">
        <v>82</v>
      </c>
      <c r="E3929" s="116">
        <v>82</v>
      </c>
      <c r="F3929" s="87" t="s">
        <v>967</v>
      </c>
      <c r="G3929" s="87" t="s">
        <v>274</v>
      </c>
      <c r="H3929" s="87" t="s">
        <v>967</v>
      </c>
      <c r="I3929" s="87">
        <v>43</v>
      </c>
    </row>
    <row r="3930" spans="1:9" ht="15" customHeight="1" x14ac:dyDescent="0.25">
      <c r="A3930" s="87" t="s">
        <v>19</v>
      </c>
      <c r="B3930" s="87" t="s">
        <v>388</v>
      </c>
      <c r="C3930" s="87">
        <v>2015</v>
      </c>
      <c r="D3930" s="87" t="s">
        <v>82</v>
      </c>
      <c r="E3930" s="116">
        <v>128</v>
      </c>
      <c r="F3930" s="87" t="s">
        <v>967</v>
      </c>
      <c r="G3930" s="87" t="s">
        <v>274</v>
      </c>
      <c r="H3930" s="87" t="s">
        <v>521</v>
      </c>
      <c r="I3930" s="87">
        <v>43</v>
      </c>
    </row>
    <row r="3931" spans="1:9" ht="15" customHeight="1" x14ac:dyDescent="0.25">
      <c r="A3931" s="87" t="s">
        <v>19</v>
      </c>
      <c r="B3931" s="87" t="s">
        <v>388</v>
      </c>
      <c r="C3931" s="87">
        <v>2016</v>
      </c>
      <c r="D3931" s="87" t="s">
        <v>82</v>
      </c>
      <c r="E3931" s="116">
        <v>6</v>
      </c>
      <c r="F3931" s="87" t="s">
        <v>967</v>
      </c>
      <c r="G3931" s="87" t="s">
        <v>274</v>
      </c>
      <c r="H3931" s="87" t="s">
        <v>967</v>
      </c>
      <c r="I3931" s="87">
        <v>43</v>
      </c>
    </row>
    <row r="3932" spans="1:9" ht="15" customHeight="1" x14ac:dyDescent="0.25">
      <c r="A3932" s="87" t="s">
        <v>19</v>
      </c>
      <c r="B3932" s="87" t="s">
        <v>388</v>
      </c>
      <c r="C3932" s="87">
        <v>2017</v>
      </c>
      <c r="D3932" s="87" t="s">
        <v>82</v>
      </c>
      <c r="E3932" s="116">
        <v>9</v>
      </c>
      <c r="F3932" s="87" t="s">
        <v>967</v>
      </c>
      <c r="G3932" s="87" t="s">
        <v>274</v>
      </c>
      <c r="H3932" s="87" t="s">
        <v>967</v>
      </c>
      <c r="I3932" s="87">
        <v>43</v>
      </c>
    </row>
    <row r="3933" spans="1:9" ht="15" customHeight="1" x14ac:dyDescent="0.25">
      <c r="A3933" s="87" t="s">
        <v>19</v>
      </c>
      <c r="B3933" s="87" t="s">
        <v>388</v>
      </c>
      <c r="C3933" s="87">
        <v>2018</v>
      </c>
      <c r="D3933" s="87" t="s">
        <v>82</v>
      </c>
      <c r="E3933" s="116">
        <v>3</v>
      </c>
      <c r="F3933" s="87" t="s">
        <v>967</v>
      </c>
      <c r="G3933" s="87" t="s">
        <v>277</v>
      </c>
      <c r="H3933" s="87" t="s">
        <v>995</v>
      </c>
      <c r="I3933" s="87">
        <v>43</v>
      </c>
    </row>
    <row r="3934" spans="1:9" ht="15" customHeight="1" x14ac:dyDescent="0.25">
      <c r="A3934" s="87" t="s">
        <v>19</v>
      </c>
      <c r="B3934" s="87" t="s">
        <v>388</v>
      </c>
      <c r="C3934" s="87">
        <v>2019</v>
      </c>
      <c r="D3934" s="87" t="s">
        <v>82</v>
      </c>
      <c r="E3934" s="116">
        <v>7</v>
      </c>
      <c r="F3934" s="87" t="s">
        <v>967</v>
      </c>
      <c r="G3934" s="87" t="s">
        <v>277</v>
      </c>
      <c r="H3934" s="87" t="s">
        <v>996</v>
      </c>
      <c r="I3934" s="87">
        <v>43</v>
      </c>
    </row>
    <row r="3935" spans="1:9" ht="15" customHeight="1" x14ac:dyDescent="0.25">
      <c r="A3935" s="87" t="s">
        <v>19</v>
      </c>
      <c r="B3935" s="87" t="s">
        <v>388</v>
      </c>
      <c r="C3935" s="87">
        <v>2020</v>
      </c>
      <c r="D3935" s="87" t="s">
        <v>82</v>
      </c>
      <c r="E3935" s="116">
        <v>-1</v>
      </c>
      <c r="F3935" s="87" t="s">
        <v>967</v>
      </c>
      <c r="G3935" s="87" t="s">
        <v>967</v>
      </c>
      <c r="H3935" s="87" t="s">
        <v>967</v>
      </c>
      <c r="I3935" s="87">
        <v>43</v>
      </c>
    </row>
    <row r="3936" spans="1:9" ht="15" customHeight="1" x14ac:dyDescent="0.25">
      <c r="A3936" s="87" t="s">
        <v>19</v>
      </c>
      <c r="B3936" s="87" t="s">
        <v>388</v>
      </c>
      <c r="C3936" s="87">
        <v>2021</v>
      </c>
      <c r="D3936" s="87" t="s">
        <v>82</v>
      </c>
      <c r="E3936" s="116">
        <v>0</v>
      </c>
      <c r="F3936" s="87" t="s">
        <v>967</v>
      </c>
      <c r="G3936" s="87" t="s">
        <v>274</v>
      </c>
      <c r="H3936" s="87" t="s">
        <v>967</v>
      </c>
      <c r="I3936" s="87">
        <v>43</v>
      </c>
    </row>
    <row r="3937" spans="1:9" ht="15" customHeight="1" x14ac:dyDescent="0.25">
      <c r="A3937" s="87" t="s">
        <v>19</v>
      </c>
      <c r="B3937" s="87" t="s">
        <v>388</v>
      </c>
      <c r="C3937" s="87">
        <v>2022</v>
      </c>
      <c r="D3937" s="87" t="s">
        <v>82</v>
      </c>
      <c r="E3937" s="116">
        <v>15</v>
      </c>
      <c r="F3937" s="87" t="s">
        <v>967</v>
      </c>
      <c r="G3937" s="87" t="s">
        <v>272</v>
      </c>
      <c r="H3937" s="87" t="s">
        <v>967</v>
      </c>
      <c r="I3937" s="87">
        <v>43</v>
      </c>
    </row>
    <row r="3938" spans="1:9" ht="15" customHeight="1" x14ac:dyDescent="0.25">
      <c r="A3938" s="87" t="s">
        <v>19</v>
      </c>
      <c r="B3938" s="87" t="s">
        <v>390</v>
      </c>
      <c r="C3938" s="87">
        <v>1975</v>
      </c>
      <c r="D3938" s="87" t="s">
        <v>82</v>
      </c>
      <c r="E3938" s="116">
        <v>-1</v>
      </c>
      <c r="F3938" s="87" t="s">
        <v>967</v>
      </c>
      <c r="G3938" s="87" t="s">
        <v>967</v>
      </c>
      <c r="H3938" s="87" t="s">
        <v>967</v>
      </c>
      <c r="I3938" s="87">
        <v>43</v>
      </c>
    </row>
    <row r="3939" spans="1:9" ht="15" customHeight="1" x14ac:dyDescent="0.25">
      <c r="A3939" s="87" t="s">
        <v>19</v>
      </c>
      <c r="B3939" s="87" t="s">
        <v>390</v>
      </c>
      <c r="C3939" s="87">
        <v>1976</v>
      </c>
      <c r="D3939" s="87" t="s">
        <v>82</v>
      </c>
      <c r="E3939" s="116">
        <v>-1</v>
      </c>
      <c r="F3939" s="87" t="s">
        <v>967</v>
      </c>
      <c r="G3939" s="87" t="s">
        <v>967</v>
      </c>
      <c r="H3939" s="87" t="s">
        <v>967</v>
      </c>
      <c r="I3939" s="87">
        <v>43</v>
      </c>
    </row>
    <row r="3940" spans="1:9" ht="15" customHeight="1" x14ac:dyDescent="0.25">
      <c r="A3940" s="87" t="s">
        <v>19</v>
      </c>
      <c r="B3940" s="87" t="s">
        <v>390</v>
      </c>
      <c r="C3940" s="87">
        <v>1977</v>
      </c>
      <c r="D3940" s="87" t="s">
        <v>82</v>
      </c>
      <c r="E3940" s="116">
        <v>-1</v>
      </c>
      <c r="F3940" s="87" t="s">
        <v>967</v>
      </c>
      <c r="G3940" s="87" t="s">
        <v>967</v>
      </c>
      <c r="H3940" s="87" t="s">
        <v>967</v>
      </c>
      <c r="I3940" s="87">
        <v>43</v>
      </c>
    </row>
    <row r="3941" spans="1:9" ht="15" customHeight="1" x14ac:dyDescent="0.25">
      <c r="A3941" s="87" t="s">
        <v>19</v>
      </c>
      <c r="B3941" s="87" t="s">
        <v>390</v>
      </c>
      <c r="C3941" s="87">
        <v>1978</v>
      </c>
      <c r="D3941" s="87" t="s">
        <v>82</v>
      </c>
      <c r="E3941" s="116">
        <v>-1</v>
      </c>
      <c r="F3941" s="87" t="s">
        <v>967</v>
      </c>
      <c r="G3941" s="87" t="s">
        <v>967</v>
      </c>
      <c r="H3941" s="87" t="s">
        <v>967</v>
      </c>
      <c r="I3941" s="87">
        <v>43</v>
      </c>
    </row>
    <row r="3942" spans="1:9" ht="15" customHeight="1" x14ac:dyDescent="0.25">
      <c r="A3942" s="87" t="s">
        <v>19</v>
      </c>
      <c r="B3942" s="87" t="s">
        <v>390</v>
      </c>
      <c r="C3942" s="87">
        <v>1979</v>
      </c>
      <c r="D3942" s="87" t="s">
        <v>82</v>
      </c>
      <c r="E3942" s="116">
        <v>-1</v>
      </c>
      <c r="F3942" s="87" t="s">
        <v>967</v>
      </c>
      <c r="G3942" s="87" t="s">
        <v>967</v>
      </c>
      <c r="H3942" s="87" t="s">
        <v>967</v>
      </c>
      <c r="I3942" s="87">
        <v>43</v>
      </c>
    </row>
    <row r="3943" spans="1:9" ht="15" customHeight="1" x14ac:dyDescent="0.25">
      <c r="A3943" s="87" t="s">
        <v>19</v>
      </c>
      <c r="B3943" s="87" t="s">
        <v>390</v>
      </c>
      <c r="C3943" s="87">
        <v>1980</v>
      </c>
      <c r="D3943" s="87" t="s">
        <v>82</v>
      </c>
      <c r="E3943" s="116">
        <v>-1</v>
      </c>
      <c r="F3943" s="87" t="s">
        <v>967</v>
      </c>
      <c r="G3943" s="87" t="s">
        <v>967</v>
      </c>
      <c r="H3943" s="87" t="s">
        <v>967</v>
      </c>
      <c r="I3943" s="87">
        <v>43</v>
      </c>
    </row>
    <row r="3944" spans="1:9" ht="15" customHeight="1" x14ac:dyDescent="0.25">
      <c r="A3944" s="87" t="s">
        <v>19</v>
      </c>
      <c r="B3944" s="87" t="s">
        <v>390</v>
      </c>
      <c r="C3944" s="87">
        <v>1981</v>
      </c>
      <c r="D3944" s="87" t="s">
        <v>82</v>
      </c>
      <c r="E3944" s="116">
        <v>-1</v>
      </c>
      <c r="F3944" s="87" t="s">
        <v>967</v>
      </c>
      <c r="G3944" s="87" t="s">
        <v>967</v>
      </c>
      <c r="H3944" s="87" t="s">
        <v>967</v>
      </c>
      <c r="I3944" s="87">
        <v>43</v>
      </c>
    </row>
    <row r="3945" spans="1:9" ht="15" customHeight="1" x14ac:dyDescent="0.25">
      <c r="A3945" s="87" t="s">
        <v>19</v>
      </c>
      <c r="B3945" s="87" t="s">
        <v>390</v>
      </c>
      <c r="C3945" s="87">
        <v>1982</v>
      </c>
      <c r="D3945" s="87" t="s">
        <v>82</v>
      </c>
      <c r="E3945" s="116">
        <v>-1</v>
      </c>
      <c r="F3945" s="87" t="s">
        <v>967</v>
      </c>
      <c r="G3945" s="87" t="s">
        <v>967</v>
      </c>
      <c r="H3945" s="87" t="s">
        <v>967</v>
      </c>
      <c r="I3945" s="87">
        <v>43</v>
      </c>
    </row>
    <row r="3946" spans="1:9" ht="15" customHeight="1" x14ac:dyDescent="0.25">
      <c r="A3946" s="87" t="s">
        <v>19</v>
      </c>
      <c r="B3946" s="87" t="s">
        <v>390</v>
      </c>
      <c r="C3946" s="87">
        <v>1983</v>
      </c>
      <c r="D3946" s="87" t="s">
        <v>82</v>
      </c>
      <c r="E3946" s="116">
        <v>-1</v>
      </c>
      <c r="F3946" s="87" t="s">
        <v>967</v>
      </c>
      <c r="G3946" s="87" t="s">
        <v>967</v>
      </c>
      <c r="H3946" s="87" t="s">
        <v>967</v>
      </c>
      <c r="I3946" s="87">
        <v>43</v>
      </c>
    </row>
    <row r="3947" spans="1:9" ht="15" customHeight="1" x14ac:dyDescent="0.25">
      <c r="A3947" s="87" t="s">
        <v>19</v>
      </c>
      <c r="B3947" s="87" t="s">
        <v>390</v>
      </c>
      <c r="C3947" s="87">
        <v>1984</v>
      </c>
      <c r="D3947" s="87" t="s">
        <v>82</v>
      </c>
      <c r="E3947" s="116">
        <v>-1</v>
      </c>
      <c r="F3947" s="87" t="s">
        <v>967</v>
      </c>
      <c r="G3947" s="87" t="s">
        <v>967</v>
      </c>
      <c r="H3947" s="87" t="s">
        <v>967</v>
      </c>
      <c r="I3947" s="87">
        <v>43</v>
      </c>
    </row>
    <row r="3948" spans="1:9" ht="15" customHeight="1" x14ac:dyDescent="0.25">
      <c r="A3948" s="87" t="s">
        <v>19</v>
      </c>
      <c r="B3948" s="87" t="s">
        <v>390</v>
      </c>
      <c r="C3948" s="87">
        <v>1985</v>
      </c>
      <c r="D3948" s="87" t="s">
        <v>82</v>
      </c>
      <c r="E3948" s="116">
        <v>-1</v>
      </c>
      <c r="F3948" s="87" t="s">
        <v>967</v>
      </c>
      <c r="G3948" s="87" t="s">
        <v>967</v>
      </c>
      <c r="H3948" s="87" t="s">
        <v>967</v>
      </c>
      <c r="I3948" s="87">
        <v>43</v>
      </c>
    </row>
    <row r="3949" spans="1:9" ht="15" customHeight="1" x14ac:dyDescent="0.25">
      <c r="A3949" s="87" t="s">
        <v>19</v>
      </c>
      <c r="B3949" s="87" t="s">
        <v>390</v>
      </c>
      <c r="C3949" s="87">
        <v>1986</v>
      </c>
      <c r="D3949" s="87" t="s">
        <v>82</v>
      </c>
      <c r="E3949" s="116">
        <v>-1</v>
      </c>
      <c r="F3949" s="87" t="s">
        <v>967</v>
      </c>
      <c r="G3949" s="87" t="s">
        <v>967</v>
      </c>
      <c r="H3949" s="87" t="s">
        <v>967</v>
      </c>
      <c r="I3949" s="87">
        <v>43</v>
      </c>
    </row>
    <row r="3950" spans="1:9" ht="15" customHeight="1" x14ac:dyDescent="0.25">
      <c r="A3950" s="87" t="s">
        <v>19</v>
      </c>
      <c r="B3950" s="87" t="s">
        <v>390</v>
      </c>
      <c r="C3950" s="87">
        <v>1987</v>
      </c>
      <c r="D3950" s="87" t="s">
        <v>82</v>
      </c>
      <c r="E3950" s="116">
        <v>-1</v>
      </c>
      <c r="F3950" s="87" t="s">
        <v>967</v>
      </c>
      <c r="G3950" s="87" t="s">
        <v>967</v>
      </c>
      <c r="H3950" s="87" t="s">
        <v>967</v>
      </c>
      <c r="I3950" s="87">
        <v>43</v>
      </c>
    </row>
    <row r="3951" spans="1:9" ht="15" customHeight="1" x14ac:dyDescent="0.25">
      <c r="A3951" s="87" t="s">
        <v>19</v>
      </c>
      <c r="B3951" s="87" t="s">
        <v>390</v>
      </c>
      <c r="C3951" s="87">
        <v>1988</v>
      </c>
      <c r="D3951" s="87" t="s">
        <v>82</v>
      </c>
      <c r="E3951" s="116">
        <v>-1</v>
      </c>
      <c r="F3951" s="87" t="s">
        <v>967</v>
      </c>
      <c r="G3951" s="87" t="s">
        <v>967</v>
      </c>
      <c r="H3951" s="87" t="s">
        <v>967</v>
      </c>
      <c r="I3951" s="87">
        <v>43</v>
      </c>
    </row>
    <row r="3952" spans="1:9" ht="15" customHeight="1" x14ac:dyDescent="0.25">
      <c r="A3952" s="87" t="s">
        <v>19</v>
      </c>
      <c r="B3952" s="87" t="s">
        <v>390</v>
      </c>
      <c r="C3952" s="87">
        <v>1989</v>
      </c>
      <c r="D3952" s="87" t="s">
        <v>82</v>
      </c>
      <c r="E3952" s="116">
        <v>-1</v>
      </c>
      <c r="F3952" s="87" t="s">
        <v>967</v>
      </c>
      <c r="G3952" s="87" t="s">
        <v>967</v>
      </c>
      <c r="H3952" s="87" t="s">
        <v>967</v>
      </c>
      <c r="I3952" s="87">
        <v>43</v>
      </c>
    </row>
    <row r="3953" spans="1:9" ht="15" customHeight="1" x14ac:dyDescent="0.25">
      <c r="A3953" s="87" t="s">
        <v>19</v>
      </c>
      <c r="B3953" s="87" t="s">
        <v>390</v>
      </c>
      <c r="C3953" s="87">
        <v>1990</v>
      </c>
      <c r="D3953" s="87" t="s">
        <v>82</v>
      </c>
      <c r="E3953" s="116">
        <v>-1</v>
      </c>
      <c r="F3953" s="87" t="s">
        <v>967</v>
      </c>
      <c r="G3953" s="87" t="s">
        <v>967</v>
      </c>
      <c r="H3953" s="87" t="s">
        <v>967</v>
      </c>
      <c r="I3953" s="87">
        <v>43</v>
      </c>
    </row>
    <row r="3954" spans="1:9" ht="15" customHeight="1" x14ac:dyDescent="0.25">
      <c r="A3954" s="87" t="s">
        <v>19</v>
      </c>
      <c r="B3954" s="87" t="s">
        <v>390</v>
      </c>
      <c r="C3954" s="87">
        <v>1991</v>
      </c>
      <c r="D3954" s="87" t="s">
        <v>82</v>
      </c>
      <c r="E3954" s="116">
        <v>-1</v>
      </c>
      <c r="F3954" s="87" t="s">
        <v>967</v>
      </c>
      <c r="G3954" s="87" t="s">
        <v>967</v>
      </c>
      <c r="H3954" s="87" t="s">
        <v>967</v>
      </c>
      <c r="I3954" s="87">
        <v>43</v>
      </c>
    </row>
    <row r="3955" spans="1:9" ht="15" customHeight="1" x14ac:dyDescent="0.25">
      <c r="A3955" s="87" t="s">
        <v>19</v>
      </c>
      <c r="B3955" s="87" t="s">
        <v>390</v>
      </c>
      <c r="C3955" s="87">
        <v>1992</v>
      </c>
      <c r="D3955" s="87" t="s">
        <v>82</v>
      </c>
      <c r="E3955" s="116">
        <v>-1</v>
      </c>
      <c r="F3955" s="87" t="s">
        <v>967</v>
      </c>
      <c r="G3955" s="87" t="s">
        <v>967</v>
      </c>
      <c r="H3955" s="87" t="s">
        <v>967</v>
      </c>
      <c r="I3955" s="87">
        <v>43</v>
      </c>
    </row>
    <row r="3956" spans="1:9" ht="15" customHeight="1" x14ac:dyDescent="0.25">
      <c r="A3956" s="87" t="s">
        <v>19</v>
      </c>
      <c r="B3956" s="87" t="s">
        <v>390</v>
      </c>
      <c r="C3956" s="87">
        <v>1993</v>
      </c>
      <c r="D3956" s="87" t="s">
        <v>82</v>
      </c>
      <c r="E3956" s="116">
        <v>-1</v>
      </c>
      <c r="F3956" s="87" t="s">
        <v>967</v>
      </c>
      <c r="G3956" s="87" t="s">
        <v>967</v>
      </c>
      <c r="H3956" s="87" t="s">
        <v>967</v>
      </c>
      <c r="I3956" s="87">
        <v>43</v>
      </c>
    </row>
    <row r="3957" spans="1:9" ht="15" customHeight="1" x14ac:dyDescent="0.25">
      <c r="A3957" s="87" t="s">
        <v>19</v>
      </c>
      <c r="B3957" s="87" t="s">
        <v>390</v>
      </c>
      <c r="C3957" s="87">
        <v>1994</v>
      </c>
      <c r="D3957" s="87" t="s">
        <v>82</v>
      </c>
      <c r="E3957" s="116">
        <v>-1</v>
      </c>
      <c r="F3957" s="87" t="s">
        <v>967</v>
      </c>
      <c r="G3957" s="87" t="s">
        <v>967</v>
      </c>
      <c r="H3957" s="87" t="s">
        <v>967</v>
      </c>
      <c r="I3957" s="87">
        <v>43</v>
      </c>
    </row>
    <row r="3958" spans="1:9" ht="15" customHeight="1" x14ac:dyDescent="0.25">
      <c r="A3958" s="87" t="s">
        <v>19</v>
      </c>
      <c r="B3958" s="87" t="s">
        <v>390</v>
      </c>
      <c r="C3958" s="87">
        <v>1995</v>
      </c>
      <c r="D3958" s="87" t="s">
        <v>82</v>
      </c>
      <c r="E3958" s="116">
        <v>-1</v>
      </c>
      <c r="F3958" s="87" t="s">
        <v>967</v>
      </c>
      <c r="G3958" s="87" t="s">
        <v>967</v>
      </c>
      <c r="H3958" s="87" t="s">
        <v>967</v>
      </c>
      <c r="I3958" s="87">
        <v>43</v>
      </c>
    </row>
    <row r="3959" spans="1:9" ht="15" customHeight="1" x14ac:dyDescent="0.25">
      <c r="A3959" s="87" t="s">
        <v>19</v>
      </c>
      <c r="B3959" s="87" t="s">
        <v>390</v>
      </c>
      <c r="C3959" s="87">
        <v>1996</v>
      </c>
      <c r="D3959" s="87" t="s">
        <v>82</v>
      </c>
      <c r="E3959" s="116">
        <v>10</v>
      </c>
      <c r="F3959" s="87" t="s">
        <v>967</v>
      </c>
      <c r="G3959" s="87" t="s">
        <v>967</v>
      </c>
      <c r="H3959" s="87" t="s">
        <v>967</v>
      </c>
      <c r="I3959" s="87">
        <v>43</v>
      </c>
    </row>
    <row r="3960" spans="1:9" ht="15" customHeight="1" x14ac:dyDescent="0.25">
      <c r="A3960" s="87" t="s">
        <v>19</v>
      </c>
      <c r="B3960" s="87" t="s">
        <v>390</v>
      </c>
      <c r="C3960" s="87">
        <v>1997</v>
      </c>
      <c r="D3960" s="87" t="s">
        <v>82</v>
      </c>
      <c r="E3960" s="116">
        <v>-1</v>
      </c>
      <c r="F3960" s="87" t="s">
        <v>967</v>
      </c>
      <c r="G3960" s="87" t="s">
        <v>967</v>
      </c>
      <c r="H3960" s="87" t="s">
        <v>967</v>
      </c>
      <c r="I3960" s="87">
        <v>43</v>
      </c>
    </row>
    <row r="3961" spans="1:9" ht="15" customHeight="1" x14ac:dyDescent="0.25">
      <c r="A3961" s="87" t="s">
        <v>19</v>
      </c>
      <c r="B3961" s="87" t="s">
        <v>390</v>
      </c>
      <c r="C3961" s="87">
        <v>1998</v>
      </c>
      <c r="D3961" s="87" t="s">
        <v>82</v>
      </c>
      <c r="E3961" s="116">
        <v>2</v>
      </c>
      <c r="F3961" s="87" t="s">
        <v>967</v>
      </c>
      <c r="G3961" s="87" t="s">
        <v>967</v>
      </c>
      <c r="H3961" s="87" t="s">
        <v>967</v>
      </c>
      <c r="I3961" s="87">
        <v>43</v>
      </c>
    </row>
    <row r="3962" spans="1:9" ht="15" customHeight="1" x14ac:dyDescent="0.25">
      <c r="A3962" s="87" t="s">
        <v>19</v>
      </c>
      <c r="B3962" s="87" t="s">
        <v>390</v>
      </c>
      <c r="C3962" s="87">
        <v>1999</v>
      </c>
      <c r="D3962" s="87" t="s">
        <v>82</v>
      </c>
      <c r="E3962" s="116">
        <v>-1</v>
      </c>
      <c r="F3962" s="87" t="s">
        <v>967</v>
      </c>
      <c r="G3962" s="87" t="s">
        <v>967</v>
      </c>
      <c r="H3962" s="87" t="s">
        <v>967</v>
      </c>
      <c r="I3962" s="87">
        <v>43</v>
      </c>
    </row>
    <row r="3963" spans="1:9" ht="15" customHeight="1" x14ac:dyDescent="0.25">
      <c r="A3963" s="87" t="s">
        <v>19</v>
      </c>
      <c r="B3963" s="87" t="s">
        <v>390</v>
      </c>
      <c r="C3963" s="87">
        <v>2000</v>
      </c>
      <c r="D3963" s="87" t="s">
        <v>82</v>
      </c>
      <c r="E3963" s="116">
        <v>0</v>
      </c>
      <c r="F3963" s="87" t="s">
        <v>967</v>
      </c>
      <c r="G3963" s="87" t="s">
        <v>272</v>
      </c>
      <c r="H3963" s="87" t="s">
        <v>967</v>
      </c>
      <c r="I3963" s="87">
        <v>43</v>
      </c>
    </row>
    <row r="3964" spans="1:9" ht="15" customHeight="1" x14ac:dyDescent="0.25">
      <c r="A3964" s="87" t="s">
        <v>19</v>
      </c>
      <c r="B3964" s="87" t="s">
        <v>390</v>
      </c>
      <c r="C3964" s="87">
        <v>2001</v>
      </c>
      <c r="D3964" s="87" t="s">
        <v>82</v>
      </c>
      <c r="E3964" s="116">
        <v>5</v>
      </c>
      <c r="F3964" s="87" t="s">
        <v>967</v>
      </c>
      <c r="G3964" s="87" t="s">
        <v>274</v>
      </c>
      <c r="H3964" s="87" t="s">
        <v>967</v>
      </c>
      <c r="I3964" s="87">
        <v>43</v>
      </c>
    </row>
    <row r="3965" spans="1:9" ht="15" customHeight="1" x14ac:dyDescent="0.25">
      <c r="A3965" s="87" t="s">
        <v>19</v>
      </c>
      <c r="B3965" s="87" t="s">
        <v>390</v>
      </c>
      <c r="C3965" s="87">
        <v>2002</v>
      </c>
      <c r="D3965" s="87" t="s">
        <v>82</v>
      </c>
      <c r="E3965" s="116">
        <v>3</v>
      </c>
      <c r="F3965" s="87" t="s">
        <v>967</v>
      </c>
      <c r="G3965" s="87" t="s">
        <v>274</v>
      </c>
      <c r="H3965" s="87" t="s">
        <v>967</v>
      </c>
      <c r="I3965" s="87">
        <v>43</v>
      </c>
    </row>
    <row r="3966" spans="1:9" ht="15" customHeight="1" x14ac:dyDescent="0.25">
      <c r="A3966" s="87" t="s">
        <v>19</v>
      </c>
      <c r="B3966" s="87" t="s">
        <v>390</v>
      </c>
      <c r="C3966" s="87">
        <v>2003</v>
      </c>
      <c r="D3966" s="87" t="s">
        <v>82</v>
      </c>
      <c r="E3966" s="116">
        <v>2</v>
      </c>
      <c r="F3966" s="87" t="s">
        <v>967</v>
      </c>
      <c r="G3966" s="87" t="s">
        <v>274</v>
      </c>
      <c r="H3966" s="87" t="s">
        <v>967</v>
      </c>
      <c r="I3966" s="87">
        <v>43</v>
      </c>
    </row>
    <row r="3967" spans="1:9" ht="15" customHeight="1" x14ac:dyDescent="0.25">
      <c r="A3967" s="87" t="s">
        <v>19</v>
      </c>
      <c r="B3967" s="87" t="s">
        <v>390</v>
      </c>
      <c r="C3967" s="87">
        <v>2004</v>
      </c>
      <c r="D3967" s="87" t="s">
        <v>82</v>
      </c>
      <c r="E3967" s="116">
        <v>8</v>
      </c>
      <c r="F3967" s="87" t="s">
        <v>967</v>
      </c>
      <c r="G3967" s="87" t="s">
        <v>274</v>
      </c>
      <c r="H3967" s="87" t="s">
        <v>967</v>
      </c>
      <c r="I3967" s="87">
        <v>43</v>
      </c>
    </row>
    <row r="3968" spans="1:9" ht="15" customHeight="1" x14ac:dyDescent="0.25">
      <c r="A3968" s="87" t="s">
        <v>19</v>
      </c>
      <c r="B3968" s="87" t="s">
        <v>390</v>
      </c>
      <c r="C3968" s="87">
        <v>2005</v>
      </c>
      <c r="D3968" s="87" t="s">
        <v>82</v>
      </c>
      <c r="E3968" s="116">
        <v>3</v>
      </c>
      <c r="F3968" s="87" t="s">
        <v>967</v>
      </c>
      <c r="G3968" s="87" t="s">
        <v>272</v>
      </c>
      <c r="H3968" s="87" t="s">
        <v>967</v>
      </c>
      <c r="I3968" s="87">
        <v>43</v>
      </c>
    </row>
    <row r="3969" spans="1:9" ht="15" customHeight="1" x14ac:dyDescent="0.25">
      <c r="A3969" s="87" t="s">
        <v>19</v>
      </c>
      <c r="B3969" s="87" t="s">
        <v>390</v>
      </c>
      <c r="C3969" s="87">
        <v>2006</v>
      </c>
      <c r="D3969" s="87" t="s">
        <v>82</v>
      </c>
      <c r="E3969" s="116">
        <v>0</v>
      </c>
      <c r="F3969" s="87" t="s">
        <v>967</v>
      </c>
      <c r="G3969" s="87" t="s">
        <v>274</v>
      </c>
      <c r="H3969" s="87" t="s">
        <v>967</v>
      </c>
      <c r="I3969" s="87">
        <v>43</v>
      </c>
    </row>
    <row r="3970" spans="1:9" ht="15" customHeight="1" x14ac:dyDescent="0.25">
      <c r="A3970" s="87" t="s">
        <v>19</v>
      </c>
      <c r="B3970" s="87" t="s">
        <v>390</v>
      </c>
      <c r="C3970" s="87">
        <v>2007</v>
      </c>
      <c r="D3970" s="87" t="s">
        <v>82</v>
      </c>
      <c r="E3970" s="116">
        <v>0</v>
      </c>
      <c r="F3970" s="87" t="s">
        <v>967</v>
      </c>
      <c r="G3970" s="87" t="s">
        <v>274</v>
      </c>
      <c r="H3970" s="87" t="s">
        <v>608</v>
      </c>
      <c r="I3970" s="87">
        <v>43</v>
      </c>
    </row>
    <row r="3971" spans="1:9" ht="15" customHeight="1" x14ac:dyDescent="0.25">
      <c r="A3971" s="87" t="s">
        <v>19</v>
      </c>
      <c r="B3971" s="87" t="s">
        <v>390</v>
      </c>
      <c r="C3971" s="87">
        <v>2008</v>
      </c>
      <c r="D3971" s="87" t="s">
        <v>82</v>
      </c>
      <c r="E3971" s="116">
        <v>0</v>
      </c>
      <c r="F3971" s="87" t="s">
        <v>967</v>
      </c>
      <c r="G3971" s="87" t="s">
        <v>272</v>
      </c>
      <c r="H3971" s="87" t="s">
        <v>967</v>
      </c>
      <c r="I3971" s="87">
        <v>43</v>
      </c>
    </row>
    <row r="3972" spans="1:9" ht="15" customHeight="1" x14ac:dyDescent="0.25">
      <c r="A3972" s="87" t="s">
        <v>19</v>
      </c>
      <c r="B3972" s="87" t="s">
        <v>390</v>
      </c>
      <c r="C3972" s="87">
        <v>2009</v>
      </c>
      <c r="D3972" s="87" t="s">
        <v>82</v>
      </c>
      <c r="E3972" s="116">
        <v>0</v>
      </c>
      <c r="F3972" s="87" t="s">
        <v>967</v>
      </c>
      <c r="G3972" s="87" t="s">
        <v>274</v>
      </c>
      <c r="H3972" s="87" t="s">
        <v>967</v>
      </c>
      <c r="I3972" s="87">
        <v>43</v>
      </c>
    </row>
    <row r="3973" spans="1:9" ht="15" customHeight="1" x14ac:dyDescent="0.25">
      <c r="A3973" s="87" t="s">
        <v>19</v>
      </c>
      <c r="B3973" s="87" t="s">
        <v>390</v>
      </c>
      <c r="C3973" s="87">
        <v>2010</v>
      </c>
      <c r="D3973" s="87" t="s">
        <v>82</v>
      </c>
      <c r="E3973" s="116">
        <v>0</v>
      </c>
      <c r="F3973" s="87" t="s">
        <v>967</v>
      </c>
      <c r="G3973" s="87" t="s">
        <v>274</v>
      </c>
      <c r="H3973" s="87" t="s">
        <v>967</v>
      </c>
      <c r="I3973" s="87">
        <v>43</v>
      </c>
    </row>
    <row r="3974" spans="1:9" ht="15" customHeight="1" x14ac:dyDescent="0.25">
      <c r="A3974" s="87" t="s">
        <v>19</v>
      </c>
      <c r="B3974" s="87" t="s">
        <v>390</v>
      </c>
      <c r="C3974" s="87">
        <v>2011</v>
      </c>
      <c r="D3974" s="87" t="s">
        <v>82</v>
      </c>
      <c r="E3974" s="116">
        <v>0</v>
      </c>
      <c r="F3974" s="87" t="s">
        <v>967</v>
      </c>
      <c r="G3974" s="87" t="s">
        <v>274</v>
      </c>
      <c r="H3974" s="87" t="s">
        <v>967</v>
      </c>
      <c r="I3974" s="87">
        <v>43</v>
      </c>
    </row>
    <row r="3975" spans="1:9" ht="15" customHeight="1" x14ac:dyDescent="0.25">
      <c r="A3975" s="87" t="s">
        <v>19</v>
      </c>
      <c r="B3975" s="87" t="s">
        <v>390</v>
      </c>
      <c r="C3975" s="87">
        <v>2012</v>
      </c>
      <c r="D3975" s="87" t="s">
        <v>82</v>
      </c>
      <c r="E3975" s="116">
        <v>0</v>
      </c>
      <c r="F3975" s="87" t="s">
        <v>967</v>
      </c>
      <c r="G3975" s="87" t="s">
        <v>274</v>
      </c>
      <c r="H3975" s="87" t="s">
        <v>967</v>
      </c>
      <c r="I3975" s="87">
        <v>43</v>
      </c>
    </row>
    <row r="3976" spans="1:9" ht="15" customHeight="1" x14ac:dyDescent="0.25">
      <c r="A3976" s="87" t="s">
        <v>19</v>
      </c>
      <c r="B3976" s="87" t="s">
        <v>390</v>
      </c>
      <c r="C3976" s="87">
        <v>2013</v>
      </c>
      <c r="D3976" s="87" t="s">
        <v>82</v>
      </c>
      <c r="E3976" s="116">
        <v>0</v>
      </c>
      <c r="F3976" s="87" t="s">
        <v>967</v>
      </c>
      <c r="G3976" s="87" t="s">
        <v>274</v>
      </c>
      <c r="H3976" s="87" t="s">
        <v>967</v>
      </c>
      <c r="I3976" s="87">
        <v>43</v>
      </c>
    </row>
    <row r="3977" spans="1:9" ht="15" customHeight="1" x14ac:dyDescent="0.25">
      <c r="A3977" s="87" t="s">
        <v>19</v>
      </c>
      <c r="B3977" s="87" t="s">
        <v>390</v>
      </c>
      <c r="C3977" s="87">
        <v>2014</v>
      </c>
      <c r="D3977" s="87" t="s">
        <v>82</v>
      </c>
      <c r="E3977" s="116">
        <v>0</v>
      </c>
      <c r="F3977" s="87" t="s">
        <v>967</v>
      </c>
      <c r="G3977" s="87" t="s">
        <v>274</v>
      </c>
      <c r="H3977" s="87" t="s">
        <v>967</v>
      </c>
      <c r="I3977" s="87">
        <v>43</v>
      </c>
    </row>
    <row r="3978" spans="1:9" ht="15" customHeight="1" x14ac:dyDescent="0.25">
      <c r="A3978" s="87" t="s">
        <v>19</v>
      </c>
      <c r="B3978" s="87" t="s">
        <v>390</v>
      </c>
      <c r="C3978" s="87">
        <v>2015</v>
      </c>
      <c r="D3978" s="87" t="s">
        <v>82</v>
      </c>
      <c r="E3978" s="116">
        <v>2</v>
      </c>
      <c r="F3978" s="87" t="s">
        <v>967</v>
      </c>
      <c r="G3978" s="87" t="s">
        <v>272</v>
      </c>
      <c r="H3978" s="87" t="s">
        <v>967</v>
      </c>
      <c r="I3978" s="87">
        <v>43</v>
      </c>
    </row>
    <row r="3979" spans="1:9" ht="15" customHeight="1" x14ac:dyDescent="0.25">
      <c r="A3979" s="87" t="s">
        <v>19</v>
      </c>
      <c r="B3979" s="87" t="s">
        <v>390</v>
      </c>
      <c r="C3979" s="87">
        <v>2016</v>
      </c>
      <c r="D3979" s="87" t="s">
        <v>82</v>
      </c>
      <c r="E3979" s="116">
        <v>0</v>
      </c>
      <c r="F3979" s="87" t="s">
        <v>967</v>
      </c>
      <c r="G3979" s="87" t="s">
        <v>274</v>
      </c>
      <c r="H3979" s="87" t="s">
        <v>967</v>
      </c>
      <c r="I3979" s="87">
        <v>43</v>
      </c>
    </row>
    <row r="3980" spans="1:9" ht="15" customHeight="1" x14ac:dyDescent="0.25">
      <c r="A3980" s="87" t="s">
        <v>19</v>
      </c>
      <c r="B3980" s="87" t="s">
        <v>390</v>
      </c>
      <c r="C3980" s="87">
        <v>2017</v>
      </c>
      <c r="D3980" s="87" t="s">
        <v>82</v>
      </c>
      <c r="E3980" s="116">
        <v>0</v>
      </c>
      <c r="F3980" s="87" t="s">
        <v>967</v>
      </c>
      <c r="G3980" s="87" t="s">
        <v>274</v>
      </c>
      <c r="H3980" s="87" t="s">
        <v>967</v>
      </c>
      <c r="I3980" s="87">
        <v>43</v>
      </c>
    </row>
    <row r="3981" spans="1:9" ht="15" customHeight="1" x14ac:dyDescent="0.25">
      <c r="A3981" s="87" t="s">
        <v>19</v>
      </c>
      <c r="B3981" s="87" t="s">
        <v>390</v>
      </c>
      <c r="C3981" s="87">
        <v>2018</v>
      </c>
      <c r="D3981" s="87" t="s">
        <v>82</v>
      </c>
      <c r="E3981" s="116">
        <v>0</v>
      </c>
      <c r="F3981" s="87" t="s">
        <v>967</v>
      </c>
      <c r="G3981" s="87" t="s">
        <v>272</v>
      </c>
      <c r="H3981" s="87" t="s">
        <v>967</v>
      </c>
      <c r="I3981" s="87">
        <v>43</v>
      </c>
    </row>
    <row r="3982" spans="1:9" ht="15" customHeight="1" x14ac:dyDescent="0.25">
      <c r="A3982" s="87" t="s">
        <v>19</v>
      </c>
      <c r="B3982" s="87" t="s">
        <v>390</v>
      </c>
      <c r="C3982" s="87">
        <v>2019</v>
      </c>
      <c r="D3982" s="87" t="s">
        <v>82</v>
      </c>
      <c r="E3982" s="116">
        <v>0</v>
      </c>
      <c r="F3982" s="87" t="s">
        <v>967</v>
      </c>
      <c r="G3982" s="87" t="s">
        <v>272</v>
      </c>
      <c r="H3982" s="87" t="s">
        <v>997</v>
      </c>
      <c r="I3982" s="87">
        <v>43</v>
      </c>
    </row>
    <row r="3983" spans="1:9" ht="15" customHeight="1" x14ac:dyDescent="0.25">
      <c r="A3983" s="87" t="s">
        <v>19</v>
      </c>
      <c r="B3983" s="87" t="s">
        <v>390</v>
      </c>
      <c r="C3983" s="87">
        <v>2020</v>
      </c>
      <c r="D3983" s="87" t="s">
        <v>82</v>
      </c>
      <c r="E3983" s="116">
        <v>-1</v>
      </c>
      <c r="F3983" s="87" t="s">
        <v>967</v>
      </c>
      <c r="G3983" s="87" t="s">
        <v>967</v>
      </c>
      <c r="H3983" s="87" t="s">
        <v>967</v>
      </c>
      <c r="I3983" s="87">
        <v>43</v>
      </c>
    </row>
    <row r="3984" spans="1:9" ht="15" customHeight="1" x14ac:dyDescent="0.25">
      <c r="A3984" s="87" t="s">
        <v>19</v>
      </c>
      <c r="B3984" s="87" t="s">
        <v>390</v>
      </c>
      <c r="C3984" s="87">
        <v>2021</v>
      </c>
      <c r="D3984" s="87" t="s">
        <v>82</v>
      </c>
      <c r="E3984" s="116">
        <v>0</v>
      </c>
      <c r="F3984" s="87" t="s">
        <v>967</v>
      </c>
      <c r="G3984" s="87" t="s">
        <v>272</v>
      </c>
      <c r="H3984" s="87" t="s">
        <v>967</v>
      </c>
      <c r="I3984" s="87">
        <v>43</v>
      </c>
    </row>
    <row r="3985" spans="1:9" ht="15" customHeight="1" x14ac:dyDescent="0.25">
      <c r="A3985" s="87" t="s">
        <v>19</v>
      </c>
      <c r="B3985" s="87" t="s">
        <v>390</v>
      </c>
      <c r="C3985" s="87">
        <v>2022</v>
      </c>
      <c r="D3985" s="87" t="s">
        <v>82</v>
      </c>
      <c r="E3985" s="116">
        <v>0</v>
      </c>
      <c r="F3985" s="87" t="s">
        <v>967</v>
      </c>
      <c r="G3985" s="87" t="s">
        <v>272</v>
      </c>
      <c r="H3985" s="87" t="s">
        <v>967</v>
      </c>
      <c r="I3985" s="87">
        <v>43</v>
      </c>
    </row>
    <row r="3986" spans="1:9" ht="15" customHeight="1" x14ac:dyDescent="0.25">
      <c r="A3986" s="87" t="s">
        <v>19</v>
      </c>
      <c r="B3986" s="87" t="s">
        <v>226</v>
      </c>
      <c r="C3986" s="87">
        <v>1975</v>
      </c>
      <c r="D3986" s="87" t="s">
        <v>82</v>
      </c>
      <c r="E3986" s="116">
        <v>-1</v>
      </c>
      <c r="F3986" s="87" t="s">
        <v>967</v>
      </c>
      <c r="G3986" s="87" t="s">
        <v>967</v>
      </c>
      <c r="H3986" s="87" t="s">
        <v>967</v>
      </c>
      <c r="I3986" s="87">
        <v>43</v>
      </c>
    </row>
    <row r="3987" spans="1:9" ht="15" customHeight="1" x14ac:dyDescent="0.25">
      <c r="A3987" s="87" t="s">
        <v>19</v>
      </c>
      <c r="B3987" s="87" t="s">
        <v>226</v>
      </c>
      <c r="C3987" s="87">
        <v>1976</v>
      </c>
      <c r="D3987" s="87" t="s">
        <v>82</v>
      </c>
      <c r="E3987" s="116">
        <v>-1</v>
      </c>
      <c r="F3987" s="87" t="s">
        <v>967</v>
      </c>
      <c r="G3987" s="87" t="s">
        <v>967</v>
      </c>
      <c r="H3987" s="87" t="s">
        <v>967</v>
      </c>
      <c r="I3987" s="87">
        <v>43</v>
      </c>
    </row>
    <row r="3988" spans="1:9" ht="15" customHeight="1" x14ac:dyDescent="0.25">
      <c r="A3988" s="87" t="s">
        <v>19</v>
      </c>
      <c r="B3988" s="87" t="s">
        <v>226</v>
      </c>
      <c r="C3988" s="87">
        <v>1977</v>
      </c>
      <c r="D3988" s="87" t="s">
        <v>82</v>
      </c>
      <c r="E3988" s="116">
        <v>-1</v>
      </c>
      <c r="F3988" s="87" t="s">
        <v>967</v>
      </c>
      <c r="G3988" s="87" t="s">
        <v>967</v>
      </c>
      <c r="H3988" s="87" t="s">
        <v>967</v>
      </c>
      <c r="I3988" s="87">
        <v>43</v>
      </c>
    </row>
    <row r="3989" spans="1:9" ht="15" customHeight="1" x14ac:dyDescent="0.25">
      <c r="A3989" s="87" t="s">
        <v>19</v>
      </c>
      <c r="B3989" s="87" t="s">
        <v>226</v>
      </c>
      <c r="C3989" s="87">
        <v>1978</v>
      </c>
      <c r="D3989" s="87" t="s">
        <v>82</v>
      </c>
      <c r="E3989" s="116">
        <v>-1</v>
      </c>
      <c r="F3989" s="87" t="s">
        <v>967</v>
      </c>
      <c r="G3989" s="87" t="s">
        <v>967</v>
      </c>
      <c r="H3989" s="87" t="s">
        <v>967</v>
      </c>
      <c r="I3989" s="87">
        <v>43</v>
      </c>
    </row>
    <row r="3990" spans="1:9" ht="15" customHeight="1" x14ac:dyDescent="0.25">
      <c r="A3990" s="87" t="s">
        <v>19</v>
      </c>
      <c r="B3990" s="87" t="s">
        <v>226</v>
      </c>
      <c r="C3990" s="87">
        <v>1979</v>
      </c>
      <c r="D3990" s="87" t="s">
        <v>82</v>
      </c>
      <c r="E3990" s="116">
        <v>-1</v>
      </c>
      <c r="F3990" s="87" t="s">
        <v>967</v>
      </c>
      <c r="G3990" s="87" t="s">
        <v>967</v>
      </c>
      <c r="H3990" s="87" t="s">
        <v>967</v>
      </c>
      <c r="I3990" s="87">
        <v>43</v>
      </c>
    </row>
    <row r="3991" spans="1:9" ht="15" customHeight="1" x14ac:dyDescent="0.25">
      <c r="A3991" s="87" t="s">
        <v>19</v>
      </c>
      <c r="B3991" s="87" t="s">
        <v>226</v>
      </c>
      <c r="C3991" s="87">
        <v>1980</v>
      </c>
      <c r="D3991" s="87" t="s">
        <v>82</v>
      </c>
      <c r="E3991" s="116">
        <v>-1</v>
      </c>
      <c r="F3991" s="87" t="s">
        <v>967</v>
      </c>
      <c r="G3991" s="87" t="s">
        <v>967</v>
      </c>
      <c r="H3991" s="87" t="s">
        <v>967</v>
      </c>
      <c r="I3991" s="87">
        <v>43</v>
      </c>
    </row>
    <row r="3992" spans="1:9" ht="15" customHeight="1" x14ac:dyDescent="0.25">
      <c r="A3992" s="87" t="s">
        <v>19</v>
      </c>
      <c r="B3992" s="87" t="s">
        <v>226</v>
      </c>
      <c r="C3992" s="87">
        <v>1981</v>
      </c>
      <c r="D3992" s="87" t="s">
        <v>82</v>
      </c>
      <c r="E3992" s="116">
        <v>-1</v>
      </c>
      <c r="F3992" s="87" t="s">
        <v>967</v>
      </c>
      <c r="G3992" s="87" t="s">
        <v>967</v>
      </c>
      <c r="H3992" s="87" t="s">
        <v>967</v>
      </c>
      <c r="I3992" s="87">
        <v>43</v>
      </c>
    </row>
    <row r="3993" spans="1:9" ht="15" customHeight="1" x14ac:dyDescent="0.25">
      <c r="A3993" s="87" t="s">
        <v>19</v>
      </c>
      <c r="B3993" s="87" t="s">
        <v>226</v>
      </c>
      <c r="C3993" s="87">
        <v>1982</v>
      </c>
      <c r="D3993" s="87" t="s">
        <v>82</v>
      </c>
      <c r="E3993" s="116">
        <v>-1</v>
      </c>
      <c r="F3993" s="87" t="s">
        <v>967</v>
      </c>
      <c r="G3993" s="87" t="s">
        <v>967</v>
      </c>
      <c r="H3993" s="87" t="s">
        <v>967</v>
      </c>
      <c r="I3993" s="87">
        <v>43</v>
      </c>
    </row>
    <row r="3994" spans="1:9" ht="15" customHeight="1" x14ac:dyDescent="0.25">
      <c r="A3994" s="87" t="s">
        <v>19</v>
      </c>
      <c r="B3994" s="87" t="s">
        <v>226</v>
      </c>
      <c r="C3994" s="87">
        <v>1983</v>
      </c>
      <c r="D3994" s="87" t="s">
        <v>82</v>
      </c>
      <c r="E3994" s="116">
        <v>-1</v>
      </c>
      <c r="F3994" s="87" t="s">
        <v>967</v>
      </c>
      <c r="G3994" s="87" t="s">
        <v>967</v>
      </c>
      <c r="H3994" s="87" t="s">
        <v>967</v>
      </c>
      <c r="I3994" s="87">
        <v>43</v>
      </c>
    </row>
    <row r="3995" spans="1:9" ht="15" customHeight="1" x14ac:dyDescent="0.25">
      <c r="A3995" s="87" t="s">
        <v>19</v>
      </c>
      <c r="B3995" s="87" t="s">
        <v>226</v>
      </c>
      <c r="C3995" s="87">
        <v>1984</v>
      </c>
      <c r="D3995" s="87" t="s">
        <v>82</v>
      </c>
      <c r="E3995" s="116">
        <v>-1</v>
      </c>
      <c r="F3995" s="87" t="s">
        <v>967</v>
      </c>
      <c r="G3995" s="87" t="s">
        <v>967</v>
      </c>
      <c r="H3995" s="87" t="s">
        <v>967</v>
      </c>
      <c r="I3995" s="87">
        <v>43</v>
      </c>
    </row>
    <row r="3996" spans="1:9" ht="15" customHeight="1" x14ac:dyDescent="0.25">
      <c r="A3996" s="87" t="s">
        <v>19</v>
      </c>
      <c r="B3996" s="87" t="s">
        <v>226</v>
      </c>
      <c r="C3996" s="87">
        <v>1985</v>
      </c>
      <c r="D3996" s="87" t="s">
        <v>82</v>
      </c>
      <c r="E3996" s="116">
        <v>-1</v>
      </c>
      <c r="F3996" s="87" t="s">
        <v>967</v>
      </c>
      <c r="G3996" s="87" t="s">
        <v>967</v>
      </c>
      <c r="H3996" s="87" t="s">
        <v>967</v>
      </c>
      <c r="I3996" s="87">
        <v>43</v>
      </c>
    </row>
    <row r="3997" spans="1:9" ht="15" customHeight="1" x14ac:dyDescent="0.25">
      <c r="A3997" s="87" t="s">
        <v>19</v>
      </c>
      <c r="B3997" s="87" t="s">
        <v>226</v>
      </c>
      <c r="C3997" s="87">
        <v>1986</v>
      </c>
      <c r="D3997" s="87" t="s">
        <v>82</v>
      </c>
      <c r="E3997" s="116">
        <v>-1</v>
      </c>
      <c r="F3997" s="87" t="s">
        <v>967</v>
      </c>
      <c r="G3997" s="87" t="s">
        <v>967</v>
      </c>
      <c r="H3997" s="87" t="s">
        <v>967</v>
      </c>
      <c r="I3997" s="87">
        <v>43</v>
      </c>
    </row>
    <row r="3998" spans="1:9" ht="15" customHeight="1" x14ac:dyDescent="0.25">
      <c r="A3998" s="87" t="s">
        <v>19</v>
      </c>
      <c r="B3998" s="87" t="s">
        <v>226</v>
      </c>
      <c r="C3998" s="87">
        <v>1987</v>
      </c>
      <c r="D3998" s="87" t="s">
        <v>82</v>
      </c>
      <c r="E3998" s="116">
        <v>-1</v>
      </c>
      <c r="F3998" s="87" t="s">
        <v>967</v>
      </c>
      <c r="G3998" s="87" t="s">
        <v>967</v>
      </c>
      <c r="H3998" s="87" t="s">
        <v>967</v>
      </c>
      <c r="I3998" s="87">
        <v>43</v>
      </c>
    </row>
    <row r="3999" spans="1:9" ht="15" customHeight="1" x14ac:dyDescent="0.25">
      <c r="A3999" s="87" t="s">
        <v>19</v>
      </c>
      <c r="B3999" s="87" t="s">
        <v>226</v>
      </c>
      <c r="C3999" s="87">
        <v>1988</v>
      </c>
      <c r="D3999" s="87" t="s">
        <v>82</v>
      </c>
      <c r="E3999" s="116">
        <v>-1</v>
      </c>
      <c r="F3999" s="87" t="s">
        <v>967</v>
      </c>
      <c r="G3999" s="87" t="s">
        <v>967</v>
      </c>
      <c r="H3999" s="87" t="s">
        <v>967</v>
      </c>
      <c r="I3999" s="87">
        <v>43</v>
      </c>
    </row>
    <row r="4000" spans="1:9" ht="15" customHeight="1" x14ac:dyDescent="0.25">
      <c r="A4000" s="87" t="s">
        <v>19</v>
      </c>
      <c r="B4000" s="87" t="s">
        <v>226</v>
      </c>
      <c r="C4000" s="87">
        <v>1989</v>
      </c>
      <c r="D4000" s="87" t="s">
        <v>82</v>
      </c>
      <c r="E4000" s="116">
        <v>-1</v>
      </c>
      <c r="F4000" s="87" t="s">
        <v>967</v>
      </c>
      <c r="G4000" s="87" t="s">
        <v>967</v>
      </c>
      <c r="H4000" s="87" t="s">
        <v>967</v>
      </c>
      <c r="I4000" s="87">
        <v>43</v>
      </c>
    </row>
    <row r="4001" spans="1:9" ht="15" customHeight="1" x14ac:dyDescent="0.25">
      <c r="A4001" s="87" t="s">
        <v>19</v>
      </c>
      <c r="B4001" s="87" t="s">
        <v>226</v>
      </c>
      <c r="C4001" s="87">
        <v>1990</v>
      </c>
      <c r="D4001" s="87" t="s">
        <v>82</v>
      </c>
      <c r="E4001" s="116">
        <v>-1</v>
      </c>
      <c r="F4001" s="87" t="s">
        <v>967</v>
      </c>
      <c r="G4001" s="87" t="s">
        <v>967</v>
      </c>
      <c r="H4001" s="87" t="s">
        <v>967</v>
      </c>
      <c r="I4001" s="87">
        <v>43</v>
      </c>
    </row>
    <row r="4002" spans="1:9" ht="15" customHeight="1" x14ac:dyDescent="0.25">
      <c r="A4002" s="87" t="s">
        <v>19</v>
      </c>
      <c r="B4002" s="87" t="s">
        <v>226</v>
      </c>
      <c r="C4002" s="87">
        <v>1991</v>
      </c>
      <c r="D4002" s="87" t="s">
        <v>82</v>
      </c>
      <c r="E4002" s="116">
        <v>-1</v>
      </c>
      <c r="F4002" s="87" t="s">
        <v>967</v>
      </c>
      <c r="G4002" s="87" t="s">
        <v>967</v>
      </c>
      <c r="H4002" s="87" t="s">
        <v>967</v>
      </c>
      <c r="I4002" s="87">
        <v>43</v>
      </c>
    </row>
    <row r="4003" spans="1:9" ht="15" customHeight="1" x14ac:dyDescent="0.25">
      <c r="A4003" s="87" t="s">
        <v>19</v>
      </c>
      <c r="B4003" s="87" t="s">
        <v>226</v>
      </c>
      <c r="C4003" s="87">
        <v>1992</v>
      </c>
      <c r="D4003" s="87" t="s">
        <v>82</v>
      </c>
      <c r="E4003" s="116">
        <v>-1</v>
      </c>
      <c r="F4003" s="87" t="s">
        <v>967</v>
      </c>
      <c r="G4003" s="87" t="s">
        <v>967</v>
      </c>
      <c r="H4003" s="87" t="s">
        <v>967</v>
      </c>
      <c r="I4003" s="87">
        <v>43</v>
      </c>
    </row>
    <row r="4004" spans="1:9" ht="15" customHeight="1" x14ac:dyDescent="0.25">
      <c r="A4004" s="87" t="s">
        <v>19</v>
      </c>
      <c r="B4004" s="87" t="s">
        <v>226</v>
      </c>
      <c r="C4004" s="87">
        <v>1993</v>
      </c>
      <c r="D4004" s="87" t="s">
        <v>82</v>
      </c>
      <c r="E4004" s="116">
        <v>-1</v>
      </c>
      <c r="F4004" s="87" t="s">
        <v>967</v>
      </c>
      <c r="G4004" s="87" t="s">
        <v>967</v>
      </c>
      <c r="H4004" s="87" t="s">
        <v>967</v>
      </c>
      <c r="I4004" s="87">
        <v>43</v>
      </c>
    </row>
    <row r="4005" spans="1:9" ht="15" customHeight="1" x14ac:dyDescent="0.25">
      <c r="A4005" s="87" t="s">
        <v>19</v>
      </c>
      <c r="B4005" s="87" t="s">
        <v>226</v>
      </c>
      <c r="C4005" s="87">
        <v>1994</v>
      </c>
      <c r="D4005" s="87" t="s">
        <v>82</v>
      </c>
      <c r="E4005" s="116">
        <v>-1</v>
      </c>
      <c r="F4005" s="87" t="s">
        <v>967</v>
      </c>
      <c r="G4005" s="87" t="s">
        <v>967</v>
      </c>
      <c r="H4005" s="87" t="s">
        <v>967</v>
      </c>
      <c r="I4005" s="87">
        <v>43</v>
      </c>
    </row>
    <row r="4006" spans="1:9" ht="15" customHeight="1" x14ac:dyDescent="0.25">
      <c r="A4006" s="87" t="s">
        <v>19</v>
      </c>
      <c r="B4006" s="87" t="s">
        <v>226</v>
      </c>
      <c r="C4006" s="87">
        <v>1995</v>
      </c>
      <c r="D4006" s="87" t="s">
        <v>82</v>
      </c>
      <c r="E4006" s="116">
        <v>50</v>
      </c>
      <c r="F4006" s="87" t="s">
        <v>967</v>
      </c>
      <c r="G4006" s="87" t="s">
        <v>967</v>
      </c>
      <c r="H4006" s="87" t="s">
        <v>967</v>
      </c>
      <c r="I4006" s="87">
        <v>43</v>
      </c>
    </row>
    <row r="4007" spans="1:9" ht="15" customHeight="1" x14ac:dyDescent="0.25">
      <c r="A4007" s="87" t="s">
        <v>19</v>
      </c>
      <c r="B4007" s="87" t="s">
        <v>226</v>
      </c>
      <c r="C4007" s="87">
        <v>1996</v>
      </c>
      <c r="D4007" s="87" t="s">
        <v>82</v>
      </c>
      <c r="E4007" s="116">
        <v>125</v>
      </c>
      <c r="F4007" s="87" t="s">
        <v>967</v>
      </c>
      <c r="G4007" s="87" t="s">
        <v>967</v>
      </c>
      <c r="H4007" s="87" t="s">
        <v>967</v>
      </c>
      <c r="I4007" s="87">
        <v>43</v>
      </c>
    </row>
    <row r="4008" spans="1:9" ht="15" customHeight="1" x14ac:dyDescent="0.25">
      <c r="A4008" s="87" t="s">
        <v>19</v>
      </c>
      <c r="B4008" s="87" t="s">
        <v>226</v>
      </c>
      <c r="C4008" s="87">
        <v>1997</v>
      </c>
      <c r="D4008" s="87" t="s">
        <v>82</v>
      </c>
      <c r="E4008" s="116">
        <v>5</v>
      </c>
      <c r="F4008" s="87" t="s">
        <v>967</v>
      </c>
      <c r="G4008" s="87" t="s">
        <v>967</v>
      </c>
      <c r="H4008" s="87" t="s">
        <v>967</v>
      </c>
      <c r="I4008" s="87">
        <v>43</v>
      </c>
    </row>
    <row r="4009" spans="1:9" ht="15" customHeight="1" x14ac:dyDescent="0.25">
      <c r="A4009" s="87" t="s">
        <v>19</v>
      </c>
      <c r="B4009" s="87" t="s">
        <v>226</v>
      </c>
      <c r="C4009" s="87">
        <v>1998</v>
      </c>
      <c r="D4009" s="87" t="s">
        <v>82</v>
      </c>
      <c r="E4009" s="116">
        <v>15</v>
      </c>
      <c r="F4009" s="87" t="s">
        <v>967</v>
      </c>
      <c r="G4009" s="87" t="s">
        <v>967</v>
      </c>
      <c r="H4009" s="87" t="s">
        <v>967</v>
      </c>
      <c r="I4009" s="87">
        <v>43</v>
      </c>
    </row>
    <row r="4010" spans="1:9" ht="15" customHeight="1" x14ac:dyDescent="0.25">
      <c r="A4010" s="87" t="s">
        <v>19</v>
      </c>
      <c r="B4010" s="87" t="s">
        <v>226</v>
      </c>
      <c r="C4010" s="87">
        <v>1999</v>
      </c>
      <c r="D4010" s="87" t="s">
        <v>82</v>
      </c>
      <c r="E4010" s="116">
        <v>136</v>
      </c>
      <c r="F4010" s="87" t="s">
        <v>630</v>
      </c>
      <c r="G4010" s="87" t="s">
        <v>272</v>
      </c>
      <c r="H4010" s="87" t="s">
        <v>967</v>
      </c>
      <c r="I4010" s="87">
        <v>43</v>
      </c>
    </row>
    <row r="4011" spans="1:9" ht="15" customHeight="1" x14ac:dyDescent="0.25">
      <c r="A4011" s="87" t="s">
        <v>19</v>
      </c>
      <c r="B4011" s="87" t="s">
        <v>226</v>
      </c>
      <c r="C4011" s="87">
        <v>2000</v>
      </c>
      <c r="D4011" s="87" t="s">
        <v>82</v>
      </c>
      <c r="E4011" s="116">
        <v>31</v>
      </c>
      <c r="F4011" s="87" t="s">
        <v>967</v>
      </c>
      <c r="G4011" s="87" t="s">
        <v>274</v>
      </c>
      <c r="H4011" s="87" t="s">
        <v>967</v>
      </c>
      <c r="I4011" s="87">
        <v>43</v>
      </c>
    </row>
    <row r="4012" spans="1:9" ht="15" customHeight="1" x14ac:dyDescent="0.25">
      <c r="A4012" s="87" t="s">
        <v>19</v>
      </c>
      <c r="B4012" s="87" t="s">
        <v>226</v>
      </c>
      <c r="C4012" s="87">
        <v>2001</v>
      </c>
      <c r="D4012" s="87" t="s">
        <v>82</v>
      </c>
      <c r="E4012" s="116">
        <v>118</v>
      </c>
      <c r="F4012" s="87" t="s">
        <v>967</v>
      </c>
      <c r="G4012" s="87" t="s">
        <v>274</v>
      </c>
      <c r="H4012" s="87" t="s">
        <v>967</v>
      </c>
      <c r="I4012" s="87">
        <v>43</v>
      </c>
    </row>
    <row r="4013" spans="1:9" ht="15" customHeight="1" x14ac:dyDescent="0.25">
      <c r="A4013" s="87" t="s">
        <v>19</v>
      </c>
      <c r="B4013" s="87" t="s">
        <v>226</v>
      </c>
      <c r="C4013" s="87">
        <v>2002</v>
      </c>
      <c r="D4013" s="87" t="s">
        <v>82</v>
      </c>
      <c r="E4013" s="116">
        <v>68</v>
      </c>
      <c r="F4013" s="87" t="s">
        <v>967</v>
      </c>
      <c r="G4013" s="87" t="s">
        <v>274</v>
      </c>
      <c r="H4013" s="87" t="s">
        <v>967</v>
      </c>
      <c r="I4013" s="87">
        <v>43</v>
      </c>
    </row>
    <row r="4014" spans="1:9" ht="15" customHeight="1" x14ac:dyDescent="0.25">
      <c r="A4014" s="87" t="s">
        <v>19</v>
      </c>
      <c r="B4014" s="87" t="s">
        <v>226</v>
      </c>
      <c r="C4014" s="87">
        <v>2003</v>
      </c>
      <c r="D4014" s="87" t="s">
        <v>82</v>
      </c>
      <c r="E4014" s="116">
        <v>5</v>
      </c>
      <c r="F4014" s="87" t="s">
        <v>967</v>
      </c>
      <c r="G4014" s="87" t="s">
        <v>274</v>
      </c>
      <c r="H4014" s="87" t="s">
        <v>967</v>
      </c>
      <c r="I4014" s="87">
        <v>43</v>
      </c>
    </row>
    <row r="4015" spans="1:9" ht="15" customHeight="1" x14ac:dyDescent="0.25">
      <c r="A4015" s="87" t="s">
        <v>19</v>
      </c>
      <c r="B4015" s="87" t="s">
        <v>226</v>
      </c>
      <c r="C4015" s="87">
        <v>2004</v>
      </c>
      <c r="D4015" s="87" t="s">
        <v>82</v>
      </c>
      <c r="E4015" s="116">
        <v>23</v>
      </c>
      <c r="F4015" s="87" t="s">
        <v>967</v>
      </c>
      <c r="G4015" s="87" t="s">
        <v>274</v>
      </c>
      <c r="H4015" s="87" t="s">
        <v>967</v>
      </c>
      <c r="I4015" s="87">
        <v>43</v>
      </c>
    </row>
    <row r="4016" spans="1:9" ht="15" customHeight="1" x14ac:dyDescent="0.25">
      <c r="A4016" s="87" t="s">
        <v>19</v>
      </c>
      <c r="B4016" s="87" t="s">
        <v>226</v>
      </c>
      <c r="C4016" s="87">
        <v>2005</v>
      </c>
      <c r="D4016" s="87" t="s">
        <v>82</v>
      </c>
      <c r="E4016" s="116">
        <v>91</v>
      </c>
      <c r="F4016" s="87" t="s">
        <v>967</v>
      </c>
      <c r="G4016" s="87" t="s">
        <v>272</v>
      </c>
      <c r="H4016" s="87" t="s">
        <v>967</v>
      </c>
      <c r="I4016" s="87">
        <v>43</v>
      </c>
    </row>
    <row r="4017" spans="1:9" ht="15" customHeight="1" x14ac:dyDescent="0.25">
      <c r="A4017" s="87" t="s">
        <v>19</v>
      </c>
      <c r="B4017" s="87" t="s">
        <v>226</v>
      </c>
      <c r="C4017" s="87">
        <v>2006</v>
      </c>
      <c r="D4017" s="87" t="s">
        <v>82</v>
      </c>
      <c r="E4017" s="116">
        <v>68</v>
      </c>
      <c r="F4017" s="87" t="s">
        <v>967</v>
      </c>
      <c r="G4017" s="87" t="s">
        <v>274</v>
      </c>
      <c r="H4017" s="87" t="s">
        <v>967</v>
      </c>
      <c r="I4017" s="87">
        <v>43</v>
      </c>
    </row>
    <row r="4018" spans="1:9" ht="15" customHeight="1" x14ac:dyDescent="0.25">
      <c r="A4018" s="87" t="s">
        <v>19</v>
      </c>
      <c r="B4018" s="87" t="s">
        <v>226</v>
      </c>
      <c r="C4018" s="87">
        <v>2007</v>
      </c>
      <c r="D4018" s="87" t="s">
        <v>82</v>
      </c>
      <c r="E4018" s="116">
        <v>0</v>
      </c>
      <c r="F4018" s="87" t="s">
        <v>967</v>
      </c>
      <c r="G4018" s="87" t="s">
        <v>274</v>
      </c>
      <c r="H4018" s="87" t="s">
        <v>967</v>
      </c>
      <c r="I4018" s="87">
        <v>43</v>
      </c>
    </row>
    <row r="4019" spans="1:9" ht="15" customHeight="1" x14ac:dyDescent="0.25">
      <c r="A4019" s="87" t="s">
        <v>19</v>
      </c>
      <c r="B4019" s="87" t="s">
        <v>226</v>
      </c>
      <c r="C4019" s="87">
        <v>2008</v>
      </c>
      <c r="D4019" s="87" t="s">
        <v>82</v>
      </c>
      <c r="E4019" s="116">
        <v>6</v>
      </c>
      <c r="F4019" s="87" t="s">
        <v>967</v>
      </c>
      <c r="G4019" s="87" t="s">
        <v>272</v>
      </c>
      <c r="H4019" s="87" t="s">
        <v>967</v>
      </c>
      <c r="I4019" s="87">
        <v>43</v>
      </c>
    </row>
    <row r="4020" spans="1:9" ht="15" customHeight="1" x14ac:dyDescent="0.25">
      <c r="A4020" s="87" t="s">
        <v>19</v>
      </c>
      <c r="B4020" s="87" t="s">
        <v>226</v>
      </c>
      <c r="C4020" s="87">
        <v>2009</v>
      </c>
      <c r="D4020" s="87" t="s">
        <v>82</v>
      </c>
      <c r="E4020" s="116">
        <v>3</v>
      </c>
      <c r="F4020" s="87" t="s">
        <v>967</v>
      </c>
      <c r="G4020" s="87" t="s">
        <v>274</v>
      </c>
      <c r="H4020" s="87" t="s">
        <v>967</v>
      </c>
      <c r="I4020" s="87">
        <v>43</v>
      </c>
    </row>
    <row r="4021" spans="1:9" ht="15" customHeight="1" x14ac:dyDescent="0.25">
      <c r="A4021" s="87" t="s">
        <v>19</v>
      </c>
      <c r="B4021" s="87" t="s">
        <v>226</v>
      </c>
      <c r="C4021" s="87">
        <v>2010</v>
      </c>
      <c r="D4021" s="87" t="s">
        <v>82</v>
      </c>
      <c r="E4021" s="116">
        <v>49</v>
      </c>
      <c r="F4021" s="87" t="s">
        <v>967</v>
      </c>
      <c r="G4021" s="87" t="s">
        <v>274</v>
      </c>
      <c r="H4021" s="87" t="s">
        <v>967</v>
      </c>
      <c r="I4021" s="87">
        <v>43</v>
      </c>
    </row>
    <row r="4022" spans="1:9" ht="15" customHeight="1" x14ac:dyDescent="0.25">
      <c r="A4022" s="87" t="s">
        <v>19</v>
      </c>
      <c r="B4022" s="87" t="s">
        <v>226</v>
      </c>
      <c r="C4022" s="87">
        <v>2011</v>
      </c>
      <c r="D4022" s="87" t="s">
        <v>82</v>
      </c>
      <c r="E4022" s="116">
        <v>0</v>
      </c>
      <c r="F4022" s="87" t="s">
        <v>967</v>
      </c>
      <c r="G4022" s="87" t="s">
        <v>274</v>
      </c>
      <c r="H4022" s="87" t="s">
        <v>967</v>
      </c>
      <c r="I4022" s="87">
        <v>43</v>
      </c>
    </row>
    <row r="4023" spans="1:9" ht="15" customHeight="1" x14ac:dyDescent="0.25">
      <c r="A4023" s="87" t="s">
        <v>19</v>
      </c>
      <c r="B4023" s="87" t="s">
        <v>226</v>
      </c>
      <c r="C4023" s="87">
        <v>2012</v>
      </c>
      <c r="D4023" s="87" t="s">
        <v>82</v>
      </c>
      <c r="E4023" s="116">
        <v>5</v>
      </c>
      <c r="F4023" s="87" t="s">
        <v>967</v>
      </c>
      <c r="G4023" s="87" t="s">
        <v>274</v>
      </c>
      <c r="H4023" s="87" t="s">
        <v>967</v>
      </c>
      <c r="I4023" s="87">
        <v>43</v>
      </c>
    </row>
    <row r="4024" spans="1:9" ht="15" customHeight="1" x14ac:dyDescent="0.25">
      <c r="A4024" s="87" t="s">
        <v>19</v>
      </c>
      <c r="B4024" s="87" t="s">
        <v>226</v>
      </c>
      <c r="C4024" s="87">
        <v>2013</v>
      </c>
      <c r="D4024" s="87" t="s">
        <v>82</v>
      </c>
      <c r="E4024" s="116">
        <v>22</v>
      </c>
      <c r="F4024" s="87" t="s">
        <v>967</v>
      </c>
      <c r="G4024" s="87" t="s">
        <v>274</v>
      </c>
      <c r="H4024" s="87" t="s">
        <v>967</v>
      </c>
      <c r="I4024" s="87">
        <v>43</v>
      </c>
    </row>
    <row r="4025" spans="1:9" ht="15" customHeight="1" x14ac:dyDescent="0.25">
      <c r="A4025" s="87" t="s">
        <v>19</v>
      </c>
      <c r="B4025" s="87" t="s">
        <v>226</v>
      </c>
      <c r="C4025" s="87">
        <v>2014</v>
      </c>
      <c r="D4025" s="87" t="s">
        <v>82</v>
      </c>
      <c r="E4025" s="116">
        <v>3</v>
      </c>
      <c r="F4025" s="87" t="s">
        <v>967</v>
      </c>
      <c r="G4025" s="87" t="s">
        <v>274</v>
      </c>
      <c r="H4025" s="87" t="s">
        <v>967</v>
      </c>
      <c r="I4025" s="87">
        <v>43</v>
      </c>
    </row>
    <row r="4026" spans="1:9" ht="15" customHeight="1" x14ac:dyDescent="0.25">
      <c r="A4026" s="87" t="s">
        <v>19</v>
      </c>
      <c r="B4026" s="87" t="s">
        <v>226</v>
      </c>
      <c r="C4026" s="87">
        <v>2015</v>
      </c>
      <c r="D4026" s="87" t="s">
        <v>82</v>
      </c>
      <c r="E4026" s="116">
        <v>14</v>
      </c>
      <c r="F4026" s="87" t="s">
        <v>967</v>
      </c>
      <c r="G4026" s="87" t="s">
        <v>274</v>
      </c>
      <c r="H4026" s="87" t="s">
        <v>631</v>
      </c>
      <c r="I4026" s="87">
        <v>43</v>
      </c>
    </row>
    <row r="4027" spans="1:9" ht="15" customHeight="1" x14ac:dyDescent="0.25">
      <c r="A4027" s="87" t="s">
        <v>19</v>
      </c>
      <c r="B4027" s="87" t="s">
        <v>226</v>
      </c>
      <c r="C4027" s="87">
        <v>2016</v>
      </c>
      <c r="D4027" s="87" t="s">
        <v>82</v>
      </c>
      <c r="E4027" s="116">
        <v>0</v>
      </c>
      <c r="F4027" s="87" t="s">
        <v>967</v>
      </c>
      <c r="G4027" s="87" t="s">
        <v>274</v>
      </c>
      <c r="H4027" s="87" t="s">
        <v>967</v>
      </c>
      <c r="I4027" s="87">
        <v>43</v>
      </c>
    </row>
    <row r="4028" spans="1:9" ht="15" customHeight="1" x14ac:dyDescent="0.25">
      <c r="A4028" s="87" t="s">
        <v>19</v>
      </c>
      <c r="B4028" s="87" t="s">
        <v>226</v>
      </c>
      <c r="C4028" s="87">
        <v>2017</v>
      </c>
      <c r="D4028" s="87" t="s">
        <v>82</v>
      </c>
      <c r="E4028" s="116">
        <v>5</v>
      </c>
      <c r="F4028" s="87" t="s">
        <v>967</v>
      </c>
      <c r="G4028" s="87" t="s">
        <v>274</v>
      </c>
      <c r="H4028" s="87" t="s">
        <v>967</v>
      </c>
      <c r="I4028" s="87">
        <v>43</v>
      </c>
    </row>
    <row r="4029" spans="1:9" ht="15" customHeight="1" x14ac:dyDescent="0.25">
      <c r="A4029" s="87" t="s">
        <v>19</v>
      </c>
      <c r="B4029" s="87" t="s">
        <v>226</v>
      </c>
      <c r="C4029" s="87">
        <v>2018</v>
      </c>
      <c r="D4029" s="87" t="s">
        <v>82</v>
      </c>
      <c r="E4029" s="116">
        <v>5</v>
      </c>
      <c r="F4029" s="87" t="s">
        <v>967</v>
      </c>
      <c r="G4029" s="87" t="s">
        <v>277</v>
      </c>
      <c r="H4029" s="87" t="s">
        <v>995</v>
      </c>
      <c r="I4029" s="87">
        <v>43</v>
      </c>
    </row>
    <row r="4030" spans="1:9" ht="15" customHeight="1" x14ac:dyDescent="0.25">
      <c r="A4030" s="87" t="s">
        <v>19</v>
      </c>
      <c r="B4030" s="87" t="s">
        <v>226</v>
      </c>
      <c r="C4030" s="87">
        <v>2019</v>
      </c>
      <c r="D4030" s="87" t="s">
        <v>82</v>
      </c>
      <c r="E4030" s="116">
        <v>0</v>
      </c>
      <c r="F4030" s="87" t="s">
        <v>967</v>
      </c>
      <c r="G4030" s="87" t="s">
        <v>277</v>
      </c>
      <c r="H4030" s="87" t="s">
        <v>998</v>
      </c>
      <c r="I4030" s="87">
        <v>43</v>
      </c>
    </row>
    <row r="4031" spans="1:9" ht="15" customHeight="1" x14ac:dyDescent="0.25">
      <c r="A4031" s="87" t="s">
        <v>19</v>
      </c>
      <c r="B4031" s="87" t="s">
        <v>226</v>
      </c>
      <c r="C4031" s="87">
        <v>2020</v>
      </c>
      <c r="D4031" s="87" t="s">
        <v>82</v>
      </c>
      <c r="E4031" s="116">
        <v>-1</v>
      </c>
      <c r="F4031" s="87" t="s">
        <v>967</v>
      </c>
      <c r="G4031" s="87" t="s">
        <v>967</v>
      </c>
      <c r="H4031" s="87" t="s">
        <v>967</v>
      </c>
      <c r="I4031" s="87">
        <v>43</v>
      </c>
    </row>
    <row r="4032" spans="1:9" ht="15" customHeight="1" x14ac:dyDescent="0.25">
      <c r="A4032" s="87" t="s">
        <v>19</v>
      </c>
      <c r="B4032" s="87" t="s">
        <v>226</v>
      </c>
      <c r="C4032" s="87">
        <v>2021</v>
      </c>
      <c r="D4032" s="87" t="s">
        <v>82</v>
      </c>
      <c r="E4032" s="116">
        <v>0</v>
      </c>
      <c r="F4032" s="87" t="s">
        <v>967</v>
      </c>
      <c r="G4032" s="87" t="s">
        <v>272</v>
      </c>
      <c r="H4032" s="87" t="s">
        <v>967</v>
      </c>
      <c r="I4032" s="87">
        <v>43</v>
      </c>
    </row>
    <row r="4033" spans="1:9" ht="15" customHeight="1" x14ac:dyDescent="0.25">
      <c r="A4033" s="87" t="s">
        <v>19</v>
      </c>
      <c r="B4033" s="87" t="s">
        <v>226</v>
      </c>
      <c r="C4033" s="87">
        <v>2022</v>
      </c>
      <c r="D4033" s="87" t="s">
        <v>82</v>
      </c>
      <c r="E4033" s="116">
        <v>8</v>
      </c>
      <c r="F4033" s="87" t="s">
        <v>967</v>
      </c>
      <c r="G4033" s="87" t="s">
        <v>272</v>
      </c>
      <c r="H4033" s="87" t="s">
        <v>967</v>
      </c>
      <c r="I4033" s="87">
        <v>43</v>
      </c>
    </row>
    <row r="4034" spans="1:9" ht="15" customHeight="1" x14ac:dyDescent="0.25">
      <c r="A4034" s="87" t="s">
        <v>19</v>
      </c>
      <c r="B4034" s="87" t="s">
        <v>391</v>
      </c>
      <c r="C4034" s="87">
        <v>1975</v>
      </c>
      <c r="D4034" s="87" t="s">
        <v>82</v>
      </c>
      <c r="E4034" s="116">
        <v>-1</v>
      </c>
      <c r="F4034" s="87" t="s">
        <v>967</v>
      </c>
      <c r="G4034" s="87" t="s">
        <v>967</v>
      </c>
      <c r="H4034" s="87" t="s">
        <v>967</v>
      </c>
      <c r="I4034" s="87">
        <v>43</v>
      </c>
    </row>
    <row r="4035" spans="1:9" ht="15" customHeight="1" x14ac:dyDescent="0.25">
      <c r="A4035" s="87" t="s">
        <v>19</v>
      </c>
      <c r="B4035" s="87" t="s">
        <v>391</v>
      </c>
      <c r="C4035" s="87">
        <v>1976</v>
      </c>
      <c r="D4035" s="87" t="s">
        <v>82</v>
      </c>
      <c r="E4035" s="116">
        <v>-1</v>
      </c>
      <c r="F4035" s="87" t="s">
        <v>967</v>
      </c>
      <c r="G4035" s="87" t="s">
        <v>967</v>
      </c>
      <c r="H4035" s="87" t="s">
        <v>967</v>
      </c>
      <c r="I4035" s="87">
        <v>43</v>
      </c>
    </row>
    <row r="4036" spans="1:9" ht="15" customHeight="1" x14ac:dyDescent="0.25">
      <c r="A4036" s="87" t="s">
        <v>19</v>
      </c>
      <c r="B4036" s="87" t="s">
        <v>391</v>
      </c>
      <c r="C4036" s="87">
        <v>1977</v>
      </c>
      <c r="D4036" s="87" t="s">
        <v>82</v>
      </c>
      <c r="E4036" s="116">
        <v>-1</v>
      </c>
      <c r="F4036" s="87" t="s">
        <v>967</v>
      </c>
      <c r="G4036" s="87" t="s">
        <v>967</v>
      </c>
      <c r="H4036" s="87" t="s">
        <v>967</v>
      </c>
      <c r="I4036" s="87">
        <v>43</v>
      </c>
    </row>
    <row r="4037" spans="1:9" ht="15" customHeight="1" x14ac:dyDescent="0.25">
      <c r="A4037" s="87" t="s">
        <v>19</v>
      </c>
      <c r="B4037" s="87" t="s">
        <v>391</v>
      </c>
      <c r="C4037" s="87">
        <v>1978</v>
      </c>
      <c r="D4037" s="87" t="s">
        <v>82</v>
      </c>
      <c r="E4037" s="116">
        <v>-1</v>
      </c>
      <c r="F4037" s="87" t="s">
        <v>967</v>
      </c>
      <c r="G4037" s="87" t="s">
        <v>967</v>
      </c>
      <c r="H4037" s="87" t="s">
        <v>967</v>
      </c>
      <c r="I4037" s="87">
        <v>43</v>
      </c>
    </row>
    <row r="4038" spans="1:9" ht="15" customHeight="1" x14ac:dyDescent="0.25">
      <c r="A4038" s="87" t="s">
        <v>19</v>
      </c>
      <c r="B4038" s="87" t="s">
        <v>391</v>
      </c>
      <c r="C4038" s="87">
        <v>1979</v>
      </c>
      <c r="D4038" s="87" t="s">
        <v>82</v>
      </c>
      <c r="E4038" s="116">
        <v>-1</v>
      </c>
      <c r="F4038" s="87" t="s">
        <v>967</v>
      </c>
      <c r="G4038" s="87" t="s">
        <v>967</v>
      </c>
      <c r="H4038" s="87" t="s">
        <v>967</v>
      </c>
      <c r="I4038" s="87">
        <v>43</v>
      </c>
    </row>
    <row r="4039" spans="1:9" ht="15" customHeight="1" x14ac:dyDescent="0.25">
      <c r="A4039" s="87" t="s">
        <v>19</v>
      </c>
      <c r="B4039" s="87" t="s">
        <v>391</v>
      </c>
      <c r="C4039" s="87">
        <v>1980</v>
      </c>
      <c r="D4039" s="87" t="s">
        <v>82</v>
      </c>
      <c r="E4039" s="116">
        <v>-1</v>
      </c>
      <c r="F4039" s="87" t="s">
        <v>967</v>
      </c>
      <c r="G4039" s="87" t="s">
        <v>967</v>
      </c>
      <c r="H4039" s="87" t="s">
        <v>967</v>
      </c>
      <c r="I4039" s="87">
        <v>43</v>
      </c>
    </row>
    <row r="4040" spans="1:9" ht="15" customHeight="1" x14ac:dyDescent="0.25">
      <c r="A4040" s="87" t="s">
        <v>19</v>
      </c>
      <c r="B4040" s="87" t="s">
        <v>391</v>
      </c>
      <c r="C4040" s="87">
        <v>1981</v>
      </c>
      <c r="D4040" s="87" t="s">
        <v>82</v>
      </c>
      <c r="E4040" s="116">
        <v>-1</v>
      </c>
      <c r="F4040" s="87" t="s">
        <v>967</v>
      </c>
      <c r="G4040" s="87" t="s">
        <v>967</v>
      </c>
      <c r="H4040" s="87" t="s">
        <v>967</v>
      </c>
      <c r="I4040" s="87">
        <v>43</v>
      </c>
    </row>
    <row r="4041" spans="1:9" ht="15" customHeight="1" x14ac:dyDescent="0.25">
      <c r="A4041" s="87" t="s">
        <v>19</v>
      </c>
      <c r="B4041" s="87" t="s">
        <v>391</v>
      </c>
      <c r="C4041" s="87">
        <v>1982</v>
      </c>
      <c r="D4041" s="87" t="s">
        <v>82</v>
      </c>
      <c r="E4041" s="116">
        <v>-1</v>
      </c>
      <c r="F4041" s="87" t="s">
        <v>967</v>
      </c>
      <c r="G4041" s="87" t="s">
        <v>967</v>
      </c>
      <c r="H4041" s="87" t="s">
        <v>967</v>
      </c>
      <c r="I4041" s="87">
        <v>43</v>
      </c>
    </row>
    <row r="4042" spans="1:9" ht="15" customHeight="1" x14ac:dyDescent="0.25">
      <c r="A4042" s="87" t="s">
        <v>19</v>
      </c>
      <c r="B4042" s="87" t="s">
        <v>391</v>
      </c>
      <c r="C4042" s="87">
        <v>1983</v>
      </c>
      <c r="D4042" s="87" t="s">
        <v>82</v>
      </c>
      <c r="E4042" s="116">
        <v>-1</v>
      </c>
      <c r="F4042" s="87" t="s">
        <v>967</v>
      </c>
      <c r="G4042" s="87" t="s">
        <v>967</v>
      </c>
      <c r="H4042" s="87" t="s">
        <v>967</v>
      </c>
      <c r="I4042" s="87">
        <v>43</v>
      </c>
    </row>
    <row r="4043" spans="1:9" ht="15" customHeight="1" x14ac:dyDescent="0.25">
      <c r="A4043" s="87" t="s">
        <v>19</v>
      </c>
      <c r="B4043" s="87" t="s">
        <v>391</v>
      </c>
      <c r="C4043" s="87">
        <v>1984</v>
      </c>
      <c r="D4043" s="87" t="s">
        <v>82</v>
      </c>
      <c r="E4043" s="116">
        <v>-1</v>
      </c>
      <c r="F4043" s="87" t="s">
        <v>967</v>
      </c>
      <c r="G4043" s="87" t="s">
        <v>967</v>
      </c>
      <c r="H4043" s="87" t="s">
        <v>967</v>
      </c>
      <c r="I4043" s="87">
        <v>43</v>
      </c>
    </row>
    <row r="4044" spans="1:9" ht="15" customHeight="1" x14ac:dyDescent="0.25">
      <c r="A4044" s="87" t="s">
        <v>19</v>
      </c>
      <c r="B4044" s="87" t="s">
        <v>391</v>
      </c>
      <c r="C4044" s="87">
        <v>1985</v>
      </c>
      <c r="D4044" s="87" t="s">
        <v>82</v>
      </c>
      <c r="E4044" s="116">
        <v>-1</v>
      </c>
      <c r="F4044" s="87" t="s">
        <v>967</v>
      </c>
      <c r="G4044" s="87" t="s">
        <v>967</v>
      </c>
      <c r="H4044" s="87" t="s">
        <v>967</v>
      </c>
      <c r="I4044" s="87">
        <v>43</v>
      </c>
    </row>
    <row r="4045" spans="1:9" ht="15" customHeight="1" x14ac:dyDescent="0.25">
      <c r="A4045" s="87" t="s">
        <v>19</v>
      </c>
      <c r="B4045" s="87" t="s">
        <v>391</v>
      </c>
      <c r="C4045" s="87">
        <v>1986</v>
      </c>
      <c r="D4045" s="87" t="s">
        <v>82</v>
      </c>
      <c r="E4045" s="116">
        <v>-1</v>
      </c>
      <c r="F4045" s="87" t="s">
        <v>967</v>
      </c>
      <c r="G4045" s="87" t="s">
        <v>967</v>
      </c>
      <c r="H4045" s="87" t="s">
        <v>967</v>
      </c>
      <c r="I4045" s="87">
        <v>43</v>
      </c>
    </row>
    <row r="4046" spans="1:9" ht="15" customHeight="1" x14ac:dyDescent="0.25">
      <c r="A4046" s="87" t="s">
        <v>19</v>
      </c>
      <c r="B4046" s="87" t="s">
        <v>391</v>
      </c>
      <c r="C4046" s="87">
        <v>1987</v>
      </c>
      <c r="D4046" s="87" t="s">
        <v>82</v>
      </c>
      <c r="E4046" s="116">
        <v>-1</v>
      </c>
      <c r="F4046" s="87" t="s">
        <v>967</v>
      </c>
      <c r="G4046" s="87" t="s">
        <v>967</v>
      </c>
      <c r="H4046" s="87" t="s">
        <v>967</v>
      </c>
      <c r="I4046" s="87">
        <v>43</v>
      </c>
    </row>
    <row r="4047" spans="1:9" ht="15" customHeight="1" x14ac:dyDescent="0.25">
      <c r="A4047" s="87" t="s">
        <v>19</v>
      </c>
      <c r="B4047" s="87" t="s">
        <v>391</v>
      </c>
      <c r="C4047" s="87">
        <v>1988</v>
      </c>
      <c r="D4047" s="87" t="s">
        <v>82</v>
      </c>
      <c r="E4047" s="116">
        <v>-1</v>
      </c>
      <c r="F4047" s="87" t="s">
        <v>967</v>
      </c>
      <c r="G4047" s="87" t="s">
        <v>967</v>
      </c>
      <c r="H4047" s="87" t="s">
        <v>967</v>
      </c>
      <c r="I4047" s="87">
        <v>43</v>
      </c>
    </row>
    <row r="4048" spans="1:9" ht="15" customHeight="1" x14ac:dyDescent="0.25">
      <c r="A4048" s="87" t="s">
        <v>19</v>
      </c>
      <c r="B4048" s="87" t="s">
        <v>391</v>
      </c>
      <c r="C4048" s="87">
        <v>1989</v>
      </c>
      <c r="D4048" s="87" t="s">
        <v>82</v>
      </c>
      <c r="E4048" s="116">
        <v>-1</v>
      </c>
      <c r="F4048" s="87" t="s">
        <v>967</v>
      </c>
      <c r="G4048" s="87" t="s">
        <v>967</v>
      </c>
      <c r="H4048" s="87" t="s">
        <v>967</v>
      </c>
      <c r="I4048" s="87">
        <v>43</v>
      </c>
    </row>
    <row r="4049" spans="1:9" ht="15" customHeight="1" x14ac:dyDescent="0.25">
      <c r="A4049" s="87" t="s">
        <v>19</v>
      </c>
      <c r="B4049" s="87" t="s">
        <v>391</v>
      </c>
      <c r="C4049" s="87">
        <v>1990</v>
      </c>
      <c r="D4049" s="87" t="s">
        <v>82</v>
      </c>
      <c r="E4049" s="116">
        <v>-1</v>
      </c>
      <c r="F4049" s="87" t="s">
        <v>967</v>
      </c>
      <c r="G4049" s="87" t="s">
        <v>967</v>
      </c>
      <c r="H4049" s="87" t="s">
        <v>967</v>
      </c>
      <c r="I4049" s="87">
        <v>43</v>
      </c>
    </row>
    <row r="4050" spans="1:9" ht="15" customHeight="1" x14ac:dyDescent="0.25">
      <c r="A4050" s="87" t="s">
        <v>19</v>
      </c>
      <c r="B4050" s="87" t="s">
        <v>391</v>
      </c>
      <c r="C4050" s="87">
        <v>1991</v>
      </c>
      <c r="D4050" s="87" t="s">
        <v>82</v>
      </c>
      <c r="E4050" s="116">
        <v>-1</v>
      </c>
      <c r="F4050" s="87" t="s">
        <v>967</v>
      </c>
      <c r="G4050" s="87" t="s">
        <v>967</v>
      </c>
      <c r="H4050" s="87" t="s">
        <v>967</v>
      </c>
      <c r="I4050" s="87">
        <v>43</v>
      </c>
    </row>
    <row r="4051" spans="1:9" ht="15" customHeight="1" x14ac:dyDescent="0.25">
      <c r="A4051" s="87" t="s">
        <v>19</v>
      </c>
      <c r="B4051" s="87" t="s">
        <v>391</v>
      </c>
      <c r="C4051" s="87">
        <v>1992</v>
      </c>
      <c r="D4051" s="87" t="s">
        <v>82</v>
      </c>
      <c r="E4051" s="116">
        <v>-1</v>
      </c>
      <c r="F4051" s="87" t="s">
        <v>967</v>
      </c>
      <c r="G4051" s="87" t="s">
        <v>967</v>
      </c>
      <c r="H4051" s="87" t="s">
        <v>967</v>
      </c>
      <c r="I4051" s="87">
        <v>43</v>
      </c>
    </row>
    <row r="4052" spans="1:9" ht="15" customHeight="1" x14ac:dyDescent="0.25">
      <c r="A4052" s="87" t="s">
        <v>19</v>
      </c>
      <c r="B4052" s="87" t="s">
        <v>391</v>
      </c>
      <c r="C4052" s="87">
        <v>1993</v>
      </c>
      <c r="D4052" s="87" t="s">
        <v>82</v>
      </c>
      <c r="E4052" s="116">
        <v>-1</v>
      </c>
      <c r="F4052" s="87" t="s">
        <v>967</v>
      </c>
      <c r="G4052" s="87" t="s">
        <v>967</v>
      </c>
      <c r="H4052" s="87" t="s">
        <v>967</v>
      </c>
      <c r="I4052" s="87">
        <v>43</v>
      </c>
    </row>
    <row r="4053" spans="1:9" ht="15" customHeight="1" x14ac:dyDescent="0.25">
      <c r="A4053" s="87" t="s">
        <v>19</v>
      </c>
      <c r="B4053" s="87" t="s">
        <v>391</v>
      </c>
      <c r="C4053" s="87">
        <v>1994</v>
      </c>
      <c r="D4053" s="87" t="s">
        <v>82</v>
      </c>
      <c r="E4053" s="116">
        <v>-1</v>
      </c>
      <c r="F4053" s="87" t="s">
        <v>967</v>
      </c>
      <c r="G4053" s="87" t="s">
        <v>967</v>
      </c>
      <c r="H4053" s="87" t="s">
        <v>967</v>
      </c>
      <c r="I4053" s="87">
        <v>43</v>
      </c>
    </row>
    <row r="4054" spans="1:9" ht="15" customHeight="1" x14ac:dyDescent="0.25">
      <c r="A4054" s="87" t="s">
        <v>19</v>
      </c>
      <c r="B4054" s="87" t="s">
        <v>391</v>
      </c>
      <c r="C4054" s="87">
        <v>1995</v>
      </c>
      <c r="D4054" s="87" t="s">
        <v>82</v>
      </c>
      <c r="E4054" s="116">
        <v>-1</v>
      </c>
      <c r="F4054" s="87" t="s">
        <v>967</v>
      </c>
      <c r="G4054" s="87" t="s">
        <v>967</v>
      </c>
      <c r="H4054" s="87" t="s">
        <v>967</v>
      </c>
      <c r="I4054" s="87">
        <v>43</v>
      </c>
    </row>
    <row r="4055" spans="1:9" ht="15" customHeight="1" x14ac:dyDescent="0.25">
      <c r="A4055" s="87" t="s">
        <v>19</v>
      </c>
      <c r="B4055" s="87" t="s">
        <v>391</v>
      </c>
      <c r="C4055" s="87">
        <v>1996</v>
      </c>
      <c r="D4055" s="87" t="s">
        <v>82</v>
      </c>
      <c r="E4055" s="116">
        <v>15</v>
      </c>
      <c r="F4055" s="87" t="s">
        <v>967</v>
      </c>
      <c r="G4055" s="87" t="s">
        <v>967</v>
      </c>
      <c r="H4055" s="87" t="s">
        <v>967</v>
      </c>
      <c r="I4055" s="87">
        <v>43</v>
      </c>
    </row>
    <row r="4056" spans="1:9" ht="15" customHeight="1" x14ac:dyDescent="0.25">
      <c r="A4056" s="87" t="s">
        <v>19</v>
      </c>
      <c r="B4056" s="87" t="s">
        <v>391</v>
      </c>
      <c r="C4056" s="87">
        <v>1997</v>
      </c>
      <c r="D4056" s="87" t="s">
        <v>82</v>
      </c>
      <c r="E4056" s="116">
        <v>20</v>
      </c>
      <c r="F4056" s="87" t="s">
        <v>967</v>
      </c>
      <c r="G4056" s="87" t="s">
        <v>967</v>
      </c>
      <c r="H4056" s="87" t="s">
        <v>967</v>
      </c>
      <c r="I4056" s="87">
        <v>43</v>
      </c>
    </row>
    <row r="4057" spans="1:9" ht="15" customHeight="1" x14ac:dyDescent="0.25">
      <c r="A4057" s="87" t="s">
        <v>19</v>
      </c>
      <c r="B4057" s="87" t="s">
        <v>391</v>
      </c>
      <c r="C4057" s="87">
        <v>1998</v>
      </c>
      <c r="D4057" s="87" t="s">
        <v>82</v>
      </c>
      <c r="E4057" s="116">
        <v>0</v>
      </c>
      <c r="F4057" s="87" t="s">
        <v>967</v>
      </c>
      <c r="G4057" s="87" t="s">
        <v>967</v>
      </c>
      <c r="H4057" s="87" t="s">
        <v>967</v>
      </c>
      <c r="I4057" s="87">
        <v>43</v>
      </c>
    </row>
    <row r="4058" spans="1:9" ht="15" customHeight="1" x14ac:dyDescent="0.25">
      <c r="A4058" s="87" t="s">
        <v>19</v>
      </c>
      <c r="B4058" s="87" t="s">
        <v>391</v>
      </c>
      <c r="C4058" s="87">
        <v>1999</v>
      </c>
      <c r="D4058" s="87" t="s">
        <v>82</v>
      </c>
      <c r="E4058" s="116">
        <v>3</v>
      </c>
      <c r="F4058" s="87" t="s">
        <v>967</v>
      </c>
      <c r="G4058" s="87" t="s">
        <v>272</v>
      </c>
      <c r="H4058" s="87" t="s">
        <v>967</v>
      </c>
      <c r="I4058" s="87">
        <v>43</v>
      </c>
    </row>
    <row r="4059" spans="1:9" ht="15" customHeight="1" x14ac:dyDescent="0.25">
      <c r="A4059" s="87" t="s">
        <v>19</v>
      </c>
      <c r="B4059" s="87" t="s">
        <v>391</v>
      </c>
      <c r="C4059" s="87">
        <v>2000</v>
      </c>
      <c r="D4059" s="87" t="s">
        <v>82</v>
      </c>
      <c r="E4059" s="116">
        <v>11</v>
      </c>
      <c r="F4059" s="87" t="s">
        <v>967</v>
      </c>
      <c r="G4059" s="87" t="s">
        <v>274</v>
      </c>
      <c r="H4059" s="87" t="s">
        <v>967</v>
      </c>
      <c r="I4059" s="87">
        <v>43</v>
      </c>
    </row>
    <row r="4060" spans="1:9" ht="15" customHeight="1" x14ac:dyDescent="0.25">
      <c r="A4060" s="87" t="s">
        <v>19</v>
      </c>
      <c r="B4060" s="87" t="s">
        <v>391</v>
      </c>
      <c r="C4060" s="87">
        <v>2001</v>
      </c>
      <c r="D4060" s="87" t="s">
        <v>82</v>
      </c>
      <c r="E4060" s="116">
        <v>78</v>
      </c>
      <c r="F4060" s="87" t="s">
        <v>967</v>
      </c>
      <c r="G4060" s="87" t="s">
        <v>274</v>
      </c>
      <c r="H4060" s="87" t="s">
        <v>967</v>
      </c>
      <c r="I4060" s="87">
        <v>43</v>
      </c>
    </row>
    <row r="4061" spans="1:9" ht="15" customHeight="1" x14ac:dyDescent="0.25">
      <c r="A4061" s="87" t="s">
        <v>19</v>
      </c>
      <c r="B4061" s="87" t="s">
        <v>391</v>
      </c>
      <c r="C4061" s="87">
        <v>2002</v>
      </c>
      <c r="D4061" s="87" t="s">
        <v>82</v>
      </c>
      <c r="E4061" s="116">
        <v>3</v>
      </c>
      <c r="F4061" s="87" t="s">
        <v>967</v>
      </c>
      <c r="G4061" s="87" t="s">
        <v>274</v>
      </c>
      <c r="H4061" s="87" t="s">
        <v>967</v>
      </c>
      <c r="I4061" s="87">
        <v>43</v>
      </c>
    </row>
    <row r="4062" spans="1:9" ht="15" customHeight="1" x14ac:dyDescent="0.25">
      <c r="A4062" s="87" t="s">
        <v>19</v>
      </c>
      <c r="B4062" s="87" t="s">
        <v>391</v>
      </c>
      <c r="C4062" s="87">
        <v>2003</v>
      </c>
      <c r="D4062" s="87" t="s">
        <v>82</v>
      </c>
      <c r="E4062" s="116">
        <v>6</v>
      </c>
      <c r="F4062" s="87" t="s">
        <v>967</v>
      </c>
      <c r="G4062" s="87" t="s">
        <v>274</v>
      </c>
      <c r="H4062" s="87" t="s">
        <v>967</v>
      </c>
      <c r="I4062" s="87">
        <v>43</v>
      </c>
    </row>
    <row r="4063" spans="1:9" ht="15" customHeight="1" x14ac:dyDescent="0.25">
      <c r="A4063" s="87" t="s">
        <v>19</v>
      </c>
      <c r="B4063" s="87" t="s">
        <v>391</v>
      </c>
      <c r="C4063" s="87">
        <v>2004</v>
      </c>
      <c r="D4063" s="87" t="s">
        <v>82</v>
      </c>
      <c r="E4063" s="116">
        <v>18</v>
      </c>
      <c r="F4063" s="87" t="s">
        <v>967</v>
      </c>
      <c r="G4063" s="87" t="s">
        <v>274</v>
      </c>
      <c r="H4063" s="87" t="s">
        <v>967</v>
      </c>
      <c r="I4063" s="87">
        <v>43</v>
      </c>
    </row>
    <row r="4064" spans="1:9" ht="15" customHeight="1" x14ac:dyDescent="0.25">
      <c r="A4064" s="87" t="s">
        <v>19</v>
      </c>
      <c r="B4064" s="87" t="s">
        <v>391</v>
      </c>
      <c r="C4064" s="87">
        <v>2005</v>
      </c>
      <c r="D4064" s="87" t="s">
        <v>82</v>
      </c>
      <c r="E4064" s="116">
        <v>14</v>
      </c>
      <c r="F4064" s="87" t="s">
        <v>967</v>
      </c>
      <c r="G4064" s="87" t="s">
        <v>274</v>
      </c>
      <c r="H4064" s="87" t="s">
        <v>967</v>
      </c>
      <c r="I4064" s="87">
        <v>43</v>
      </c>
    </row>
    <row r="4065" spans="1:9" ht="15" customHeight="1" x14ac:dyDescent="0.25">
      <c r="A4065" s="87" t="s">
        <v>19</v>
      </c>
      <c r="B4065" s="87" t="s">
        <v>391</v>
      </c>
      <c r="C4065" s="87">
        <v>2006</v>
      </c>
      <c r="D4065" s="87" t="s">
        <v>82</v>
      </c>
      <c r="E4065" s="116">
        <v>3</v>
      </c>
      <c r="F4065" s="87" t="s">
        <v>967</v>
      </c>
      <c r="G4065" s="87" t="s">
        <v>274</v>
      </c>
      <c r="H4065" s="87" t="s">
        <v>967</v>
      </c>
      <c r="I4065" s="87">
        <v>43</v>
      </c>
    </row>
    <row r="4066" spans="1:9" ht="15" customHeight="1" x14ac:dyDescent="0.25">
      <c r="A4066" s="87" t="s">
        <v>19</v>
      </c>
      <c r="B4066" s="87" t="s">
        <v>391</v>
      </c>
      <c r="C4066" s="87">
        <v>2007</v>
      </c>
      <c r="D4066" s="87" t="s">
        <v>82</v>
      </c>
      <c r="E4066" s="116">
        <v>0</v>
      </c>
      <c r="F4066" s="87" t="s">
        <v>967</v>
      </c>
      <c r="G4066" s="87" t="s">
        <v>274</v>
      </c>
      <c r="H4066" s="87" t="s">
        <v>967</v>
      </c>
      <c r="I4066" s="87">
        <v>43</v>
      </c>
    </row>
    <row r="4067" spans="1:9" ht="15" customHeight="1" x14ac:dyDescent="0.25">
      <c r="A4067" s="87" t="s">
        <v>19</v>
      </c>
      <c r="B4067" s="87" t="s">
        <v>391</v>
      </c>
      <c r="C4067" s="87">
        <v>2008</v>
      </c>
      <c r="D4067" s="87" t="s">
        <v>82</v>
      </c>
      <c r="E4067" s="116">
        <v>0</v>
      </c>
      <c r="F4067" s="87" t="s">
        <v>967</v>
      </c>
      <c r="G4067" s="87" t="s">
        <v>274</v>
      </c>
      <c r="H4067" s="87" t="s">
        <v>967</v>
      </c>
      <c r="I4067" s="87">
        <v>43</v>
      </c>
    </row>
    <row r="4068" spans="1:9" ht="15" customHeight="1" x14ac:dyDescent="0.25">
      <c r="A4068" s="87" t="s">
        <v>19</v>
      </c>
      <c r="B4068" s="87" t="s">
        <v>391</v>
      </c>
      <c r="C4068" s="87">
        <v>2009</v>
      </c>
      <c r="D4068" s="87" t="s">
        <v>82</v>
      </c>
      <c r="E4068" s="116">
        <v>0</v>
      </c>
      <c r="F4068" s="87" t="s">
        <v>967</v>
      </c>
      <c r="G4068" s="87" t="s">
        <v>274</v>
      </c>
      <c r="H4068" s="87" t="s">
        <v>967</v>
      </c>
      <c r="I4068" s="87">
        <v>43</v>
      </c>
    </row>
    <row r="4069" spans="1:9" ht="15" customHeight="1" x14ac:dyDescent="0.25">
      <c r="A4069" s="87" t="s">
        <v>19</v>
      </c>
      <c r="B4069" s="87" t="s">
        <v>391</v>
      </c>
      <c r="C4069" s="87">
        <v>2010</v>
      </c>
      <c r="D4069" s="87" t="s">
        <v>82</v>
      </c>
      <c r="E4069" s="116">
        <v>18</v>
      </c>
      <c r="F4069" s="87" t="s">
        <v>967</v>
      </c>
      <c r="G4069" s="87" t="s">
        <v>274</v>
      </c>
      <c r="H4069" s="87" t="s">
        <v>967</v>
      </c>
      <c r="I4069" s="87">
        <v>43</v>
      </c>
    </row>
    <row r="4070" spans="1:9" ht="15" customHeight="1" x14ac:dyDescent="0.25">
      <c r="A4070" s="87" t="s">
        <v>19</v>
      </c>
      <c r="B4070" s="87" t="s">
        <v>391</v>
      </c>
      <c r="C4070" s="87">
        <v>2011</v>
      </c>
      <c r="D4070" s="87" t="s">
        <v>82</v>
      </c>
      <c r="E4070" s="116">
        <v>0</v>
      </c>
      <c r="F4070" s="87" t="s">
        <v>967</v>
      </c>
      <c r="G4070" s="87" t="s">
        <v>274</v>
      </c>
      <c r="H4070" s="87" t="s">
        <v>967</v>
      </c>
      <c r="I4070" s="87">
        <v>43</v>
      </c>
    </row>
    <row r="4071" spans="1:9" ht="15" customHeight="1" x14ac:dyDescent="0.25">
      <c r="A4071" s="87" t="s">
        <v>19</v>
      </c>
      <c r="B4071" s="87" t="s">
        <v>391</v>
      </c>
      <c r="C4071" s="87">
        <v>2012</v>
      </c>
      <c r="D4071" s="87" t="s">
        <v>82</v>
      </c>
      <c r="E4071" s="116">
        <v>0</v>
      </c>
      <c r="F4071" s="87" t="s">
        <v>967</v>
      </c>
      <c r="G4071" s="87" t="s">
        <v>274</v>
      </c>
      <c r="H4071" s="87" t="s">
        <v>967</v>
      </c>
      <c r="I4071" s="87">
        <v>43</v>
      </c>
    </row>
    <row r="4072" spans="1:9" ht="15" customHeight="1" x14ac:dyDescent="0.25">
      <c r="A4072" s="87" t="s">
        <v>19</v>
      </c>
      <c r="B4072" s="87" t="s">
        <v>391</v>
      </c>
      <c r="C4072" s="87">
        <v>2013</v>
      </c>
      <c r="D4072" s="87" t="s">
        <v>82</v>
      </c>
      <c r="E4072" s="116">
        <v>8</v>
      </c>
      <c r="F4072" s="87" t="s">
        <v>967</v>
      </c>
      <c r="G4072" s="87" t="s">
        <v>274</v>
      </c>
      <c r="H4072" s="87" t="s">
        <v>967</v>
      </c>
      <c r="I4072" s="87">
        <v>43</v>
      </c>
    </row>
    <row r="4073" spans="1:9" ht="15" customHeight="1" x14ac:dyDescent="0.25">
      <c r="A4073" s="87" t="s">
        <v>19</v>
      </c>
      <c r="B4073" s="87" t="s">
        <v>391</v>
      </c>
      <c r="C4073" s="87">
        <v>2014</v>
      </c>
      <c r="D4073" s="87" t="s">
        <v>82</v>
      </c>
      <c r="E4073" s="116">
        <v>11</v>
      </c>
      <c r="F4073" s="87" t="s">
        <v>967</v>
      </c>
      <c r="G4073" s="87" t="s">
        <v>274</v>
      </c>
      <c r="H4073" s="87" t="s">
        <v>967</v>
      </c>
      <c r="I4073" s="87">
        <v>43</v>
      </c>
    </row>
    <row r="4074" spans="1:9" ht="15" customHeight="1" x14ac:dyDescent="0.25">
      <c r="A4074" s="87" t="s">
        <v>19</v>
      </c>
      <c r="B4074" s="87" t="s">
        <v>391</v>
      </c>
      <c r="C4074" s="87">
        <v>2015</v>
      </c>
      <c r="D4074" s="87" t="s">
        <v>82</v>
      </c>
      <c r="E4074" s="116">
        <v>0</v>
      </c>
      <c r="F4074" s="87" t="s">
        <v>967</v>
      </c>
      <c r="G4074" s="87" t="s">
        <v>274</v>
      </c>
      <c r="H4074" s="87" t="s">
        <v>660</v>
      </c>
      <c r="I4074" s="87">
        <v>43</v>
      </c>
    </row>
    <row r="4075" spans="1:9" ht="15" customHeight="1" x14ac:dyDescent="0.25">
      <c r="A4075" s="87" t="s">
        <v>19</v>
      </c>
      <c r="B4075" s="87" t="s">
        <v>391</v>
      </c>
      <c r="C4075" s="87">
        <v>2016</v>
      </c>
      <c r="D4075" s="87" t="s">
        <v>82</v>
      </c>
      <c r="E4075" s="116">
        <v>0</v>
      </c>
      <c r="F4075" s="87" t="s">
        <v>967</v>
      </c>
      <c r="G4075" s="87" t="s">
        <v>967</v>
      </c>
      <c r="H4075" s="87" t="s">
        <v>967</v>
      </c>
      <c r="I4075" s="87">
        <v>43</v>
      </c>
    </row>
    <row r="4076" spans="1:9" ht="15" customHeight="1" x14ac:dyDescent="0.25">
      <c r="A4076" s="87" t="s">
        <v>19</v>
      </c>
      <c r="B4076" s="87" t="s">
        <v>391</v>
      </c>
      <c r="C4076" s="87">
        <v>2017</v>
      </c>
      <c r="D4076" s="87" t="s">
        <v>82</v>
      </c>
      <c r="E4076" s="116">
        <v>3</v>
      </c>
      <c r="F4076" s="87" t="s">
        <v>967</v>
      </c>
      <c r="G4076" s="87" t="s">
        <v>274</v>
      </c>
      <c r="H4076" s="87" t="s">
        <v>967</v>
      </c>
      <c r="I4076" s="87">
        <v>43</v>
      </c>
    </row>
    <row r="4077" spans="1:9" ht="15" customHeight="1" x14ac:dyDescent="0.25">
      <c r="A4077" s="87" t="s">
        <v>19</v>
      </c>
      <c r="B4077" s="87" t="s">
        <v>391</v>
      </c>
      <c r="C4077" s="87">
        <v>2018</v>
      </c>
      <c r="D4077" s="87" t="s">
        <v>82</v>
      </c>
      <c r="E4077" s="116">
        <v>3</v>
      </c>
      <c r="F4077" s="87" t="s">
        <v>967</v>
      </c>
      <c r="G4077" s="87" t="s">
        <v>277</v>
      </c>
      <c r="H4077" s="87" t="s">
        <v>995</v>
      </c>
      <c r="I4077" s="87">
        <v>43</v>
      </c>
    </row>
    <row r="4078" spans="1:9" ht="15" customHeight="1" x14ac:dyDescent="0.25">
      <c r="A4078" s="87" t="s">
        <v>19</v>
      </c>
      <c r="B4078" s="87" t="s">
        <v>391</v>
      </c>
      <c r="C4078" s="87">
        <v>2019</v>
      </c>
      <c r="D4078" s="87" t="s">
        <v>82</v>
      </c>
      <c r="E4078" s="116">
        <v>0</v>
      </c>
      <c r="F4078" s="87" t="s">
        <v>967</v>
      </c>
      <c r="G4078" s="87" t="s">
        <v>277</v>
      </c>
      <c r="H4078" s="87" t="s">
        <v>999</v>
      </c>
      <c r="I4078" s="87">
        <v>43</v>
      </c>
    </row>
    <row r="4079" spans="1:9" ht="15" customHeight="1" x14ac:dyDescent="0.25">
      <c r="A4079" s="87" t="s">
        <v>19</v>
      </c>
      <c r="B4079" s="87" t="s">
        <v>391</v>
      </c>
      <c r="C4079" s="87">
        <v>2020</v>
      </c>
      <c r="D4079" s="87" t="s">
        <v>82</v>
      </c>
      <c r="E4079" s="116">
        <v>-1</v>
      </c>
      <c r="F4079" s="87" t="s">
        <v>967</v>
      </c>
      <c r="G4079" s="87" t="s">
        <v>967</v>
      </c>
      <c r="H4079" s="87" t="s">
        <v>967</v>
      </c>
      <c r="I4079" s="87">
        <v>43</v>
      </c>
    </row>
    <row r="4080" spans="1:9" ht="15" customHeight="1" x14ac:dyDescent="0.25">
      <c r="A4080" s="87" t="s">
        <v>19</v>
      </c>
      <c r="B4080" s="87" t="s">
        <v>391</v>
      </c>
      <c r="C4080" s="87">
        <v>2021</v>
      </c>
      <c r="D4080" s="87" t="s">
        <v>82</v>
      </c>
      <c r="E4080" s="116">
        <v>0</v>
      </c>
      <c r="F4080" s="87" t="s">
        <v>967</v>
      </c>
      <c r="G4080" s="87" t="s">
        <v>272</v>
      </c>
      <c r="H4080" s="87" t="s">
        <v>967</v>
      </c>
      <c r="I4080" s="87">
        <v>43</v>
      </c>
    </row>
    <row r="4081" spans="1:9" ht="15" customHeight="1" x14ac:dyDescent="0.25">
      <c r="A4081" s="87" t="s">
        <v>19</v>
      </c>
      <c r="B4081" s="87" t="s">
        <v>391</v>
      </c>
      <c r="C4081" s="87">
        <v>2022</v>
      </c>
      <c r="D4081" s="87" t="s">
        <v>82</v>
      </c>
      <c r="E4081" s="116">
        <v>2</v>
      </c>
      <c r="F4081" s="87" t="s">
        <v>967</v>
      </c>
      <c r="G4081" s="87" t="s">
        <v>272</v>
      </c>
      <c r="H4081" s="87" t="s">
        <v>967</v>
      </c>
      <c r="I4081" s="87">
        <v>43</v>
      </c>
    </row>
    <row r="4082" spans="1:9" ht="15" customHeight="1" x14ac:dyDescent="0.25">
      <c r="A4082" s="87" t="s">
        <v>80</v>
      </c>
      <c r="B4082" s="87" t="s">
        <v>217</v>
      </c>
      <c r="C4082" s="87">
        <v>1975</v>
      </c>
      <c r="D4082" s="87" t="s">
        <v>82</v>
      </c>
      <c r="E4082" s="116">
        <v>100</v>
      </c>
      <c r="F4082" s="87" t="s">
        <v>508</v>
      </c>
      <c r="G4082" s="87" t="s">
        <v>967</v>
      </c>
      <c r="H4082" s="87" t="s">
        <v>508</v>
      </c>
      <c r="I4082" s="87">
        <v>53</v>
      </c>
    </row>
    <row r="4083" spans="1:9" ht="15" customHeight="1" x14ac:dyDescent="0.25">
      <c r="A4083" s="87" t="s">
        <v>80</v>
      </c>
      <c r="B4083" s="87" t="s">
        <v>217</v>
      </c>
      <c r="C4083" s="87">
        <v>1976</v>
      </c>
      <c r="D4083" s="87" t="s">
        <v>82</v>
      </c>
      <c r="E4083" s="116">
        <v>30</v>
      </c>
      <c r="F4083" s="87" t="s">
        <v>508</v>
      </c>
      <c r="G4083" s="87" t="s">
        <v>967</v>
      </c>
      <c r="H4083" s="87" t="s">
        <v>508</v>
      </c>
      <c r="I4083" s="87">
        <v>53</v>
      </c>
    </row>
    <row r="4084" spans="1:9" ht="15" customHeight="1" x14ac:dyDescent="0.25">
      <c r="A4084" s="87" t="s">
        <v>80</v>
      </c>
      <c r="B4084" s="87" t="s">
        <v>217</v>
      </c>
      <c r="C4084" s="87">
        <v>1977</v>
      </c>
      <c r="D4084" s="87" t="s">
        <v>82</v>
      </c>
      <c r="E4084" s="116">
        <v>0</v>
      </c>
      <c r="F4084" s="87" t="s">
        <v>508</v>
      </c>
      <c r="G4084" s="87" t="s">
        <v>967</v>
      </c>
      <c r="H4084" s="87" t="s">
        <v>508</v>
      </c>
      <c r="I4084" s="87">
        <v>53</v>
      </c>
    </row>
    <row r="4085" spans="1:9" ht="15" customHeight="1" x14ac:dyDescent="0.25">
      <c r="A4085" s="87" t="s">
        <v>80</v>
      </c>
      <c r="B4085" s="87" t="s">
        <v>217</v>
      </c>
      <c r="C4085" s="87">
        <v>1978</v>
      </c>
      <c r="D4085" s="87" t="s">
        <v>82</v>
      </c>
      <c r="E4085" s="116">
        <v>50</v>
      </c>
      <c r="F4085" s="87" t="s">
        <v>508</v>
      </c>
      <c r="G4085" s="87" t="s">
        <v>967</v>
      </c>
      <c r="H4085" s="87" t="s">
        <v>508</v>
      </c>
      <c r="I4085" s="87">
        <v>53</v>
      </c>
    </row>
    <row r="4086" spans="1:9" ht="15" customHeight="1" x14ac:dyDescent="0.25">
      <c r="A4086" s="87" t="s">
        <v>80</v>
      </c>
      <c r="B4086" s="87" t="s">
        <v>217</v>
      </c>
      <c r="C4086" s="87">
        <v>1979</v>
      </c>
      <c r="D4086" s="87" t="s">
        <v>82</v>
      </c>
      <c r="E4086" s="116">
        <v>0</v>
      </c>
      <c r="F4086" s="87" t="s">
        <v>508</v>
      </c>
      <c r="G4086" s="87" t="s">
        <v>967</v>
      </c>
      <c r="H4086" s="87" t="s">
        <v>508</v>
      </c>
      <c r="I4086" s="87">
        <v>53</v>
      </c>
    </row>
    <row r="4087" spans="1:9" ht="15" customHeight="1" x14ac:dyDescent="0.25">
      <c r="A4087" s="87" t="s">
        <v>80</v>
      </c>
      <c r="B4087" s="87" t="s">
        <v>217</v>
      </c>
      <c r="C4087" s="87">
        <v>1980</v>
      </c>
      <c r="D4087" s="87" t="s">
        <v>82</v>
      </c>
      <c r="E4087" s="116">
        <v>75</v>
      </c>
      <c r="F4087" s="87" t="s">
        <v>508</v>
      </c>
      <c r="G4087" s="87" t="s">
        <v>967</v>
      </c>
      <c r="H4087" s="87" t="s">
        <v>508</v>
      </c>
      <c r="I4087" s="87">
        <v>53</v>
      </c>
    </row>
    <row r="4088" spans="1:9" ht="15" customHeight="1" x14ac:dyDescent="0.25">
      <c r="A4088" s="87" t="s">
        <v>80</v>
      </c>
      <c r="B4088" s="87" t="s">
        <v>217</v>
      </c>
      <c r="C4088" s="87">
        <v>1981</v>
      </c>
      <c r="D4088" s="87" t="s">
        <v>82</v>
      </c>
      <c r="E4088" s="116">
        <v>25</v>
      </c>
      <c r="F4088" s="87" t="s">
        <v>508</v>
      </c>
      <c r="G4088" s="87" t="s">
        <v>967</v>
      </c>
      <c r="H4088" s="87" t="s">
        <v>508</v>
      </c>
      <c r="I4088" s="87">
        <v>53</v>
      </c>
    </row>
    <row r="4089" spans="1:9" ht="15" customHeight="1" x14ac:dyDescent="0.25">
      <c r="A4089" s="87" t="s">
        <v>80</v>
      </c>
      <c r="B4089" s="87" t="s">
        <v>217</v>
      </c>
      <c r="C4089" s="87">
        <v>1982</v>
      </c>
      <c r="D4089" s="87" t="s">
        <v>82</v>
      </c>
      <c r="E4089" s="116">
        <v>150</v>
      </c>
      <c r="F4089" s="87" t="s">
        <v>508</v>
      </c>
      <c r="G4089" s="87" t="s">
        <v>967</v>
      </c>
      <c r="H4089" s="87" t="s">
        <v>508</v>
      </c>
      <c r="I4089" s="87">
        <v>53</v>
      </c>
    </row>
    <row r="4090" spans="1:9" ht="15" customHeight="1" x14ac:dyDescent="0.25">
      <c r="A4090" s="87" t="s">
        <v>80</v>
      </c>
      <c r="B4090" s="87" t="s">
        <v>217</v>
      </c>
      <c r="C4090" s="87">
        <v>1983</v>
      </c>
      <c r="D4090" s="87" t="s">
        <v>82</v>
      </c>
      <c r="E4090" s="116">
        <v>26</v>
      </c>
      <c r="F4090" s="87" t="s">
        <v>508</v>
      </c>
      <c r="G4090" s="87" t="s">
        <v>967</v>
      </c>
      <c r="H4090" s="87" t="s">
        <v>508</v>
      </c>
      <c r="I4090" s="87">
        <v>53</v>
      </c>
    </row>
    <row r="4091" spans="1:9" ht="15" customHeight="1" x14ac:dyDescent="0.25">
      <c r="A4091" s="87" t="s">
        <v>80</v>
      </c>
      <c r="B4091" s="87" t="s">
        <v>217</v>
      </c>
      <c r="C4091" s="87">
        <v>1984</v>
      </c>
      <c r="D4091" s="87" t="s">
        <v>82</v>
      </c>
      <c r="E4091" s="116">
        <v>809</v>
      </c>
      <c r="F4091" s="87" t="s">
        <v>508</v>
      </c>
      <c r="G4091" s="87" t="s">
        <v>967</v>
      </c>
      <c r="H4091" s="87" t="s">
        <v>508</v>
      </c>
      <c r="I4091" s="87">
        <v>53</v>
      </c>
    </row>
    <row r="4092" spans="1:9" ht="15" customHeight="1" x14ac:dyDescent="0.25">
      <c r="A4092" s="87" t="s">
        <v>80</v>
      </c>
      <c r="B4092" s="87" t="s">
        <v>217</v>
      </c>
      <c r="C4092" s="87">
        <v>1985</v>
      </c>
      <c r="D4092" s="87" t="s">
        <v>82</v>
      </c>
      <c r="E4092" s="116">
        <v>800</v>
      </c>
      <c r="F4092" s="87" t="s">
        <v>508</v>
      </c>
      <c r="G4092" s="87" t="s">
        <v>967</v>
      </c>
      <c r="H4092" s="87" t="s">
        <v>508</v>
      </c>
      <c r="I4092" s="87">
        <v>53</v>
      </c>
    </row>
    <row r="4093" spans="1:9" ht="15" customHeight="1" x14ac:dyDescent="0.25">
      <c r="A4093" s="87" t="s">
        <v>80</v>
      </c>
      <c r="B4093" s="87" t="s">
        <v>217</v>
      </c>
      <c r="C4093" s="87">
        <v>1986</v>
      </c>
      <c r="D4093" s="87" t="s">
        <v>82</v>
      </c>
      <c r="E4093" s="116">
        <v>1186</v>
      </c>
      <c r="F4093" s="87" t="s">
        <v>508</v>
      </c>
      <c r="G4093" s="87" t="s">
        <v>967</v>
      </c>
      <c r="H4093" s="87" t="s">
        <v>508</v>
      </c>
      <c r="I4093" s="87">
        <v>53</v>
      </c>
    </row>
    <row r="4094" spans="1:9" ht="15" customHeight="1" x14ac:dyDescent="0.25">
      <c r="A4094" s="87" t="s">
        <v>80</v>
      </c>
      <c r="B4094" s="87" t="s">
        <v>217</v>
      </c>
      <c r="C4094" s="87">
        <v>1987</v>
      </c>
      <c r="D4094" s="87" t="s">
        <v>82</v>
      </c>
      <c r="E4094" s="116">
        <v>398</v>
      </c>
      <c r="F4094" s="87" t="s">
        <v>508</v>
      </c>
      <c r="G4094" s="87" t="s">
        <v>967</v>
      </c>
      <c r="H4094" s="87" t="s">
        <v>508</v>
      </c>
      <c r="I4094" s="87">
        <v>53</v>
      </c>
    </row>
    <row r="4095" spans="1:9" ht="15" customHeight="1" x14ac:dyDescent="0.25">
      <c r="A4095" s="87" t="s">
        <v>80</v>
      </c>
      <c r="B4095" s="87" t="s">
        <v>217</v>
      </c>
      <c r="C4095" s="87">
        <v>1988</v>
      </c>
      <c r="D4095" s="87" t="s">
        <v>82</v>
      </c>
      <c r="E4095" s="116">
        <v>694</v>
      </c>
      <c r="F4095" s="87" t="s">
        <v>508</v>
      </c>
      <c r="G4095" s="87" t="s">
        <v>967</v>
      </c>
      <c r="H4095" s="87" t="s">
        <v>508</v>
      </c>
      <c r="I4095" s="87">
        <v>53</v>
      </c>
    </row>
    <row r="4096" spans="1:9" ht="15" customHeight="1" x14ac:dyDescent="0.25">
      <c r="A4096" s="87" t="s">
        <v>80</v>
      </c>
      <c r="B4096" s="87" t="s">
        <v>217</v>
      </c>
      <c r="C4096" s="87">
        <v>1989</v>
      </c>
      <c r="D4096" s="87" t="s">
        <v>82</v>
      </c>
      <c r="E4096" s="116">
        <v>893</v>
      </c>
      <c r="F4096" s="87" t="s">
        <v>508</v>
      </c>
      <c r="G4096" s="87" t="s">
        <v>967</v>
      </c>
      <c r="H4096" s="87" t="s">
        <v>508</v>
      </c>
      <c r="I4096" s="87">
        <v>53</v>
      </c>
    </row>
    <row r="4097" spans="1:9" ht="15" customHeight="1" x14ac:dyDescent="0.25">
      <c r="A4097" s="87" t="s">
        <v>80</v>
      </c>
      <c r="B4097" s="87" t="s">
        <v>217</v>
      </c>
      <c r="C4097" s="87">
        <v>1990</v>
      </c>
      <c r="D4097" s="87" t="s">
        <v>82</v>
      </c>
      <c r="E4097" s="116">
        <v>482</v>
      </c>
      <c r="F4097" s="87" t="s">
        <v>508</v>
      </c>
      <c r="G4097" s="87" t="s">
        <v>967</v>
      </c>
      <c r="H4097" s="87" t="s">
        <v>508</v>
      </c>
      <c r="I4097" s="87">
        <v>53</v>
      </c>
    </row>
    <row r="4098" spans="1:9" ht="15" customHeight="1" x14ac:dyDescent="0.25">
      <c r="A4098" s="87" t="s">
        <v>80</v>
      </c>
      <c r="B4098" s="87" t="s">
        <v>217</v>
      </c>
      <c r="C4098" s="87">
        <v>1991</v>
      </c>
      <c r="D4098" s="87" t="s">
        <v>82</v>
      </c>
      <c r="E4098" s="116">
        <v>2196</v>
      </c>
      <c r="F4098" s="87" t="s">
        <v>508</v>
      </c>
      <c r="G4098" s="87" t="s">
        <v>967</v>
      </c>
      <c r="H4098" s="87" t="s">
        <v>508</v>
      </c>
      <c r="I4098" s="87">
        <v>53</v>
      </c>
    </row>
    <row r="4099" spans="1:9" ht="15" customHeight="1" x14ac:dyDescent="0.25">
      <c r="A4099" s="87" t="s">
        <v>80</v>
      </c>
      <c r="B4099" s="87" t="s">
        <v>217</v>
      </c>
      <c r="C4099" s="87">
        <v>1992</v>
      </c>
      <c r="D4099" s="87" t="s">
        <v>82</v>
      </c>
      <c r="E4099" s="116">
        <v>1728</v>
      </c>
      <c r="F4099" s="87" t="s">
        <v>392</v>
      </c>
      <c r="G4099" s="87" t="s">
        <v>289</v>
      </c>
      <c r="H4099" s="87" t="s">
        <v>508</v>
      </c>
      <c r="I4099" s="87">
        <v>53</v>
      </c>
    </row>
    <row r="4100" spans="1:9" ht="15" customHeight="1" x14ac:dyDescent="0.25">
      <c r="A4100" s="87" t="s">
        <v>80</v>
      </c>
      <c r="B4100" s="87" t="s">
        <v>217</v>
      </c>
      <c r="C4100" s="87">
        <v>1993</v>
      </c>
      <c r="D4100" s="87" t="s">
        <v>82</v>
      </c>
      <c r="E4100" s="116">
        <v>-1</v>
      </c>
      <c r="F4100" s="87" t="s">
        <v>967</v>
      </c>
      <c r="G4100" s="87" t="s">
        <v>272</v>
      </c>
      <c r="H4100" s="87" t="s">
        <v>941</v>
      </c>
      <c r="I4100" s="87">
        <v>53</v>
      </c>
    </row>
    <row r="4101" spans="1:9" ht="15" customHeight="1" x14ac:dyDescent="0.25">
      <c r="A4101" s="87" t="s">
        <v>80</v>
      </c>
      <c r="B4101" s="87" t="s">
        <v>217</v>
      </c>
      <c r="C4101" s="87">
        <v>1994</v>
      </c>
      <c r="D4101" s="87" t="s">
        <v>82</v>
      </c>
      <c r="E4101" s="116">
        <v>4291</v>
      </c>
      <c r="F4101" s="87" t="s">
        <v>393</v>
      </c>
      <c r="G4101" s="87" t="s">
        <v>289</v>
      </c>
      <c r="H4101" s="87" t="s">
        <v>508</v>
      </c>
      <c r="I4101" s="87">
        <v>53</v>
      </c>
    </row>
    <row r="4102" spans="1:9" ht="15" customHeight="1" x14ac:dyDescent="0.25">
      <c r="A4102" s="87" t="s">
        <v>80</v>
      </c>
      <c r="B4102" s="87" t="s">
        <v>217</v>
      </c>
      <c r="C4102" s="87">
        <v>1995</v>
      </c>
      <c r="D4102" s="87" t="s">
        <v>82</v>
      </c>
      <c r="E4102" s="116">
        <v>4225</v>
      </c>
      <c r="F4102" s="87" t="s">
        <v>394</v>
      </c>
      <c r="G4102" s="87" t="s">
        <v>289</v>
      </c>
      <c r="H4102" s="87" t="s">
        <v>508</v>
      </c>
      <c r="I4102" s="87">
        <v>53</v>
      </c>
    </row>
    <row r="4103" spans="1:9" ht="15" customHeight="1" x14ac:dyDescent="0.25">
      <c r="A4103" s="87" t="s">
        <v>80</v>
      </c>
      <c r="B4103" s="87" t="s">
        <v>217</v>
      </c>
      <c r="C4103" s="87">
        <v>1996</v>
      </c>
      <c r="D4103" s="87" t="s">
        <v>82</v>
      </c>
      <c r="E4103" s="116">
        <v>4625</v>
      </c>
      <c r="F4103" s="87" t="s">
        <v>395</v>
      </c>
      <c r="G4103" s="87" t="s">
        <v>289</v>
      </c>
      <c r="H4103" s="87" t="s">
        <v>508</v>
      </c>
      <c r="I4103" s="87">
        <v>53</v>
      </c>
    </row>
    <row r="4104" spans="1:9" ht="15" customHeight="1" x14ac:dyDescent="0.25">
      <c r="A4104" s="87" t="s">
        <v>80</v>
      </c>
      <c r="B4104" s="87" t="s">
        <v>217</v>
      </c>
      <c r="C4104" s="87">
        <v>1997</v>
      </c>
      <c r="D4104" s="87" t="s">
        <v>82</v>
      </c>
      <c r="E4104" s="116">
        <v>9561</v>
      </c>
      <c r="F4104" s="87" t="s">
        <v>396</v>
      </c>
      <c r="G4104" s="87" t="s">
        <v>289</v>
      </c>
      <c r="H4104" s="87" t="s">
        <v>508</v>
      </c>
      <c r="I4104" s="87">
        <v>53</v>
      </c>
    </row>
    <row r="4105" spans="1:9" ht="15" customHeight="1" x14ac:dyDescent="0.25">
      <c r="A4105" s="87" t="s">
        <v>80</v>
      </c>
      <c r="B4105" s="87" t="s">
        <v>217</v>
      </c>
      <c r="C4105" s="87">
        <v>1998</v>
      </c>
      <c r="D4105" s="87" t="s">
        <v>82</v>
      </c>
      <c r="E4105" s="116">
        <v>1961</v>
      </c>
      <c r="F4105" s="87" t="s">
        <v>397</v>
      </c>
      <c r="G4105" s="87" t="s">
        <v>289</v>
      </c>
      <c r="H4105" s="87" t="s">
        <v>508</v>
      </c>
      <c r="I4105" s="87">
        <v>53</v>
      </c>
    </row>
    <row r="4106" spans="1:9" ht="15" customHeight="1" x14ac:dyDescent="0.25">
      <c r="A4106" s="87" t="s">
        <v>80</v>
      </c>
      <c r="B4106" s="87" t="s">
        <v>217</v>
      </c>
      <c r="C4106" s="87">
        <v>1999</v>
      </c>
      <c r="D4106" s="87" t="s">
        <v>82</v>
      </c>
      <c r="E4106" s="116">
        <v>1979</v>
      </c>
      <c r="F4106" s="87" t="s">
        <v>398</v>
      </c>
      <c r="G4106" s="87" t="s">
        <v>289</v>
      </c>
      <c r="H4106" s="87" t="s">
        <v>508</v>
      </c>
      <c r="I4106" s="87">
        <v>53</v>
      </c>
    </row>
    <row r="4107" spans="1:9" ht="15" customHeight="1" x14ac:dyDescent="0.25">
      <c r="A4107" s="87" t="s">
        <v>80</v>
      </c>
      <c r="B4107" s="87" t="s">
        <v>217</v>
      </c>
      <c r="C4107" s="87">
        <v>2000</v>
      </c>
      <c r="D4107" s="87" t="s">
        <v>82</v>
      </c>
      <c r="E4107" s="116">
        <v>5328</v>
      </c>
      <c r="F4107" s="87" t="s">
        <v>399</v>
      </c>
      <c r="G4107" s="87" t="s">
        <v>289</v>
      </c>
      <c r="H4107" s="87" t="s">
        <v>508</v>
      </c>
      <c r="I4107" s="87">
        <v>53</v>
      </c>
    </row>
    <row r="4108" spans="1:9" ht="15" customHeight="1" x14ac:dyDescent="0.25">
      <c r="A4108" s="87" t="s">
        <v>80</v>
      </c>
      <c r="B4108" s="87" t="s">
        <v>217</v>
      </c>
      <c r="C4108" s="87">
        <v>2001</v>
      </c>
      <c r="D4108" s="87" t="s">
        <v>82</v>
      </c>
      <c r="E4108" s="116">
        <v>6285</v>
      </c>
      <c r="F4108" s="87" t="s">
        <v>400</v>
      </c>
      <c r="G4108" s="87" t="s">
        <v>289</v>
      </c>
      <c r="H4108" s="87" t="s">
        <v>508</v>
      </c>
      <c r="I4108" s="87">
        <v>53</v>
      </c>
    </row>
    <row r="4109" spans="1:9" ht="15" customHeight="1" x14ac:dyDescent="0.25">
      <c r="A4109" s="87" t="s">
        <v>80</v>
      </c>
      <c r="B4109" s="87" t="s">
        <v>217</v>
      </c>
      <c r="C4109" s="87">
        <v>2002</v>
      </c>
      <c r="D4109" s="87" t="s">
        <v>82</v>
      </c>
      <c r="E4109" s="116">
        <v>8370</v>
      </c>
      <c r="F4109" s="87" t="s">
        <v>401</v>
      </c>
      <c r="G4109" s="87" t="s">
        <v>289</v>
      </c>
      <c r="H4109" s="87" t="s">
        <v>508</v>
      </c>
      <c r="I4109" s="87">
        <v>53</v>
      </c>
    </row>
    <row r="4110" spans="1:9" ht="15" customHeight="1" x14ac:dyDescent="0.25">
      <c r="A4110" s="87" t="s">
        <v>80</v>
      </c>
      <c r="B4110" s="87" t="s">
        <v>217</v>
      </c>
      <c r="C4110" s="87">
        <v>2003</v>
      </c>
      <c r="D4110" s="87" t="s">
        <v>82</v>
      </c>
      <c r="E4110" s="116">
        <v>9609</v>
      </c>
      <c r="F4110" s="87" t="s">
        <v>402</v>
      </c>
      <c r="G4110" s="87" t="s">
        <v>289</v>
      </c>
      <c r="H4110" s="87" t="s">
        <v>508</v>
      </c>
      <c r="I4110" s="87">
        <v>53</v>
      </c>
    </row>
    <row r="4111" spans="1:9" ht="15" customHeight="1" x14ac:dyDescent="0.25">
      <c r="A4111" s="87" t="s">
        <v>80</v>
      </c>
      <c r="B4111" s="87" t="s">
        <v>217</v>
      </c>
      <c r="C4111" s="87">
        <v>2004</v>
      </c>
      <c r="D4111" s="87" t="s">
        <v>82</v>
      </c>
      <c r="E4111" s="116">
        <v>6130</v>
      </c>
      <c r="F4111" s="87" t="s">
        <v>403</v>
      </c>
      <c r="G4111" s="87" t="s">
        <v>289</v>
      </c>
      <c r="H4111" s="87" t="s">
        <v>508</v>
      </c>
      <c r="I4111" s="87">
        <v>53</v>
      </c>
    </row>
    <row r="4112" spans="1:9" ht="15" customHeight="1" x14ac:dyDescent="0.25">
      <c r="A4112" s="87" t="s">
        <v>80</v>
      </c>
      <c r="B4112" s="87" t="s">
        <v>217</v>
      </c>
      <c r="C4112" s="87">
        <v>2005</v>
      </c>
      <c r="D4112" s="87" t="s">
        <v>82</v>
      </c>
      <c r="E4112" s="116">
        <v>4891</v>
      </c>
      <c r="F4112" s="87" t="s">
        <v>404</v>
      </c>
      <c r="G4112" s="87" t="s">
        <v>289</v>
      </c>
      <c r="H4112" s="87" t="s">
        <v>508</v>
      </c>
      <c r="I4112" s="87">
        <v>53</v>
      </c>
    </row>
    <row r="4113" spans="1:9" ht="15" customHeight="1" x14ac:dyDescent="0.25">
      <c r="A4113" s="87" t="s">
        <v>80</v>
      </c>
      <c r="B4113" s="87" t="s">
        <v>217</v>
      </c>
      <c r="C4113" s="87">
        <v>2006</v>
      </c>
      <c r="D4113" s="87" t="s">
        <v>82</v>
      </c>
      <c r="E4113" s="116">
        <v>1954</v>
      </c>
      <c r="F4113" s="87" t="s">
        <v>405</v>
      </c>
      <c r="G4113" s="87" t="s">
        <v>289</v>
      </c>
      <c r="H4113" s="87" t="s">
        <v>508</v>
      </c>
      <c r="I4113" s="87">
        <v>53</v>
      </c>
    </row>
    <row r="4114" spans="1:9" ht="15" customHeight="1" x14ac:dyDescent="0.25">
      <c r="A4114" s="87" t="s">
        <v>80</v>
      </c>
      <c r="B4114" s="87" t="s">
        <v>217</v>
      </c>
      <c r="C4114" s="87">
        <v>2007</v>
      </c>
      <c r="D4114" s="87" t="s">
        <v>82</v>
      </c>
      <c r="E4114" s="116">
        <v>1081</v>
      </c>
      <c r="F4114" s="87" t="s">
        <v>406</v>
      </c>
      <c r="G4114" s="87" t="s">
        <v>289</v>
      </c>
      <c r="H4114" s="87" t="s">
        <v>508</v>
      </c>
      <c r="I4114" s="87">
        <v>53</v>
      </c>
    </row>
    <row r="4115" spans="1:9" ht="15" customHeight="1" x14ac:dyDescent="0.25">
      <c r="A4115" s="87" t="s">
        <v>80</v>
      </c>
      <c r="B4115" s="87" t="s">
        <v>217</v>
      </c>
      <c r="C4115" s="87">
        <v>2008</v>
      </c>
      <c r="D4115" s="87" t="s">
        <v>82</v>
      </c>
      <c r="E4115" s="116">
        <v>5421</v>
      </c>
      <c r="F4115" s="87" t="s">
        <v>407</v>
      </c>
      <c r="G4115" s="87" t="s">
        <v>289</v>
      </c>
      <c r="H4115" s="87" t="s">
        <v>508</v>
      </c>
      <c r="I4115" s="87">
        <v>53</v>
      </c>
    </row>
    <row r="4116" spans="1:9" ht="15" customHeight="1" x14ac:dyDescent="0.25">
      <c r="A4116" s="87" t="s">
        <v>80</v>
      </c>
      <c r="B4116" s="87" t="s">
        <v>217</v>
      </c>
      <c r="C4116" s="87">
        <v>2009</v>
      </c>
      <c r="D4116" s="87" t="s">
        <v>82</v>
      </c>
      <c r="E4116" s="116">
        <v>1288</v>
      </c>
      <c r="F4116" s="87" t="s">
        <v>408</v>
      </c>
      <c r="G4116" s="87" t="s">
        <v>289</v>
      </c>
      <c r="H4116" s="87" t="s">
        <v>508</v>
      </c>
      <c r="I4116" s="87">
        <v>53</v>
      </c>
    </row>
    <row r="4117" spans="1:9" ht="15" customHeight="1" x14ac:dyDescent="0.25">
      <c r="A4117" s="87" t="s">
        <v>80</v>
      </c>
      <c r="B4117" s="87" t="s">
        <v>217</v>
      </c>
      <c r="C4117" s="87">
        <v>2010</v>
      </c>
      <c r="D4117" s="87" t="s">
        <v>82</v>
      </c>
      <c r="E4117" s="116">
        <v>2412</v>
      </c>
      <c r="F4117" s="87" t="s">
        <v>409</v>
      </c>
      <c r="G4117" s="87" t="s">
        <v>289</v>
      </c>
      <c r="H4117" s="87" t="s">
        <v>508</v>
      </c>
      <c r="I4117" s="87">
        <v>53</v>
      </c>
    </row>
    <row r="4118" spans="1:9" ht="15" customHeight="1" x14ac:dyDescent="0.25">
      <c r="A4118" s="87" t="s">
        <v>80</v>
      </c>
      <c r="B4118" s="87" t="s">
        <v>217</v>
      </c>
      <c r="C4118" s="87">
        <v>2011</v>
      </c>
      <c r="D4118" s="87" t="s">
        <v>82</v>
      </c>
      <c r="E4118" s="116">
        <v>1750</v>
      </c>
      <c r="F4118" s="87" t="s">
        <v>410</v>
      </c>
      <c r="G4118" s="87" t="s">
        <v>289</v>
      </c>
      <c r="H4118" s="87" t="s">
        <v>410</v>
      </c>
      <c r="I4118" s="87">
        <v>53</v>
      </c>
    </row>
    <row r="4119" spans="1:9" ht="15" customHeight="1" x14ac:dyDescent="0.25">
      <c r="A4119" s="87" t="s">
        <v>80</v>
      </c>
      <c r="B4119" s="87" t="s">
        <v>217</v>
      </c>
      <c r="C4119" s="87">
        <v>2012</v>
      </c>
      <c r="D4119" s="87" t="s">
        <v>82</v>
      </c>
      <c r="E4119" s="116">
        <v>3075</v>
      </c>
      <c r="F4119" s="87" t="s">
        <v>411</v>
      </c>
      <c r="G4119" s="87" t="s">
        <v>289</v>
      </c>
      <c r="H4119" s="87" t="s">
        <v>411</v>
      </c>
      <c r="I4119" s="87">
        <v>53</v>
      </c>
    </row>
    <row r="4120" spans="1:9" ht="15" customHeight="1" x14ac:dyDescent="0.25">
      <c r="A4120" s="87" t="s">
        <v>80</v>
      </c>
      <c r="B4120" s="87" t="s">
        <v>217</v>
      </c>
      <c r="C4120" s="87">
        <v>2013</v>
      </c>
      <c r="D4120" s="87" t="s">
        <v>82</v>
      </c>
      <c r="E4120" s="116">
        <v>2518</v>
      </c>
      <c r="F4120" s="87" t="s">
        <v>412</v>
      </c>
      <c r="G4120" s="87" t="s">
        <v>289</v>
      </c>
      <c r="H4120" s="87" t="s">
        <v>412</v>
      </c>
      <c r="I4120" s="87">
        <v>53</v>
      </c>
    </row>
    <row r="4121" spans="1:9" ht="15" customHeight="1" x14ac:dyDescent="0.25">
      <c r="A4121" s="87" t="s">
        <v>80</v>
      </c>
      <c r="B4121" s="87" t="s">
        <v>217</v>
      </c>
      <c r="C4121" s="87">
        <v>2014</v>
      </c>
      <c r="D4121" s="87" t="s">
        <v>82</v>
      </c>
      <c r="E4121" s="116">
        <v>12651</v>
      </c>
      <c r="F4121" s="87" t="s">
        <v>413</v>
      </c>
      <c r="G4121" s="87" t="s">
        <v>317</v>
      </c>
      <c r="H4121" s="87" t="s">
        <v>413</v>
      </c>
      <c r="I4121" s="87">
        <v>53</v>
      </c>
    </row>
    <row r="4122" spans="1:9" ht="15" customHeight="1" x14ac:dyDescent="0.25">
      <c r="A4122" s="87" t="s">
        <v>80</v>
      </c>
      <c r="B4122" s="87" t="s">
        <v>217</v>
      </c>
      <c r="C4122" s="87">
        <v>2015</v>
      </c>
      <c r="D4122" s="87" t="s">
        <v>82</v>
      </c>
      <c r="E4122" s="116">
        <v>5475</v>
      </c>
      <c r="F4122" s="87" t="s">
        <v>967</v>
      </c>
      <c r="G4122" s="87" t="s">
        <v>289</v>
      </c>
      <c r="H4122" s="87" t="s">
        <v>414</v>
      </c>
      <c r="I4122" s="87">
        <v>53</v>
      </c>
    </row>
    <row r="4123" spans="1:9" ht="15" customHeight="1" x14ac:dyDescent="0.25">
      <c r="A4123" s="87" t="s">
        <v>80</v>
      </c>
      <c r="B4123" s="87" t="s">
        <v>217</v>
      </c>
      <c r="C4123" s="87">
        <v>2016</v>
      </c>
      <c r="D4123" s="87" t="s">
        <v>82</v>
      </c>
      <c r="E4123" s="116">
        <v>5249</v>
      </c>
      <c r="F4123" s="87" t="s">
        <v>535</v>
      </c>
      <c r="G4123" s="87" t="s">
        <v>289</v>
      </c>
      <c r="H4123" s="87" t="s">
        <v>534</v>
      </c>
      <c r="I4123" s="87">
        <v>53</v>
      </c>
    </row>
    <row r="4124" spans="1:9" ht="15" customHeight="1" x14ac:dyDescent="0.25">
      <c r="A4124" s="87" t="s">
        <v>80</v>
      </c>
      <c r="B4124" s="87" t="s">
        <v>217</v>
      </c>
      <c r="C4124" s="87">
        <v>2017</v>
      </c>
      <c r="D4124" s="87" t="s">
        <v>82</v>
      </c>
      <c r="E4124" s="116">
        <v>2903</v>
      </c>
      <c r="F4124" s="87" t="s">
        <v>536</v>
      </c>
      <c r="G4124" s="87" t="s">
        <v>317</v>
      </c>
      <c r="H4124" s="87" t="s">
        <v>942</v>
      </c>
      <c r="I4124" s="87">
        <v>53</v>
      </c>
    </row>
    <row r="4125" spans="1:9" ht="15" customHeight="1" x14ac:dyDescent="0.25">
      <c r="A4125" s="87" t="s">
        <v>80</v>
      </c>
      <c r="B4125" s="87" t="s">
        <v>217</v>
      </c>
      <c r="C4125" s="87">
        <v>2018</v>
      </c>
      <c r="D4125" s="87" t="s">
        <v>82</v>
      </c>
      <c r="E4125" s="116">
        <v>5</v>
      </c>
      <c r="F4125" s="87" t="s">
        <v>967</v>
      </c>
      <c r="G4125" s="87" t="s">
        <v>272</v>
      </c>
      <c r="H4125" s="87" t="s">
        <v>943</v>
      </c>
      <c r="I4125" s="87">
        <v>53</v>
      </c>
    </row>
    <row r="4126" spans="1:9" ht="15" customHeight="1" x14ac:dyDescent="0.25">
      <c r="A4126" s="87" t="s">
        <v>80</v>
      </c>
      <c r="B4126" s="87" t="s">
        <v>217</v>
      </c>
      <c r="C4126" s="87">
        <v>2019</v>
      </c>
      <c r="D4126" s="87" t="s">
        <v>82</v>
      </c>
      <c r="E4126" s="116">
        <v>960</v>
      </c>
      <c r="F4126" s="87" t="s">
        <v>967</v>
      </c>
      <c r="G4126" s="87" t="s">
        <v>272</v>
      </c>
      <c r="H4126" s="87" t="s">
        <v>1000</v>
      </c>
      <c r="I4126" s="87">
        <v>53</v>
      </c>
    </row>
    <row r="4127" spans="1:9" ht="15" customHeight="1" x14ac:dyDescent="0.25">
      <c r="A4127" s="87" t="s">
        <v>80</v>
      </c>
      <c r="B4127" s="87" t="s">
        <v>217</v>
      </c>
      <c r="C4127" s="87">
        <v>2020</v>
      </c>
      <c r="D4127" s="87" t="s">
        <v>82</v>
      </c>
      <c r="E4127" s="116">
        <v>3448</v>
      </c>
      <c r="F4127" s="87" t="s">
        <v>1045</v>
      </c>
      <c r="G4127" s="87" t="s">
        <v>289</v>
      </c>
      <c r="H4127" s="87" t="s">
        <v>1046</v>
      </c>
      <c r="I4127" s="87">
        <v>53</v>
      </c>
    </row>
    <row r="4128" spans="1:9" ht="15" customHeight="1" x14ac:dyDescent="0.25">
      <c r="A4128" s="87" t="s">
        <v>80</v>
      </c>
      <c r="B4128" s="87" t="s">
        <v>217</v>
      </c>
      <c r="C4128" s="87">
        <v>2021</v>
      </c>
      <c r="D4128" s="87" t="s">
        <v>82</v>
      </c>
      <c r="E4128" s="116">
        <v>1304</v>
      </c>
      <c r="F4128" s="87" t="s">
        <v>1045</v>
      </c>
      <c r="G4128" s="87" t="s">
        <v>289</v>
      </c>
      <c r="H4128" s="87" t="s">
        <v>1066</v>
      </c>
      <c r="I4128" s="87">
        <v>53</v>
      </c>
    </row>
    <row r="4129" spans="1:9" ht="15" customHeight="1" x14ac:dyDescent="0.25">
      <c r="A4129" s="87" t="s">
        <v>80</v>
      </c>
      <c r="B4129" s="87" t="s">
        <v>217</v>
      </c>
      <c r="C4129" s="87">
        <v>2022</v>
      </c>
      <c r="D4129" s="87" t="s">
        <v>82</v>
      </c>
      <c r="E4129" s="116">
        <v>372</v>
      </c>
      <c r="F4129" s="87" t="s">
        <v>967</v>
      </c>
      <c r="G4129" s="87" t="s">
        <v>317</v>
      </c>
      <c r="H4129" s="87" t="s">
        <v>967</v>
      </c>
      <c r="I4129" s="87">
        <v>53</v>
      </c>
    </row>
    <row r="4130" spans="1:9" ht="15" customHeight="1" x14ac:dyDescent="0.25">
      <c r="A4130" s="87" t="s">
        <v>80</v>
      </c>
      <c r="B4130" s="87" t="s">
        <v>222</v>
      </c>
      <c r="C4130" s="87">
        <v>1975</v>
      </c>
      <c r="D4130" s="87" t="s">
        <v>82</v>
      </c>
      <c r="E4130" s="116">
        <v>1500</v>
      </c>
      <c r="F4130" s="87" t="s">
        <v>586</v>
      </c>
      <c r="G4130" s="87" t="s">
        <v>967</v>
      </c>
      <c r="H4130" s="87" t="s">
        <v>586</v>
      </c>
      <c r="I4130" s="87">
        <v>54</v>
      </c>
    </row>
    <row r="4131" spans="1:9" ht="15" customHeight="1" x14ac:dyDescent="0.25">
      <c r="A4131" s="87" t="s">
        <v>80</v>
      </c>
      <c r="B4131" s="87" t="s">
        <v>222</v>
      </c>
      <c r="C4131" s="87">
        <v>1976</v>
      </c>
      <c r="D4131" s="87" t="s">
        <v>82</v>
      </c>
      <c r="E4131" s="116">
        <v>500</v>
      </c>
      <c r="F4131" s="87" t="s">
        <v>586</v>
      </c>
      <c r="G4131" s="87" t="s">
        <v>967</v>
      </c>
      <c r="H4131" s="87" t="s">
        <v>586</v>
      </c>
      <c r="I4131" s="87">
        <v>54</v>
      </c>
    </row>
    <row r="4132" spans="1:9" ht="15" customHeight="1" x14ac:dyDescent="0.25">
      <c r="A4132" s="87" t="s">
        <v>80</v>
      </c>
      <c r="B4132" s="87" t="s">
        <v>222</v>
      </c>
      <c r="C4132" s="87">
        <v>1977</v>
      </c>
      <c r="D4132" s="87" t="s">
        <v>82</v>
      </c>
      <c r="E4132" s="116">
        <v>600</v>
      </c>
      <c r="F4132" s="87" t="s">
        <v>586</v>
      </c>
      <c r="G4132" s="87" t="s">
        <v>967</v>
      </c>
      <c r="H4132" s="87" t="s">
        <v>586</v>
      </c>
      <c r="I4132" s="87">
        <v>54</v>
      </c>
    </row>
    <row r="4133" spans="1:9" ht="15" customHeight="1" x14ac:dyDescent="0.25">
      <c r="A4133" s="87" t="s">
        <v>80</v>
      </c>
      <c r="B4133" s="87" t="s">
        <v>222</v>
      </c>
      <c r="C4133" s="87">
        <v>1978</v>
      </c>
      <c r="D4133" s="87" t="s">
        <v>82</v>
      </c>
      <c r="E4133" s="116">
        <v>750</v>
      </c>
      <c r="F4133" s="87" t="s">
        <v>586</v>
      </c>
      <c r="G4133" s="87" t="s">
        <v>967</v>
      </c>
      <c r="H4133" s="87" t="s">
        <v>586</v>
      </c>
      <c r="I4133" s="87">
        <v>54</v>
      </c>
    </row>
    <row r="4134" spans="1:9" ht="15" customHeight="1" x14ac:dyDescent="0.25">
      <c r="A4134" s="87" t="s">
        <v>80</v>
      </c>
      <c r="B4134" s="87" t="s">
        <v>222</v>
      </c>
      <c r="C4134" s="87">
        <v>1979</v>
      </c>
      <c r="D4134" s="87" t="s">
        <v>82</v>
      </c>
      <c r="E4134" s="116">
        <v>300</v>
      </c>
      <c r="F4134" s="87" t="s">
        <v>586</v>
      </c>
      <c r="G4134" s="87" t="s">
        <v>967</v>
      </c>
      <c r="H4134" s="87" t="s">
        <v>586</v>
      </c>
      <c r="I4134" s="87">
        <v>54</v>
      </c>
    </row>
    <row r="4135" spans="1:9" ht="15" customHeight="1" x14ac:dyDescent="0.25">
      <c r="A4135" s="87" t="s">
        <v>80</v>
      </c>
      <c r="B4135" s="87" t="s">
        <v>222</v>
      </c>
      <c r="C4135" s="87">
        <v>1980</v>
      </c>
      <c r="D4135" s="87" t="s">
        <v>82</v>
      </c>
      <c r="E4135" s="116">
        <v>710</v>
      </c>
      <c r="F4135" s="87" t="s">
        <v>586</v>
      </c>
      <c r="G4135" s="87" t="s">
        <v>967</v>
      </c>
      <c r="H4135" s="87" t="s">
        <v>586</v>
      </c>
      <c r="I4135" s="87">
        <v>54</v>
      </c>
    </row>
    <row r="4136" spans="1:9" ht="15" customHeight="1" x14ac:dyDescent="0.25">
      <c r="A4136" s="87" t="s">
        <v>80</v>
      </c>
      <c r="B4136" s="87" t="s">
        <v>222</v>
      </c>
      <c r="C4136" s="87">
        <v>1981</v>
      </c>
      <c r="D4136" s="87" t="s">
        <v>82</v>
      </c>
      <c r="E4136" s="116">
        <v>200</v>
      </c>
      <c r="F4136" s="87" t="s">
        <v>586</v>
      </c>
      <c r="G4136" s="87" t="s">
        <v>967</v>
      </c>
      <c r="H4136" s="87" t="s">
        <v>586</v>
      </c>
      <c r="I4136" s="87">
        <v>54</v>
      </c>
    </row>
    <row r="4137" spans="1:9" ht="15" customHeight="1" x14ac:dyDescent="0.25">
      <c r="A4137" s="87" t="s">
        <v>80</v>
      </c>
      <c r="B4137" s="87" t="s">
        <v>222</v>
      </c>
      <c r="C4137" s="87">
        <v>1982</v>
      </c>
      <c r="D4137" s="87" t="s">
        <v>82</v>
      </c>
      <c r="E4137" s="116">
        <v>800</v>
      </c>
      <c r="F4137" s="87" t="s">
        <v>586</v>
      </c>
      <c r="G4137" s="87" t="s">
        <v>967</v>
      </c>
      <c r="H4137" s="87" t="s">
        <v>586</v>
      </c>
      <c r="I4137" s="87">
        <v>54</v>
      </c>
    </row>
    <row r="4138" spans="1:9" ht="15" customHeight="1" x14ac:dyDescent="0.25">
      <c r="A4138" s="87" t="s">
        <v>80</v>
      </c>
      <c r="B4138" s="87" t="s">
        <v>222</v>
      </c>
      <c r="C4138" s="87">
        <v>1983</v>
      </c>
      <c r="D4138" s="87" t="s">
        <v>82</v>
      </c>
      <c r="E4138" s="116">
        <v>547</v>
      </c>
      <c r="F4138" s="87" t="s">
        <v>592</v>
      </c>
      <c r="G4138" s="87" t="s">
        <v>967</v>
      </c>
      <c r="H4138" s="87" t="s">
        <v>592</v>
      </c>
      <c r="I4138" s="87">
        <v>54</v>
      </c>
    </row>
    <row r="4139" spans="1:9" ht="15" customHeight="1" x14ac:dyDescent="0.25">
      <c r="A4139" s="87" t="s">
        <v>80</v>
      </c>
      <c r="B4139" s="87" t="s">
        <v>222</v>
      </c>
      <c r="C4139" s="87">
        <v>1984</v>
      </c>
      <c r="D4139" s="87" t="s">
        <v>82</v>
      </c>
      <c r="E4139" s="116">
        <v>598</v>
      </c>
      <c r="F4139" s="87" t="s">
        <v>593</v>
      </c>
      <c r="G4139" s="87" t="s">
        <v>967</v>
      </c>
      <c r="H4139" s="87" t="s">
        <v>593</v>
      </c>
      <c r="I4139" s="87">
        <v>54</v>
      </c>
    </row>
    <row r="4140" spans="1:9" ht="15" customHeight="1" x14ac:dyDescent="0.25">
      <c r="A4140" s="87" t="s">
        <v>80</v>
      </c>
      <c r="B4140" s="87" t="s">
        <v>222</v>
      </c>
      <c r="C4140" s="87">
        <v>1985</v>
      </c>
      <c r="D4140" s="87" t="s">
        <v>82</v>
      </c>
      <c r="E4140" s="116">
        <v>2061</v>
      </c>
      <c r="F4140" s="87" t="s">
        <v>594</v>
      </c>
      <c r="G4140" s="87" t="s">
        <v>967</v>
      </c>
      <c r="H4140" s="87" t="s">
        <v>594</v>
      </c>
      <c r="I4140" s="87">
        <v>54</v>
      </c>
    </row>
    <row r="4141" spans="1:9" ht="15" customHeight="1" x14ac:dyDescent="0.25">
      <c r="A4141" s="87" t="s">
        <v>80</v>
      </c>
      <c r="B4141" s="87" t="s">
        <v>222</v>
      </c>
      <c r="C4141" s="87">
        <v>1986</v>
      </c>
      <c r="D4141" s="87" t="s">
        <v>82</v>
      </c>
      <c r="E4141" s="116">
        <v>2100</v>
      </c>
      <c r="F4141" s="87" t="s">
        <v>594</v>
      </c>
      <c r="G4141" s="87" t="s">
        <v>967</v>
      </c>
      <c r="H4141" s="87" t="s">
        <v>594</v>
      </c>
      <c r="I4141" s="87">
        <v>54</v>
      </c>
    </row>
    <row r="4142" spans="1:9" ht="15" customHeight="1" x14ac:dyDescent="0.25">
      <c r="A4142" s="87" t="s">
        <v>80</v>
      </c>
      <c r="B4142" s="87" t="s">
        <v>222</v>
      </c>
      <c r="C4142" s="87">
        <v>1987</v>
      </c>
      <c r="D4142" s="87" t="s">
        <v>82</v>
      </c>
      <c r="E4142" s="116">
        <v>550</v>
      </c>
      <c r="F4142" s="87" t="s">
        <v>586</v>
      </c>
      <c r="G4142" s="87" t="s">
        <v>967</v>
      </c>
      <c r="H4142" s="87" t="s">
        <v>586</v>
      </c>
      <c r="I4142" s="87">
        <v>54</v>
      </c>
    </row>
    <row r="4143" spans="1:9" ht="15" customHeight="1" x14ac:dyDescent="0.25">
      <c r="A4143" s="87" t="s">
        <v>80</v>
      </c>
      <c r="B4143" s="87" t="s">
        <v>222</v>
      </c>
      <c r="C4143" s="87">
        <v>1988</v>
      </c>
      <c r="D4143" s="87" t="s">
        <v>82</v>
      </c>
      <c r="E4143" s="116">
        <v>220</v>
      </c>
      <c r="F4143" s="87" t="s">
        <v>586</v>
      </c>
      <c r="G4143" s="87" t="s">
        <v>967</v>
      </c>
      <c r="H4143" s="87" t="s">
        <v>586</v>
      </c>
      <c r="I4143" s="87">
        <v>54</v>
      </c>
    </row>
    <row r="4144" spans="1:9" ht="15" customHeight="1" x14ac:dyDescent="0.25">
      <c r="A4144" s="87" t="s">
        <v>80</v>
      </c>
      <c r="B4144" s="87" t="s">
        <v>222</v>
      </c>
      <c r="C4144" s="87">
        <v>1989</v>
      </c>
      <c r="D4144" s="87" t="s">
        <v>82</v>
      </c>
      <c r="E4144" s="116">
        <v>1040</v>
      </c>
      <c r="F4144" s="87" t="s">
        <v>586</v>
      </c>
      <c r="G4144" s="87" t="s">
        <v>967</v>
      </c>
      <c r="H4144" s="87" t="s">
        <v>586</v>
      </c>
      <c r="I4144" s="87">
        <v>54</v>
      </c>
    </row>
    <row r="4145" spans="1:9" ht="15" customHeight="1" x14ac:dyDescent="0.25">
      <c r="A4145" s="87" t="s">
        <v>80</v>
      </c>
      <c r="B4145" s="87" t="s">
        <v>222</v>
      </c>
      <c r="C4145" s="87">
        <v>1990</v>
      </c>
      <c r="D4145" s="87" t="s">
        <v>82</v>
      </c>
      <c r="E4145" s="116">
        <v>350</v>
      </c>
      <c r="F4145" s="87" t="s">
        <v>586</v>
      </c>
      <c r="G4145" s="87" t="s">
        <v>967</v>
      </c>
      <c r="H4145" s="87" t="s">
        <v>586</v>
      </c>
      <c r="I4145" s="87">
        <v>54</v>
      </c>
    </row>
    <row r="4146" spans="1:9" ht="15" customHeight="1" x14ac:dyDescent="0.25">
      <c r="A4146" s="87" t="s">
        <v>80</v>
      </c>
      <c r="B4146" s="87" t="s">
        <v>222</v>
      </c>
      <c r="C4146" s="87">
        <v>1991</v>
      </c>
      <c r="D4146" s="87" t="s">
        <v>82</v>
      </c>
      <c r="E4146" s="116">
        <v>325</v>
      </c>
      <c r="F4146" s="87" t="s">
        <v>586</v>
      </c>
      <c r="G4146" s="87" t="s">
        <v>967</v>
      </c>
      <c r="H4146" s="87" t="s">
        <v>586</v>
      </c>
      <c r="I4146" s="87">
        <v>54</v>
      </c>
    </row>
    <row r="4147" spans="1:9" ht="15" customHeight="1" x14ac:dyDescent="0.25">
      <c r="A4147" s="87" t="s">
        <v>80</v>
      </c>
      <c r="B4147" s="87" t="s">
        <v>222</v>
      </c>
      <c r="C4147" s="87">
        <v>1992</v>
      </c>
      <c r="D4147" s="87" t="s">
        <v>82</v>
      </c>
      <c r="E4147" s="116">
        <v>1332</v>
      </c>
      <c r="F4147" s="87" t="s">
        <v>586</v>
      </c>
      <c r="G4147" s="87" t="s">
        <v>967</v>
      </c>
      <c r="H4147" s="87" t="s">
        <v>586</v>
      </c>
      <c r="I4147" s="87">
        <v>54</v>
      </c>
    </row>
    <row r="4148" spans="1:9" ht="15" customHeight="1" x14ac:dyDescent="0.25">
      <c r="A4148" s="87" t="s">
        <v>80</v>
      </c>
      <c r="B4148" s="87" t="s">
        <v>222</v>
      </c>
      <c r="C4148" s="87">
        <v>1993</v>
      </c>
      <c r="D4148" s="87" t="s">
        <v>82</v>
      </c>
      <c r="E4148" s="116">
        <v>1500</v>
      </c>
      <c r="F4148" s="87" t="s">
        <v>586</v>
      </c>
      <c r="G4148" s="87" t="s">
        <v>967</v>
      </c>
      <c r="H4148" s="87" t="s">
        <v>586</v>
      </c>
      <c r="I4148" s="87">
        <v>54</v>
      </c>
    </row>
    <row r="4149" spans="1:9" ht="15" customHeight="1" x14ac:dyDescent="0.25">
      <c r="A4149" s="87" t="s">
        <v>80</v>
      </c>
      <c r="B4149" s="87" t="s">
        <v>222</v>
      </c>
      <c r="C4149" s="87">
        <v>1994</v>
      </c>
      <c r="D4149" s="87" t="s">
        <v>82</v>
      </c>
      <c r="E4149" s="116">
        <v>275</v>
      </c>
      <c r="F4149" s="87" t="s">
        <v>586</v>
      </c>
      <c r="G4149" s="87" t="s">
        <v>967</v>
      </c>
      <c r="H4149" s="87" t="s">
        <v>586</v>
      </c>
      <c r="I4149" s="87">
        <v>54</v>
      </c>
    </row>
    <row r="4150" spans="1:9" ht="15" customHeight="1" x14ac:dyDescent="0.25">
      <c r="A4150" s="87" t="s">
        <v>80</v>
      </c>
      <c r="B4150" s="87" t="s">
        <v>222</v>
      </c>
      <c r="C4150" s="87">
        <v>1995</v>
      </c>
      <c r="D4150" s="87" t="s">
        <v>82</v>
      </c>
      <c r="E4150" s="116">
        <v>1050</v>
      </c>
      <c r="F4150" s="87" t="s">
        <v>586</v>
      </c>
      <c r="G4150" s="87" t="s">
        <v>967</v>
      </c>
      <c r="H4150" s="87" t="s">
        <v>586</v>
      </c>
      <c r="I4150" s="87">
        <v>54</v>
      </c>
    </row>
    <row r="4151" spans="1:9" ht="15" customHeight="1" x14ac:dyDescent="0.25">
      <c r="A4151" s="87" t="s">
        <v>80</v>
      </c>
      <c r="B4151" s="87" t="s">
        <v>222</v>
      </c>
      <c r="C4151" s="87">
        <v>1996</v>
      </c>
      <c r="D4151" s="87" t="s">
        <v>82</v>
      </c>
      <c r="E4151" s="116">
        <v>1500</v>
      </c>
      <c r="F4151" s="87" t="s">
        <v>586</v>
      </c>
      <c r="G4151" s="87" t="s">
        <v>967</v>
      </c>
      <c r="H4151" s="87" t="s">
        <v>586</v>
      </c>
      <c r="I4151" s="87">
        <v>54</v>
      </c>
    </row>
    <row r="4152" spans="1:9" ht="15" customHeight="1" x14ac:dyDescent="0.25">
      <c r="A4152" s="87" t="s">
        <v>80</v>
      </c>
      <c r="B4152" s="87" t="s">
        <v>222</v>
      </c>
      <c r="C4152" s="87">
        <v>1997</v>
      </c>
      <c r="D4152" s="87" t="s">
        <v>82</v>
      </c>
      <c r="E4152" s="116">
        <v>400</v>
      </c>
      <c r="F4152" s="87" t="s">
        <v>586</v>
      </c>
      <c r="G4152" s="87" t="s">
        <v>967</v>
      </c>
      <c r="H4152" s="87" t="s">
        <v>586</v>
      </c>
      <c r="I4152" s="87">
        <v>54</v>
      </c>
    </row>
    <row r="4153" spans="1:9" ht="15" customHeight="1" x14ac:dyDescent="0.25">
      <c r="A4153" s="87" t="s">
        <v>80</v>
      </c>
      <c r="B4153" s="87" t="s">
        <v>222</v>
      </c>
      <c r="C4153" s="87">
        <v>1998</v>
      </c>
      <c r="D4153" s="87" t="s">
        <v>82</v>
      </c>
      <c r="E4153" s="116">
        <v>300</v>
      </c>
      <c r="F4153" s="87" t="s">
        <v>967</v>
      </c>
      <c r="G4153" s="87" t="s">
        <v>272</v>
      </c>
      <c r="H4153" s="87" t="s">
        <v>595</v>
      </c>
      <c r="I4153" s="87">
        <v>54</v>
      </c>
    </row>
    <row r="4154" spans="1:9" ht="15" customHeight="1" x14ac:dyDescent="0.25">
      <c r="A4154" s="87" t="s">
        <v>80</v>
      </c>
      <c r="B4154" s="87" t="s">
        <v>222</v>
      </c>
      <c r="C4154" s="87">
        <v>1999</v>
      </c>
      <c r="D4154" s="87" t="s">
        <v>82</v>
      </c>
      <c r="E4154" s="116">
        <v>208</v>
      </c>
      <c r="F4154" s="87" t="s">
        <v>596</v>
      </c>
      <c r="G4154" s="87" t="s">
        <v>272</v>
      </c>
      <c r="H4154" s="87" t="s">
        <v>967</v>
      </c>
      <c r="I4154" s="87">
        <v>54</v>
      </c>
    </row>
    <row r="4155" spans="1:9" ht="15" customHeight="1" x14ac:dyDescent="0.25">
      <c r="A4155" s="87" t="s">
        <v>80</v>
      </c>
      <c r="B4155" s="87" t="s">
        <v>222</v>
      </c>
      <c r="C4155" s="87">
        <v>2000</v>
      </c>
      <c r="D4155" s="87" t="s">
        <v>82</v>
      </c>
      <c r="E4155" s="116">
        <v>497</v>
      </c>
      <c r="F4155" s="87" t="s">
        <v>967</v>
      </c>
      <c r="G4155" s="87" t="s">
        <v>272</v>
      </c>
      <c r="H4155" s="87" t="s">
        <v>597</v>
      </c>
      <c r="I4155" s="87">
        <v>54</v>
      </c>
    </row>
    <row r="4156" spans="1:9" ht="15" customHeight="1" x14ac:dyDescent="0.25">
      <c r="A4156" s="87" t="s">
        <v>80</v>
      </c>
      <c r="B4156" s="87" t="s">
        <v>222</v>
      </c>
      <c r="C4156" s="87">
        <v>2001</v>
      </c>
      <c r="D4156" s="87" t="s">
        <v>82</v>
      </c>
      <c r="E4156" s="116">
        <v>781</v>
      </c>
      <c r="F4156" s="87" t="s">
        <v>967</v>
      </c>
      <c r="G4156" s="87" t="s">
        <v>272</v>
      </c>
      <c r="H4156" s="87" t="s">
        <v>597</v>
      </c>
      <c r="I4156" s="87">
        <v>54</v>
      </c>
    </row>
    <row r="4157" spans="1:9" ht="15" customHeight="1" x14ac:dyDescent="0.25">
      <c r="A4157" s="87" t="s">
        <v>80</v>
      </c>
      <c r="B4157" s="87" t="s">
        <v>222</v>
      </c>
      <c r="C4157" s="87">
        <v>2002</v>
      </c>
      <c r="D4157" s="87" t="s">
        <v>82</v>
      </c>
      <c r="E4157" s="116">
        <v>1343</v>
      </c>
      <c r="F4157" s="87" t="s">
        <v>967</v>
      </c>
      <c r="G4157" s="87" t="s">
        <v>272</v>
      </c>
      <c r="H4157" s="87" t="s">
        <v>598</v>
      </c>
      <c r="I4157" s="87">
        <v>54</v>
      </c>
    </row>
    <row r="4158" spans="1:9" ht="15" customHeight="1" x14ac:dyDescent="0.25">
      <c r="A4158" s="87" t="s">
        <v>80</v>
      </c>
      <c r="B4158" s="87" t="s">
        <v>222</v>
      </c>
      <c r="C4158" s="87">
        <v>2003</v>
      </c>
      <c r="D4158" s="87" t="s">
        <v>82</v>
      </c>
      <c r="E4158" s="116">
        <v>1195</v>
      </c>
      <c r="F4158" s="87" t="s">
        <v>967</v>
      </c>
      <c r="G4158" s="87" t="s">
        <v>272</v>
      </c>
      <c r="H4158" s="87" t="s">
        <v>967</v>
      </c>
      <c r="I4158" s="87">
        <v>54</v>
      </c>
    </row>
    <row r="4159" spans="1:9" ht="15" customHeight="1" x14ac:dyDescent="0.25">
      <c r="A4159" s="87" t="s">
        <v>80</v>
      </c>
      <c r="B4159" s="87" t="s">
        <v>222</v>
      </c>
      <c r="C4159" s="87">
        <v>2004</v>
      </c>
      <c r="D4159" s="87" t="s">
        <v>82</v>
      </c>
      <c r="E4159" s="116">
        <v>1018</v>
      </c>
      <c r="F4159" s="87" t="s">
        <v>967</v>
      </c>
      <c r="G4159" s="87" t="s">
        <v>272</v>
      </c>
      <c r="H4159" s="87" t="s">
        <v>967</v>
      </c>
      <c r="I4159" s="87">
        <v>54</v>
      </c>
    </row>
    <row r="4160" spans="1:9" ht="15" customHeight="1" x14ac:dyDescent="0.25">
      <c r="A4160" s="87" t="s">
        <v>80</v>
      </c>
      <c r="B4160" s="87" t="s">
        <v>222</v>
      </c>
      <c r="C4160" s="87">
        <v>2005</v>
      </c>
      <c r="D4160" s="87" t="s">
        <v>82</v>
      </c>
      <c r="E4160" s="116">
        <v>97</v>
      </c>
      <c r="F4160" s="87" t="s">
        <v>599</v>
      </c>
      <c r="G4160" s="87" t="s">
        <v>272</v>
      </c>
      <c r="H4160" s="87" t="s">
        <v>967</v>
      </c>
      <c r="I4160" s="87">
        <v>54</v>
      </c>
    </row>
    <row r="4161" spans="1:9" ht="15" customHeight="1" x14ac:dyDescent="0.25">
      <c r="A4161" s="87" t="s">
        <v>80</v>
      </c>
      <c r="B4161" s="87" t="s">
        <v>222</v>
      </c>
      <c r="C4161" s="87">
        <v>2006</v>
      </c>
      <c r="D4161" s="87" t="s">
        <v>82</v>
      </c>
      <c r="E4161" s="116">
        <v>478</v>
      </c>
      <c r="F4161" s="87" t="s">
        <v>967</v>
      </c>
      <c r="G4161" s="87" t="s">
        <v>272</v>
      </c>
      <c r="H4161" s="87" t="s">
        <v>967</v>
      </c>
      <c r="I4161" s="87">
        <v>54</v>
      </c>
    </row>
    <row r="4162" spans="1:9" ht="15" customHeight="1" x14ac:dyDescent="0.25">
      <c r="A4162" s="87" t="s">
        <v>80</v>
      </c>
      <c r="B4162" s="87" t="s">
        <v>222</v>
      </c>
      <c r="C4162" s="87">
        <v>2007</v>
      </c>
      <c r="D4162" s="87" t="s">
        <v>82</v>
      </c>
      <c r="E4162" s="116">
        <v>54</v>
      </c>
      <c r="F4162" s="87" t="s">
        <v>967</v>
      </c>
      <c r="G4162" s="87" t="s">
        <v>272</v>
      </c>
      <c r="H4162" s="87" t="s">
        <v>967</v>
      </c>
      <c r="I4162" s="87">
        <v>54</v>
      </c>
    </row>
    <row r="4163" spans="1:9" ht="15" customHeight="1" x14ac:dyDescent="0.25">
      <c r="A4163" s="87" t="s">
        <v>80</v>
      </c>
      <c r="B4163" s="87" t="s">
        <v>222</v>
      </c>
      <c r="C4163" s="87">
        <v>2008</v>
      </c>
      <c r="D4163" s="87" t="s">
        <v>82</v>
      </c>
      <c r="E4163" s="116">
        <v>365</v>
      </c>
      <c r="F4163" s="87" t="s">
        <v>967</v>
      </c>
      <c r="G4163" s="87" t="s">
        <v>272</v>
      </c>
      <c r="H4163" s="87" t="s">
        <v>967</v>
      </c>
      <c r="I4163" s="87">
        <v>54</v>
      </c>
    </row>
    <row r="4164" spans="1:9" ht="15" customHeight="1" x14ac:dyDescent="0.25">
      <c r="A4164" s="87" t="s">
        <v>80</v>
      </c>
      <c r="B4164" s="87" t="s">
        <v>222</v>
      </c>
      <c r="C4164" s="87">
        <v>2009</v>
      </c>
      <c r="D4164" s="87" t="s">
        <v>82</v>
      </c>
      <c r="E4164" s="116">
        <v>15</v>
      </c>
      <c r="F4164" s="87" t="s">
        <v>601</v>
      </c>
      <c r="G4164" s="87" t="s">
        <v>272</v>
      </c>
      <c r="H4164" s="87" t="s">
        <v>600</v>
      </c>
      <c r="I4164" s="87">
        <v>54</v>
      </c>
    </row>
    <row r="4165" spans="1:9" ht="15" customHeight="1" x14ac:dyDescent="0.25">
      <c r="A4165" s="87" t="s">
        <v>80</v>
      </c>
      <c r="B4165" s="87" t="s">
        <v>222</v>
      </c>
      <c r="C4165" s="87">
        <v>2010</v>
      </c>
      <c r="D4165" s="87" t="s">
        <v>82</v>
      </c>
      <c r="E4165" s="116">
        <v>255</v>
      </c>
      <c r="F4165" s="87" t="s">
        <v>967</v>
      </c>
      <c r="G4165" s="87" t="s">
        <v>272</v>
      </c>
      <c r="H4165" s="87" t="s">
        <v>967</v>
      </c>
      <c r="I4165" s="87">
        <v>54</v>
      </c>
    </row>
    <row r="4166" spans="1:9" ht="15" customHeight="1" x14ac:dyDescent="0.25">
      <c r="A4166" s="87" t="s">
        <v>80</v>
      </c>
      <c r="B4166" s="87" t="s">
        <v>222</v>
      </c>
      <c r="C4166" s="87">
        <v>2011</v>
      </c>
      <c r="D4166" s="87" t="s">
        <v>82</v>
      </c>
      <c r="E4166" s="116">
        <v>182</v>
      </c>
      <c r="F4166" s="87" t="s">
        <v>967</v>
      </c>
      <c r="G4166" s="87" t="s">
        <v>272</v>
      </c>
      <c r="H4166" s="87" t="s">
        <v>967</v>
      </c>
      <c r="I4166" s="87">
        <v>54</v>
      </c>
    </row>
    <row r="4167" spans="1:9" ht="15" customHeight="1" x14ac:dyDescent="0.25">
      <c r="A4167" s="87" t="s">
        <v>80</v>
      </c>
      <c r="B4167" s="87" t="s">
        <v>222</v>
      </c>
      <c r="C4167" s="87">
        <v>2012</v>
      </c>
      <c r="D4167" s="87" t="s">
        <v>82</v>
      </c>
      <c r="E4167" s="116">
        <v>795</v>
      </c>
      <c r="F4167" s="87" t="s">
        <v>967</v>
      </c>
      <c r="G4167" s="87" t="s">
        <v>272</v>
      </c>
      <c r="H4167" s="87" t="s">
        <v>967</v>
      </c>
      <c r="I4167" s="87">
        <v>54</v>
      </c>
    </row>
    <row r="4168" spans="1:9" ht="15" customHeight="1" x14ac:dyDescent="0.25">
      <c r="A4168" s="87" t="s">
        <v>80</v>
      </c>
      <c r="B4168" s="87" t="s">
        <v>222</v>
      </c>
      <c r="C4168" s="87">
        <v>2013</v>
      </c>
      <c r="D4168" s="87" t="s">
        <v>82</v>
      </c>
      <c r="E4168" s="116">
        <v>152</v>
      </c>
      <c r="F4168" s="87" t="s">
        <v>967</v>
      </c>
      <c r="G4168" s="87" t="s">
        <v>272</v>
      </c>
      <c r="H4168" s="87" t="s">
        <v>967</v>
      </c>
      <c r="I4168" s="87">
        <v>54</v>
      </c>
    </row>
    <row r="4169" spans="1:9" ht="15" customHeight="1" x14ac:dyDescent="0.25">
      <c r="A4169" s="87" t="s">
        <v>80</v>
      </c>
      <c r="B4169" s="87" t="s">
        <v>222</v>
      </c>
      <c r="C4169" s="87">
        <v>2014</v>
      </c>
      <c r="D4169" s="87" t="s">
        <v>82</v>
      </c>
      <c r="E4169" s="116">
        <v>1145</v>
      </c>
      <c r="F4169" s="87" t="s">
        <v>967</v>
      </c>
      <c r="G4169" s="87" t="s">
        <v>272</v>
      </c>
      <c r="H4169" s="87" t="s">
        <v>967</v>
      </c>
      <c r="I4169" s="87">
        <v>54</v>
      </c>
    </row>
    <row r="4170" spans="1:9" ht="15" customHeight="1" x14ac:dyDescent="0.25">
      <c r="A4170" s="87" t="s">
        <v>80</v>
      </c>
      <c r="B4170" s="87" t="s">
        <v>222</v>
      </c>
      <c r="C4170" s="87">
        <v>2015</v>
      </c>
      <c r="D4170" s="87" t="s">
        <v>82</v>
      </c>
      <c r="E4170" s="116">
        <v>85</v>
      </c>
      <c r="F4170" s="87" t="s">
        <v>967</v>
      </c>
      <c r="G4170" s="87" t="s">
        <v>272</v>
      </c>
      <c r="H4170" s="87" t="s">
        <v>602</v>
      </c>
      <c r="I4170" s="87">
        <v>54</v>
      </c>
    </row>
    <row r="4171" spans="1:9" ht="15" customHeight="1" x14ac:dyDescent="0.25">
      <c r="A4171" s="87" t="s">
        <v>80</v>
      </c>
      <c r="B4171" s="87" t="s">
        <v>222</v>
      </c>
      <c r="C4171" s="87">
        <v>2016</v>
      </c>
      <c r="D4171" s="87" t="s">
        <v>82</v>
      </c>
      <c r="E4171" s="116">
        <v>463</v>
      </c>
      <c r="F4171" s="87" t="s">
        <v>967</v>
      </c>
      <c r="G4171" s="87" t="s">
        <v>272</v>
      </c>
      <c r="H4171" s="87" t="s">
        <v>603</v>
      </c>
      <c r="I4171" s="87">
        <v>54</v>
      </c>
    </row>
    <row r="4172" spans="1:9" ht="15" customHeight="1" x14ac:dyDescent="0.25">
      <c r="A4172" s="87" t="s">
        <v>80</v>
      </c>
      <c r="B4172" s="87" t="s">
        <v>222</v>
      </c>
      <c r="C4172" s="87">
        <v>2017</v>
      </c>
      <c r="D4172" s="87" t="s">
        <v>82</v>
      </c>
      <c r="E4172" s="116">
        <v>74</v>
      </c>
      <c r="F4172" s="87" t="s">
        <v>967</v>
      </c>
      <c r="G4172" s="87" t="s">
        <v>272</v>
      </c>
      <c r="H4172" s="87" t="s">
        <v>967</v>
      </c>
      <c r="I4172" s="87">
        <v>54</v>
      </c>
    </row>
    <row r="4173" spans="1:9" ht="15" customHeight="1" x14ac:dyDescent="0.25">
      <c r="A4173" s="87" t="s">
        <v>80</v>
      </c>
      <c r="B4173" s="87" t="s">
        <v>222</v>
      </c>
      <c r="C4173" s="87">
        <v>2018</v>
      </c>
      <c r="D4173" s="87" t="s">
        <v>82</v>
      </c>
      <c r="E4173" s="116">
        <v>97</v>
      </c>
      <c r="F4173" s="87" t="s">
        <v>967</v>
      </c>
      <c r="G4173" s="87" t="s">
        <v>272</v>
      </c>
      <c r="H4173" s="87" t="s">
        <v>967</v>
      </c>
      <c r="I4173" s="87">
        <v>54</v>
      </c>
    </row>
    <row r="4174" spans="1:9" ht="15" customHeight="1" x14ac:dyDescent="0.25">
      <c r="A4174" s="87" t="s">
        <v>80</v>
      </c>
      <c r="B4174" s="87" t="s">
        <v>222</v>
      </c>
      <c r="C4174" s="87">
        <v>2019</v>
      </c>
      <c r="D4174" s="87" t="s">
        <v>82</v>
      </c>
      <c r="E4174" s="116">
        <v>255</v>
      </c>
      <c r="F4174" s="87" t="s">
        <v>967</v>
      </c>
      <c r="G4174" s="87" t="s">
        <v>272</v>
      </c>
      <c r="H4174" s="87" t="s">
        <v>1001</v>
      </c>
      <c r="I4174" s="87">
        <v>54</v>
      </c>
    </row>
    <row r="4175" spans="1:9" ht="15" customHeight="1" x14ac:dyDescent="0.25">
      <c r="A4175" s="87" t="s">
        <v>80</v>
      </c>
      <c r="B4175" s="87" t="s">
        <v>222</v>
      </c>
      <c r="C4175" s="87">
        <v>2020</v>
      </c>
      <c r="D4175" s="87" t="s">
        <v>82</v>
      </c>
      <c r="E4175" s="116">
        <v>311</v>
      </c>
      <c r="F4175" s="87" t="s">
        <v>967</v>
      </c>
      <c r="G4175" s="87" t="s">
        <v>272</v>
      </c>
      <c r="H4175" s="87" t="s">
        <v>967</v>
      </c>
      <c r="I4175" s="87">
        <v>54</v>
      </c>
    </row>
    <row r="4176" spans="1:9" ht="15" customHeight="1" x14ac:dyDescent="0.25">
      <c r="A4176" s="87" t="s">
        <v>80</v>
      </c>
      <c r="B4176" s="87" t="s">
        <v>222</v>
      </c>
      <c r="C4176" s="87">
        <v>2021</v>
      </c>
      <c r="D4176" s="87" t="s">
        <v>82</v>
      </c>
      <c r="E4176" s="116">
        <v>83</v>
      </c>
      <c r="F4176" s="87" t="s">
        <v>967</v>
      </c>
      <c r="G4176" s="87" t="s">
        <v>272</v>
      </c>
      <c r="H4176" s="87" t="s">
        <v>967</v>
      </c>
      <c r="I4176" s="87">
        <v>54</v>
      </c>
    </row>
    <row r="4177" spans="1:9" ht="15" customHeight="1" x14ac:dyDescent="0.25">
      <c r="A4177" s="87" t="s">
        <v>80</v>
      </c>
      <c r="B4177" s="87" t="s">
        <v>222</v>
      </c>
      <c r="C4177" s="87">
        <v>2022</v>
      </c>
      <c r="D4177" s="87" t="s">
        <v>82</v>
      </c>
      <c r="E4177" s="116">
        <v>348</v>
      </c>
      <c r="F4177" s="87" t="s">
        <v>967</v>
      </c>
      <c r="G4177" s="87" t="s">
        <v>272</v>
      </c>
      <c r="H4177" s="87" t="s">
        <v>967</v>
      </c>
      <c r="I4177" s="87">
        <v>54</v>
      </c>
    </row>
    <row r="4178" spans="1:9" ht="15" customHeight="1" x14ac:dyDescent="0.25">
      <c r="A4178" s="87" t="s">
        <v>80</v>
      </c>
      <c r="B4178" s="87" t="s">
        <v>224</v>
      </c>
      <c r="C4178" s="87">
        <v>1975</v>
      </c>
      <c r="D4178" s="87" t="s">
        <v>82</v>
      </c>
      <c r="E4178" s="116">
        <v>250</v>
      </c>
      <c r="F4178" s="87" t="s">
        <v>967</v>
      </c>
      <c r="G4178" s="87" t="s">
        <v>967</v>
      </c>
      <c r="H4178" s="87" t="s">
        <v>967</v>
      </c>
      <c r="I4178" s="87">
        <v>52</v>
      </c>
    </row>
    <row r="4179" spans="1:9" ht="15" customHeight="1" x14ac:dyDescent="0.25">
      <c r="A4179" s="87" t="s">
        <v>80</v>
      </c>
      <c r="B4179" s="87" t="s">
        <v>224</v>
      </c>
      <c r="C4179" s="87">
        <v>1976</v>
      </c>
      <c r="D4179" s="87" t="s">
        <v>82</v>
      </c>
      <c r="E4179" s="116">
        <v>200</v>
      </c>
      <c r="F4179" s="87" t="s">
        <v>609</v>
      </c>
      <c r="G4179" s="87" t="s">
        <v>967</v>
      </c>
      <c r="H4179" s="87" t="s">
        <v>609</v>
      </c>
      <c r="I4179" s="87">
        <v>52</v>
      </c>
    </row>
    <row r="4180" spans="1:9" ht="15" customHeight="1" x14ac:dyDescent="0.25">
      <c r="A4180" s="87" t="s">
        <v>80</v>
      </c>
      <c r="B4180" s="87" t="s">
        <v>224</v>
      </c>
      <c r="C4180" s="87">
        <v>1977</v>
      </c>
      <c r="D4180" s="87" t="s">
        <v>82</v>
      </c>
      <c r="E4180" s="116">
        <v>150</v>
      </c>
      <c r="F4180" s="87" t="s">
        <v>609</v>
      </c>
      <c r="G4180" s="87" t="s">
        <v>967</v>
      </c>
      <c r="H4180" s="87" t="s">
        <v>609</v>
      </c>
      <c r="I4180" s="87">
        <v>52</v>
      </c>
    </row>
    <row r="4181" spans="1:9" ht="15" customHeight="1" x14ac:dyDescent="0.25">
      <c r="A4181" s="87" t="s">
        <v>80</v>
      </c>
      <c r="B4181" s="87" t="s">
        <v>224</v>
      </c>
      <c r="C4181" s="87">
        <v>1978</v>
      </c>
      <c r="D4181" s="87" t="s">
        <v>82</v>
      </c>
      <c r="E4181" s="116">
        <v>280</v>
      </c>
      <c r="F4181" s="87" t="s">
        <v>609</v>
      </c>
      <c r="G4181" s="87" t="s">
        <v>967</v>
      </c>
      <c r="H4181" s="87" t="s">
        <v>609</v>
      </c>
      <c r="I4181" s="87">
        <v>52</v>
      </c>
    </row>
    <row r="4182" spans="1:9" ht="15" customHeight="1" x14ac:dyDescent="0.25">
      <c r="A4182" s="87" t="s">
        <v>80</v>
      </c>
      <c r="B4182" s="87" t="s">
        <v>224</v>
      </c>
      <c r="C4182" s="87">
        <v>1979</v>
      </c>
      <c r="D4182" s="87" t="s">
        <v>82</v>
      </c>
      <c r="E4182" s="116">
        <v>50</v>
      </c>
      <c r="F4182" s="87" t="s">
        <v>967</v>
      </c>
      <c r="G4182" s="87" t="s">
        <v>967</v>
      </c>
      <c r="H4182" s="87" t="s">
        <v>967</v>
      </c>
      <c r="I4182" s="87">
        <v>52</v>
      </c>
    </row>
    <row r="4183" spans="1:9" ht="15" customHeight="1" x14ac:dyDescent="0.25">
      <c r="A4183" s="87" t="s">
        <v>80</v>
      </c>
      <c r="B4183" s="87" t="s">
        <v>224</v>
      </c>
      <c r="C4183" s="87">
        <v>1980</v>
      </c>
      <c r="D4183" s="87" t="s">
        <v>82</v>
      </c>
      <c r="E4183" s="116">
        <v>250</v>
      </c>
      <c r="F4183" s="87" t="s">
        <v>967</v>
      </c>
      <c r="G4183" s="87" t="s">
        <v>967</v>
      </c>
      <c r="H4183" s="87" t="s">
        <v>967</v>
      </c>
      <c r="I4183" s="87">
        <v>52</v>
      </c>
    </row>
    <row r="4184" spans="1:9" ht="15" customHeight="1" x14ac:dyDescent="0.25">
      <c r="A4184" s="87" t="s">
        <v>80</v>
      </c>
      <c r="B4184" s="87" t="s">
        <v>224</v>
      </c>
      <c r="C4184" s="87">
        <v>1981</v>
      </c>
      <c r="D4184" s="87" t="s">
        <v>82</v>
      </c>
      <c r="E4184" s="116">
        <v>25</v>
      </c>
      <c r="F4184" s="87" t="s">
        <v>967</v>
      </c>
      <c r="G4184" s="87" t="s">
        <v>967</v>
      </c>
      <c r="H4184" s="87" t="s">
        <v>967</v>
      </c>
      <c r="I4184" s="87">
        <v>52</v>
      </c>
    </row>
    <row r="4185" spans="1:9" ht="15" customHeight="1" x14ac:dyDescent="0.25">
      <c r="A4185" s="87" t="s">
        <v>80</v>
      </c>
      <c r="B4185" s="87" t="s">
        <v>224</v>
      </c>
      <c r="C4185" s="87">
        <v>1982</v>
      </c>
      <c r="D4185" s="87" t="s">
        <v>82</v>
      </c>
      <c r="E4185" s="116">
        <v>600</v>
      </c>
      <c r="F4185" s="87" t="s">
        <v>967</v>
      </c>
      <c r="G4185" s="87" t="s">
        <v>967</v>
      </c>
      <c r="H4185" s="87" t="s">
        <v>967</v>
      </c>
      <c r="I4185" s="87">
        <v>52</v>
      </c>
    </row>
    <row r="4186" spans="1:9" ht="15" customHeight="1" x14ac:dyDescent="0.25">
      <c r="A4186" s="87" t="s">
        <v>80</v>
      </c>
      <c r="B4186" s="87" t="s">
        <v>224</v>
      </c>
      <c r="C4186" s="87">
        <v>1983</v>
      </c>
      <c r="D4186" s="87" t="s">
        <v>82</v>
      </c>
      <c r="E4186" s="116">
        <v>162</v>
      </c>
      <c r="F4186" s="87" t="s">
        <v>610</v>
      </c>
      <c r="G4186" s="87" t="s">
        <v>967</v>
      </c>
      <c r="H4186" s="87" t="s">
        <v>610</v>
      </c>
      <c r="I4186" s="87">
        <v>52</v>
      </c>
    </row>
    <row r="4187" spans="1:9" ht="15" customHeight="1" x14ac:dyDescent="0.25">
      <c r="A4187" s="87" t="s">
        <v>80</v>
      </c>
      <c r="B4187" s="87" t="s">
        <v>224</v>
      </c>
      <c r="C4187" s="87">
        <v>1984</v>
      </c>
      <c r="D4187" s="87" t="s">
        <v>82</v>
      </c>
      <c r="E4187" s="116">
        <v>1626</v>
      </c>
      <c r="F4187" s="87" t="s">
        <v>611</v>
      </c>
      <c r="G4187" s="87" t="s">
        <v>967</v>
      </c>
      <c r="H4187" s="87" t="s">
        <v>611</v>
      </c>
      <c r="I4187" s="87">
        <v>52</v>
      </c>
    </row>
    <row r="4188" spans="1:9" ht="15" customHeight="1" x14ac:dyDescent="0.25">
      <c r="A4188" s="87" t="s">
        <v>80</v>
      </c>
      <c r="B4188" s="87" t="s">
        <v>224</v>
      </c>
      <c r="C4188" s="87">
        <v>1985</v>
      </c>
      <c r="D4188" s="87" t="s">
        <v>82</v>
      </c>
      <c r="E4188" s="116">
        <v>1501</v>
      </c>
      <c r="F4188" s="87" t="s">
        <v>967</v>
      </c>
      <c r="G4188" s="87" t="s">
        <v>317</v>
      </c>
      <c r="H4188" s="87" t="s">
        <v>612</v>
      </c>
      <c r="I4188" s="87">
        <v>52</v>
      </c>
    </row>
    <row r="4189" spans="1:9" ht="15" customHeight="1" x14ac:dyDescent="0.25">
      <c r="A4189" s="87" t="s">
        <v>80</v>
      </c>
      <c r="B4189" s="87" t="s">
        <v>224</v>
      </c>
      <c r="C4189" s="87">
        <v>1986</v>
      </c>
      <c r="D4189" s="87" t="s">
        <v>82</v>
      </c>
      <c r="E4189" s="116">
        <v>942</v>
      </c>
      <c r="F4189" s="87" t="s">
        <v>967</v>
      </c>
      <c r="G4189" s="87" t="s">
        <v>317</v>
      </c>
      <c r="H4189" s="87" t="s">
        <v>612</v>
      </c>
      <c r="I4189" s="87">
        <v>52</v>
      </c>
    </row>
    <row r="4190" spans="1:9" ht="15" customHeight="1" x14ac:dyDescent="0.25">
      <c r="A4190" s="87" t="s">
        <v>80</v>
      </c>
      <c r="B4190" s="87" t="s">
        <v>224</v>
      </c>
      <c r="C4190" s="87">
        <v>1987</v>
      </c>
      <c r="D4190" s="87" t="s">
        <v>82</v>
      </c>
      <c r="E4190" s="116">
        <v>541</v>
      </c>
      <c r="F4190" s="87" t="s">
        <v>967</v>
      </c>
      <c r="G4190" s="87" t="s">
        <v>317</v>
      </c>
      <c r="H4190" s="87" t="s">
        <v>612</v>
      </c>
      <c r="I4190" s="87">
        <v>52</v>
      </c>
    </row>
    <row r="4191" spans="1:9" ht="15" customHeight="1" x14ac:dyDescent="0.25">
      <c r="A4191" s="87" t="s">
        <v>80</v>
      </c>
      <c r="B4191" s="87" t="s">
        <v>224</v>
      </c>
      <c r="C4191" s="87">
        <v>1988</v>
      </c>
      <c r="D4191" s="87" t="s">
        <v>82</v>
      </c>
      <c r="E4191" s="116">
        <v>1111</v>
      </c>
      <c r="F4191" s="87" t="s">
        <v>967</v>
      </c>
      <c r="G4191" s="87" t="s">
        <v>317</v>
      </c>
      <c r="H4191" s="87" t="s">
        <v>612</v>
      </c>
      <c r="I4191" s="87">
        <v>52</v>
      </c>
    </row>
    <row r="4192" spans="1:9" ht="15" customHeight="1" x14ac:dyDescent="0.25">
      <c r="A4192" s="87" t="s">
        <v>80</v>
      </c>
      <c r="B4192" s="87" t="s">
        <v>224</v>
      </c>
      <c r="C4192" s="87">
        <v>1989</v>
      </c>
      <c r="D4192" s="87" t="s">
        <v>82</v>
      </c>
      <c r="E4192" s="116">
        <v>591</v>
      </c>
      <c r="F4192" s="87" t="s">
        <v>967</v>
      </c>
      <c r="G4192" s="87" t="s">
        <v>317</v>
      </c>
      <c r="H4192" s="87" t="s">
        <v>612</v>
      </c>
      <c r="I4192" s="87">
        <v>52</v>
      </c>
    </row>
    <row r="4193" spans="1:9" ht="15" customHeight="1" x14ac:dyDescent="0.25">
      <c r="A4193" s="87" t="s">
        <v>80</v>
      </c>
      <c r="B4193" s="87" t="s">
        <v>224</v>
      </c>
      <c r="C4193" s="87">
        <v>1990</v>
      </c>
      <c r="D4193" s="87" t="s">
        <v>82</v>
      </c>
      <c r="E4193" s="116">
        <v>454</v>
      </c>
      <c r="F4193" s="87" t="s">
        <v>967</v>
      </c>
      <c r="G4193" s="87" t="s">
        <v>317</v>
      </c>
      <c r="H4193" s="87" t="s">
        <v>612</v>
      </c>
      <c r="I4193" s="87">
        <v>52</v>
      </c>
    </row>
    <row r="4194" spans="1:9" ht="15" customHeight="1" x14ac:dyDescent="0.25">
      <c r="A4194" s="87" t="s">
        <v>80</v>
      </c>
      <c r="B4194" s="87" t="s">
        <v>224</v>
      </c>
      <c r="C4194" s="87">
        <v>1991</v>
      </c>
      <c r="D4194" s="87" t="s">
        <v>82</v>
      </c>
      <c r="E4194" s="116">
        <v>522</v>
      </c>
      <c r="F4194" s="87" t="s">
        <v>967</v>
      </c>
      <c r="G4194" s="87" t="s">
        <v>317</v>
      </c>
      <c r="H4194" s="87" t="s">
        <v>612</v>
      </c>
      <c r="I4194" s="87">
        <v>52</v>
      </c>
    </row>
    <row r="4195" spans="1:9" ht="15" customHeight="1" x14ac:dyDescent="0.25">
      <c r="A4195" s="87" t="s">
        <v>80</v>
      </c>
      <c r="B4195" s="87" t="s">
        <v>224</v>
      </c>
      <c r="C4195" s="87">
        <v>1992</v>
      </c>
      <c r="D4195" s="87" t="s">
        <v>82</v>
      </c>
      <c r="E4195" s="116">
        <v>278</v>
      </c>
      <c r="F4195" s="87" t="s">
        <v>967</v>
      </c>
      <c r="G4195" s="87" t="s">
        <v>317</v>
      </c>
      <c r="H4195" s="87" t="s">
        <v>612</v>
      </c>
      <c r="I4195" s="87">
        <v>52</v>
      </c>
    </row>
    <row r="4196" spans="1:9" ht="15" customHeight="1" x14ac:dyDescent="0.25">
      <c r="A4196" s="87" t="s">
        <v>80</v>
      </c>
      <c r="B4196" s="87" t="s">
        <v>224</v>
      </c>
      <c r="C4196" s="87">
        <v>1993</v>
      </c>
      <c r="D4196" s="87" t="s">
        <v>82</v>
      </c>
      <c r="E4196" s="116">
        <v>1614</v>
      </c>
      <c r="F4196" s="87" t="s">
        <v>967</v>
      </c>
      <c r="G4196" s="87" t="s">
        <v>317</v>
      </c>
      <c r="H4196" s="87" t="s">
        <v>612</v>
      </c>
      <c r="I4196" s="87">
        <v>52</v>
      </c>
    </row>
    <row r="4197" spans="1:9" ht="15" customHeight="1" x14ac:dyDescent="0.25">
      <c r="A4197" s="87" t="s">
        <v>80</v>
      </c>
      <c r="B4197" s="87" t="s">
        <v>224</v>
      </c>
      <c r="C4197" s="87">
        <v>1994</v>
      </c>
      <c r="D4197" s="87" t="s">
        <v>82</v>
      </c>
      <c r="E4197" s="116">
        <v>1485</v>
      </c>
      <c r="F4197" s="87" t="s">
        <v>967</v>
      </c>
      <c r="G4197" s="87" t="s">
        <v>317</v>
      </c>
      <c r="H4197" s="87" t="s">
        <v>612</v>
      </c>
      <c r="I4197" s="87">
        <v>52</v>
      </c>
    </row>
    <row r="4198" spans="1:9" ht="15" customHeight="1" x14ac:dyDescent="0.25">
      <c r="A4198" s="87" t="s">
        <v>80</v>
      </c>
      <c r="B4198" s="87" t="s">
        <v>224</v>
      </c>
      <c r="C4198" s="87">
        <v>1995</v>
      </c>
      <c r="D4198" s="87" t="s">
        <v>82</v>
      </c>
      <c r="E4198" s="116">
        <v>725</v>
      </c>
      <c r="F4198" s="87" t="s">
        <v>967</v>
      </c>
      <c r="G4198" s="87" t="s">
        <v>317</v>
      </c>
      <c r="H4198" s="87" t="s">
        <v>613</v>
      </c>
      <c r="I4198" s="87">
        <v>52</v>
      </c>
    </row>
    <row r="4199" spans="1:9" ht="15" customHeight="1" x14ac:dyDescent="0.25">
      <c r="A4199" s="87" t="s">
        <v>80</v>
      </c>
      <c r="B4199" s="87" t="s">
        <v>224</v>
      </c>
      <c r="C4199" s="87">
        <v>1996</v>
      </c>
      <c r="D4199" s="87" t="s">
        <v>82</v>
      </c>
      <c r="E4199" s="116">
        <v>1721</v>
      </c>
      <c r="F4199" s="87" t="s">
        <v>967</v>
      </c>
      <c r="G4199" s="87" t="s">
        <v>317</v>
      </c>
      <c r="H4199" s="87" t="s">
        <v>614</v>
      </c>
      <c r="I4199" s="87">
        <v>52</v>
      </c>
    </row>
    <row r="4200" spans="1:9" ht="15" customHeight="1" x14ac:dyDescent="0.25">
      <c r="A4200" s="87" t="s">
        <v>80</v>
      </c>
      <c r="B4200" s="87" t="s">
        <v>224</v>
      </c>
      <c r="C4200" s="87">
        <v>1997</v>
      </c>
      <c r="D4200" s="87" t="s">
        <v>82</v>
      </c>
      <c r="E4200" s="116">
        <v>1569</v>
      </c>
      <c r="F4200" s="87" t="s">
        <v>967</v>
      </c>
      <c r="G4200" s="87" t="s">
        <v>317</v>
      </c>
      <c r="H4200" s="87" t="s">
        <v>615</v>
      </c>
      <c r="I4200" s="87">
        <v>52</v>
      </c>
    </row>
    <row r="4201" spans="1:9" ht="15" customHeight="1" x14ac:dyDescent="0.25">
      <c r="A4201" s="87" t="s">
        <v>80</v>
      </c>
      <c r="B4201" s="87" t="s">
        <v>224</v>
      </c>
      <c r="C4201" s="87">
        <v>1998</v>
      </c>
      <c r="D4201" s="87" t="s">
        <v>82</v>
      </c>
      <c r="E4201" s="116">
        <v>765</v>
      </c>
      <c r="F4201" s="87" t="s">
        <v>967</v>
      </c>
      <c r="G4201" s="87" t="s">
        <v>317</v>
      </c>
      <c r="H4201" s="87" t="s">
        <v>615</v>
      </c>
      <c r="I4201" s="87">
        <v>52</v>
      </c>
    </row>
    <row r="4202" spans="1:9" ht="15" customHeight="1" x14ac:dyDescent="0.25">
      <c r="A4202" s="87" t="s">
        <v>80</v>
      </c>
      <c r="B4202" s="87" t="s">
        <v>224</v>
      </c>
      <c r="C4202" s="87">
        <v>1999</v>
      </c>
      <c r="D4202" s="87" t="s">
        <v>82</v>
      </c>
      <c r="E4202" s="116">
        <v>812</v>
      </c>
      <c r="F4202" s="87" t="s">
        <v>967</v>
      </c>
      <c r="G4202" s="87" t="s">
        <v>317</v>
      </c>
      <c r="H4202" s="87" t="s">
        <v>615</v>
      </c>
      <c r="I4202" s="87">
        <v>52</v>
      </c>
    </row>
    <row r="4203" spans="1:9" ht="15" customHeight="1" x14ac:dyDescent="0.25">
      <c r="A4203" s="87" t="s">
        <v>80</v>
      </c>
      <c r="B4203" s="87" t="s">
        <v>224</v>
      </c>
      <c r="C4203" s="87">
        <v>2000</v>
      </c>
      <c r="D4203" s="87" t="s">
        <v>82</v>
      </c>
      <c r="E4203" s="116">
        <v>715</v>
      </c>
      <c r="F4203" s="87" t="s">
        <v>967</v>
      </c>
      <c r="G4203" s="87" t="s">
        <v>317</v>
      </c>
      <c r="H4203" s="87" t="s">
        <v>616</v>
      </c>
      <c r="I4203" s="87">
        <v>52</v>
      </c>
    </row>
    <row r="4204" spans="1:9" ht="15" customHeight="1" x14ac:dyDescent="0.25">
      <c r="A4204" s="87" t="s">
        <v>80</v>
      </c>
      <c r="B4204" s="87" t="s">
        <v>224</v>
      </c>
      <c r="C4204" s="87">
        <v>2001</v>
      </c>
      <c r="D4204" s="87" t="s">
        <v>82</v>
      </c>
      <c r="E4204" s="116">
        <v>1207</v>
      </c>
      <c r="F4204" s="87" t="s">
        <v>967</v>
      </c>
      <c r="G4204" s="87" t="s">
        <v>317</v>
      </c>
      <c r="H4204" s="87" t="s">
        <v>615</v>
      </c>
      <c r="I4204" s="87">
        <v>52</v>
      </c>
    </row>
    <row r="4205" spans="1:9" ht="15" customHeight="1" x14ac:dyDescent="0.25">
      <c r="A4205" s="87" t="s">
        <v>80</v>
      </c>
      <c r="B4205" s="87" t="s">
        <v>224</v>
      </c>
      <c r="C4205" s="87">
        <v>2002</v>
      </c>
      <c r="D4205" s="87" t="s">
        <v>82</v>
      </c>
      <c r="E4205" s="116">
        <v>528</v>
      </c>
      <c r="F4205" s="87" t="s">
        <v>967</v>
      </c>
      <c r="G4205" s="87" t="s">
        <v>317</v>
      </c>
      <c r="H4205" s="87" t="s">
        <v>615</v>
      </c>
      <c r="I4205" s="87">
        <v>52</v>
      </c>
    </row>
    <row r="4206" spans="1:9" ht="15" customHeight="1" x14ac:dyDescent="0.25">
      <c r="A4206" s="87" t="s">
        <v>80</v>
      </c>
      <c r="B4206" s="87" t="s">
        <v>224</v>
      </c>
      <c r="C4206" s="87">
        <v>2003</v>
      </c>
      <c r="D4206" s="87" t="s">
        <v>82</v>
      </c>
      <c r="E4206" s="116">
        <v>2044</v>
      </c>
      <c r="F4206" s="87" t="s">
        <v>967</v>
      </c>
      <c r="G4206" s="87" t="s">
        <v>317</v>
      </c>
      <c r="H4206" s="87" t="s">
        <v>615</v>
      </c>
      <c r="I4206" s="87">
        <v>52</v>
      </c>
    </row>
    <row r="4207" spans="1:9" ht="15" customHeight="1" x14ac:dyDescent="0.25">
      <c r="A4207" s="87" t="s">
        <v>80</v>
      </c>
      <c r="B4207" s="87" t="s">
        <v>224</v>
      </c>
      <c r="C4207" s="87">
        <v>2004</v>
      </c>
      <c r="D4207" s="87" t="s">
        <v>82</v>
      </c>
      <c r="E4207" s="116">
        <v>1155</v>
      </c>
      <c r="F4207" s="87" t="s">
        <v>967</v>
      </c>
      <c r="G4207" s="87" t="s">
        <v>289</v>
      </c>
      <c r="H4207" s="87" t="s">
        <v>617</v>
      </c>
      <c r="I4207" s="87">
        <v>52</v>
      </c>
    </row>
    <row r="4208" spans="1:9" ht="15" customHeight="1" x14ac:dyDescent="0.25">
      <c r="A4208" s="87" t="s">
        <v>80</v>
      </c>
      <c r="B4208" s="87" t="s">
        <v>224</v>
      </c>
      <c r="C4208" s="87">
        <v>2005</v>
      </c>
      <c r="D4208" s="87" t="s">
        <v>82</v>
      </c>
      <c r="E4208" s="116">
        <v>427</v>
      </c>
      <c r="F4208" s="87" t="s">
        <v>967</v>
      </c>
      <c r="G4208" s="87" t="s">
        <v>317</v>
      </c>
      <c r="H4208" s="87" t="s">
        <v>615</v>
      </c>
      <c r="I4208" s="87">
        <v>52</v>
      </c>
    </row>
    <row r="4209" spans="1:9" ht="15" customHeight="1" x14ac:dyDescent="0.25">
      <c r="A4209" s="87" t="s">
        <v>80</v>
      </c>
      <c r="B4209" s="87" t="s">
        <v>224</v>
      </c>
      <c r="C4209" s="87">
        <v>2006</v>
      </c>
      <c r="D4209" s="87" t="s">
        <v>82</v>
      </c>
      <c r="E4209" s="116">
        <v>1237</v>
      </c>
      <c r="F4209" s="87" t="s">
        <v>967</v>
      </c>
      <c r="G4209" s="87" t="s">
        <v>289</v>
      </c>
      <c r="H4209" s="87" t="s">
        <v>967</v>
      </c>
      <c r="I4209" s="87">
        <v>52</v>
      </c>
    </row>
    <row r="4210" spans="1:9" ht="15" customHeight="1" x14ac:dyDescent="0.25">
      <c r="A4210" s="87" t="s">
        <v>80</v>
      </c>
      <c r="B4210" s="87" t="s">
        <v>224</v>
      </c>
      <c r="C4210" s="87">
        <v>2007</v>
      </c>
      <c r="D4210" s="87" t="s">
        <v>82</v>
      </c>
      <c r="E4210" s="116">
        <v>296</v>
      </c>
      <c r="F4210" s="87" t="s">
        <v>967</v>
      </c>
      <c r="G4210" s="87" t="s">
        <v>317</v>
      </c>
      <c r="H4210" s="87" t="s">
        <v>615</v>
      </c>
      <c r="I4210" s="87">
        <v>52</v>
      </c>
    </row>
    <row r="4211" spans="1:9" ht="15" customHeight="1" x14ac:dyDescent="0.25">
      <c r="A4211" s="87" t="s">
        <v>80</v>
      </c>
      <c r="B4211" s="87" t="s">
        <v>224</v>
      </c>
      <c r="C4211" s="87">
        <v>2008</v>
      </c>
      <c r="D4211" s="87" t="s">
        <v>82</v>
      </c>
      <c r="E4211" s="116">
        <v>1308</v>
      </c>
      <c r="F4211" s="87" t="s">
        <v>967</v>
      </c>
      <c r="G4211" s="87" t="s">
        <v>317</v>
      </c>
      <c r="H4211" s="87" t="s">
        <v>615</v>
      </c>
      <c r="I4211" s="87">
        <v>52</v>
      </c>
    </row>
    <row r="4212" spans="1:9" ht="15" customHeight="1" x14ac:dyDescent="0.25">
      <c r="A4212" s="87" t="s">
        <v>80</v>
      </c>
      <c r="B4212" s="87" t="s">
        <v>224</v>
      </c>
      <c r="C4212" s="87">
        <v>2009</v>
      </c>
      <c r="D4212" s="87" t="s">
        <v>82</v>
      </c>
      <c r="E4212" s="116">
        <v>189</v>
      </c>
      <c r="F4212" s="87" t="s">
        <v>967</v>
      </c>
      <c r="G4212" s="87" t="s">
        <v>317</v>
      </c>
      <c r="H4212" s="87" t="s">
        <v>615</v>
      </c>
      <c r="I4212" s="87">
        <v>52</v>
      </c>
    </row>
    <row r="4213" spans="1:9" ht="15" customHeight="1" x14ac:dyDescent="0.25">
      <c r="A4213" s="87" t="s">
        <v>80</v>
      </c>
      <c r="B4213" s="87" t="s">
        <v>224</v>
      </c>
      <c r="C4213" s="87">
        <v>2010</v>
      </c>
      <c r="D4213" s="87" t="s">
        <v>82</v>
      </c>
      <c r="E4213" s="116">
        <v>1120</v>
      </c>
      <c r="F4213" s="87" t="s">
        <v>967</v>
      </c>
      <c r="G4213" s="87" t="s">
        <v>289</v>
      </c>
      <c r="H4213" s="87" t="s">
        <v>615</v>
      </c>
      <c r="I4213" s="87">
        <v>52</v>
      </c>
    </row>
    <row r="4214" spans="1:9" ht="15" customHeight="1" x14ac:dyDescent="0.25">
      <c r="A4214" s="87" t="s">
        <v>80</v>
      </c>
      <c r="B4214" s="87" t="s">
        <v>224</v>
      </c>
      <c r="C4214" s="87">
        <v>2011</v>
      </c>
      <c r="D4214" s="87" t="s">
        <v>82</v>
      </c>
      <c r="E4214" s="116">
        <v>413</v>
      </c>
      <c r="F4214" s="87" t="s">
        <v>967</v>
      </c>
      <c r="G4214" s="87" t="s">
        <v>317</v>
      </c>
      <c r="H4214" s="87" t="s">
        <v>615</v>
      </c>
      <c r="I4214" s="87">
        <v>52</v>
      </c>
    </row>
    <row r="4215" spans="1:9" ht="15" customHeight="1" x14ac:dyDescent="0.25">
      <c r="A4215" s="87" t="s">
        <v>80</v>
      </c>
      <c r="B4215" s="87" t="s">
        <v>224</v>
      </c>
      <c r="C4215" s="87">
        <v>2012</v>
      </c>
      <c r="D4215" s="87" t="s">
        <v>82</v>
      </c>
      <c r="E4215" s="116">
        <v>948</v>
      </c>
      <c r="F4215" s="87" t="s">
        <v>967</v>
      </c>
      <c r="G4215" s="87" t="s">
        <v>317</v>
      </c>
      <c r="H4215" s="87" t="s">
        <v>615</v>
      </c>
      <c r="I4215" s="87">
        <v>52</v>
      </c>
    </row>
    <row r="4216" spans="1:9" ht="15" customHeight="1" x14ac:dyDescent="0.25">
      <c r="A4216" s="87" t="s">
        <v>80</v>
      </c>
      <c r="B4216" s="87" t="s">
        <v>224</v>
      </c>
      <c r="C4216" s="87">
        <v>2013</v>
      </c>
      <c r="D4216" s="87" t="s">
        <v>82</v>
      </c>
      <c r="E4216" s="116">
        <v>252</v>
      </c>
      <c r="F4216" s="87" t="s">
        <v>967</v>
      </c>
      <c r="G4216" s="87" t="s">
        <v>317</v>
      </c>
      <c r="H4216" s="87" t="s">
        <v>615</v>
      </c>
      <c r="I4216" s="87">
        <v>52</v>
      </c>
    </row>
    <row r="4217" spans="1:9" ht="15" customHeight="1" x14ac:dyDescent="0.25">
      <c r="A4217" s="87" t="s">
        <v>80</v>
      </c>
      <c r="B4217" s="87" t="s">
        <v>224</v>
      </c>
      <c r="C4217" s="87">
        <v>2014</v>
      </c>
      <c r="D4217" s="87" t="s">
        <v>82</v>
      </c>
      <c r="E4217" s="116">
        <v>2282</v>
      </c>
      <c r="F4217" s="87" t="s">
        <v>967</v>
      </c>
      <c r="G4217" s="87" t="s">
        <v>289</v>
      </c>
      <c r="H4217" s="87" t="s">
        <v>615</v>
      </c>
      <c r="I4217" s="87">
        <v>52</v>
      </c>
    </row>
    <row r="4218" spans="1:9" ht="15" customHeight="1" x14ac:dyDescent="0.25">
      <c r="A4218" s="87" t="s">
        <v>80</v>
      </c>
      <c r="B4218" s="87" t="s">
        <v>224</v>
      </c>
      <c r="C4218" s="87">
        <v>2015</v>
      </c>
      <c r="D4218" s="87" t="s">
        <v>82</v>
      </c>
      <c r="E4218" s="116">
        <v>431</v>
      </c>
      <c r="F4218" s="87" t="s">
        <v>967</v>
      </c>
      <c r="G4218" s="87" t="s">
        <v>289</v>
      </c>
      <c r="H4218" s="87" t="s">
        <v>618</v>
      </c>
      <c r="I4218" s="87">
        <v>52</v>
      </c>
    </row>
    <row r="4219" spans="1:9" ht="15" customHeight="1" x14ac:dyDescent="0.25">
      <c r="A4219" s="87" t="s">
        <v>80</v>
      </c>
      <c r="B4219" s="87" t="s">
        <v>224</v>
      </c>
      <c r="C4219" s="87">
        <v>2016</v>
      </c>
      <c r="D4219" s="87" t="s">
        <v>82</v>
      </c>
      <c r="E4219" s="116">
        <v>-1</v>
      </c>
      <c r="F4219" s="87" t="s">
        <v>619</v>
      </c>
      <c r="G4219" s="87" t="s">
        <v>272</v>
      </c>
      <c r="H4219" s="87" t="s">
        <v>897</v>
      </c>
      <c r="I4219" s="87">
        <v>52</v>
      </c>
    </row>
    <row r="4220" spans="1:9" ht="15" customHeight="1" x14ac:dyDescent="0.25">
      <c r="A4220" s="87" t="s">
        <v>80</v>
      </c>
      <c r="B4220" s="87" t="s">
        <v>224</v>
      </c>
      <c r="C4220" s="87">
        <v>2017</v>
      </c>
      <c r="D4220" s="87" t="s">
        <v>82</v>
      </c>
      <c r="E4220" s="116">
        <v>-1</v>
      </c>
      <c r="F4220" s="87" t="s">
        <v>620</v>
      </c>
      <c r="G4220" s="87" t="s">
        <v>272</v>
      </c>
      <c r="H4220" s="87" t="s">
        <v>944</v>
      </c>
      <c r="I4220" s="87">
        <v>52</v>
      </c>
    </row>
    <row r="4221" spans="1:9" ht="15" customHeight="1" x14ac:dyDescent="0.25">
      <c r="A4221" s="87" t="s">
        <v>80</v>
      </c>
      <c r="B4221" s="87" t="s">
        <v>224</v>
      </c>
      <c r="C4221" s="87">
        <v>2018</v>
      </c>
      <c r="D4221" s="87" t="s">
        <v>82</v>
      </c>
      <c r="E4221" s="116">
        <v>244</v>
      </c>
      <c r="F4221" s="87" t="s">
        <v>967</v>
      </c>
      <c r="G4221" s="87" t="s">
        <v>289</v>
      </c>
      <c r="H4221" s="87" t="s">
        <v>945</v>
      </c>
      <c r="I4221" s="87">
        <v>52</v>
      </c>
    </row>
    <row r="4222" spans="1:9" ht="15" customHeight="1" x14ac:dyDescent="0.25">
      <c r="A4222" s="87" t="s">
        <v>80</v>
      </c>
      <c r="B4222" s="87" t="s">
        <v>224</v>
      </c>
      <c r="C4222" s="87">
        <v>2019</v>
      </c>
      <c r="D4222" s="87" t="s">
        <v>82</v>
      </c>
      <c r="E4222" s="116">
        <v>448</v>
      </c>
      <c r="F4222" s="87" t="s">
        <v>967</v>
      </c>
      <c r="G4222" s="87" t="s">
        <v>289</v>
      </c>
      <c r="H4222" s="87" t="s">
        <v>1002</v>
      </c>
      <c r="I4222" s="87">
        <v>52</v>
      </c>
    </row>
    <row r="4223" spans="1:9" ht="15" customHeight="1" x14ac:dyDescent="0.25">
      <c r="A4223" s="87" t="s">
        <v>80</v>
      </c>
      <c r="B4223" s="87" t="s">
        <v>224</v>
      </c>
      <c r="C4223" s="87">
        <v>2020</v>
      </c>
      <c r="D4223" s="87" t="s">
        <v>82</v>
      </c>
      <c r="E4223" s="116">
        <v>431</v>
      </c>
      <c r="F4223" s="87" t="s">
        <v>967</v>
      </c>
      <c r="G4223" s="87" t="s">
        <v>289</v>
      </c>
      <c r="H4223" s="87" t="s">
        <v>1047</v>
      </c>
      <c r="I4223" s="87">
        <v>52</v>
      </c>
    </row>
    <row r="4224" spans="1:9" ht="15" customHeight="1" x14ac:dyDescent="0.25">
      <c r="A4224" s="87" t="s">
        <v>80</v>
      </c>
      <c r="B4224" s="87" t="s">
        <v>224</v>
      </c>
      <c r="C4224" s="87">
        <v>2021</v>
      </c>
      <c r="D4224" s="87" t="s">
        <v>82</v>
      </c>
      <c r="E4224" s="116">
        <v>615</v>
      </c>
      <c r="F4224" s="87" t="s">
        <v>967</v>
      </c>
      <c r="G4224" s="87" t="s">
        <v>289</v>
      </c>
      <c r="H4224" s="87" t="s">
        <v>1067</v>
      </c>
      <c r="I4224" s="87">
        <v>52</v>
      </c>
    </row>
    <row r="4225" spans="1:9" ht="15" customHeight="1" x14ac:dyDescent="0.25">
      <c r="A4225" s="87" t="s">
        <v>80</v>
      </c>
      <c r="B4225" s="87" t="s">
        <v>224</v>
      </c>
      <c r="C4225" s="87">
        <v>2022</v>
      </c>
      <c r="D4225" s="87" t="s">
        <v>82</v>
      </c>
      <c r="E4225" s="116">
        <v>1441</v>
      </c>
      <c r="F4225" s="87" t="s">
        <v>967</v>
      </c>
      <c r="G4225" s="87" t="s">
        <v>317</v>
      </c>
      <c r="H4225" s="87" t="s">
        <v>967</v>
      </c>
      <c r="I4225" s="87">
        <v>52</v>
      </c>
    </row>
    <row r="4226" spans="1:9" ht="15" customHeight="1" x14ac:dyDescent="0.25">
      <c r="A4226" s="87" t="s">
        <v>80</v>
      </c>
      <c r="B4226" s="87" t="s">
        <v>415</v>
      </c>
      <c r="C4226" s="87">
        <v>1975</v>
      </c>
      <c r="D4226" s="87" t="s">
        <v>82</v>
      </c>
      <c r="E4226" s="116">
        <v>54</v>
      </c>
      <c r="F4226" s="87" t="s">
        <v>508</v>
      </c>
      <c r="G4226" s="87" t="s">
        <v>967</v>
      </c>
      <c r="H4226" s="87" t="s">
        <v>508</v>
      </c>
      <c r="I4226" s="87">
        <v>41</v>
      </c>
    </row>
    <row r="4227" spans="1:9" ht="15" customHeight="1" x14ac:dyDescent="0.25">
      <c r="A4227" s="87" t="s">
        <v>80</v>
      </c>
      <c r="B4227" s="87" t="s">
        <v>415</v>
      </c>
      <c r="C4227" s="87">
        <v>1976</v>
      </c>
      <c r="D4227" s="87" t="s">
        <v>82</v>
      </c>
      <c r="E4227" s="116">
        <v>200</v>
      </c>
      <c r="F4227" s="87" t="s">
        <v>508</v>
      </c>
      <c r="G4227" s="87" t="s">
        <v>967</v>
      </c>
      <c r="H4227" s="87" t="s">
        <v>508</v>
      </c>
      <c r="I4227" s="87">
        <v>41</v>
      </c>
    </row>
    <row r="4228" spans="1:9" ht="15" customHeight="1" x14ac:dyDescent="0.25">
      <c r="A4228" s="87" t="s">
        <v>80</v>
      </c>
      <c r="B4228" s="87" t="s">
        <v>415</v>
      </c>
      <c r="C4228" s="87">
        <v>1977</v>
      </c>
      <c r="D4228" s="87" t="s">
        <v>82</v>
      </c>
      <c r="E4228" s="116">
        <v>60</v>
      </c>
      <c r="F4228" s="87" t="s">
        <v>508</v>
      </c>
      <c r="G4228" s="87" t="s">
        <v>967</v>
      </c>
      <c r="H4228" s="87" t="s">
        <v>508</v>
      </c>
      <c r="I4228" s="87">
        <v>41</v>
      </c>
    </row>
    <row r="4229" spans="1:9" ht="15" customHeight="1" x14ac:dyDescent="0.25">
      <c r="A4229" s="87" t="s">
        <v>80</v>
      </c>
      <c r="B4229" s="87" t="s">
        <v>415</v>
      </c>
      <c r="C4229" s="87">
        <v>1978</v>
      </c>
      <c r="D4229" s="87" t="s">
        <v>82</v>
      </c>
      <c r="E4229" s="116">
        <v>75</v>
      </c>
      <c r="F4229" s="87" t="s">
        <v>508</v>
      </c>
      <c r="G4229" s="87" t="s">
        <v>967</v>
      </c>
      <c r="H4229" s="87" t="s">
        <v>508</v>
      </c>
      <c r="I4229" s="87">
        <v>41</v>
      </c>
    </row>
    <row r="4230" spans="1:9" ht="15" customHeight="1" x14ac:dyDescent="0.25">
      <c r="A4230" s="87" t="s">
        <v>80</v>
      </c>
      <c r="B4230" s="87" t="s">
        <v>415</v>
      </c>
      <c r="C4230" s="87">
        <v>1979</v>
      </c>
      <c r="D4230" s="87" t="s">
        <v>82</v>
      </c>
      <c r="E4230" s="116">
        <v>20</v>
      </c>
      <c r="F4230" s="87" t="s">
        <v>508</v>
      </c>
      <c r="G4230" s="87" t="s">
        <v>967</v>
      </c>
      <c r="H4230" s="87" t="s">
        <v>508</v>
      </c>
      <c r="I4230" s="87">
        <v>41</v>
      </c>
    </row>
    <row r="4231" spans="1:9" ht="15" customHeight="1" x14ac:dyDescent="0.25">
      <c r="A4231" s="87" t="s">
        <v>80</v>
      </c>
      <c r="B4231" s="87" t="s">
        <v>415</v>
      </c>
      <c r="C4231" s="87">
        <v>1980</v>
      </c>
      <c r="D4231" s="87" t="s">
        <v>82</v>
      </c>
      <c r="E4231" s="116">
        <v>45</v>
      </c>
      <c r="F4231" s="87" t="s">
        <v>508</v>
      </c>
      <c r="G4231" s="87" t="s">
        <v>967</v>
      </c>
      <c r="H4231" s="87" t="s">
        <v>508</v>
      </c>
      <c r="I4231" s="87">
        <v>41</v>
      </c>
    </row>
    <row r="4232" spans="1:9" ht="15" customHeight="1" x14ac:dyDescent="0.25">
      <c r="A4232" s="87" t="s">
        <v>80</v>
      </c>
      <c r="B4232" s="87" t="s">
        <v>415</v>
      </c>
      <c r="C4232" s="87">
        <v>1981</v>
      </c>
      <c r="D4232" s="87" t="s">
        <v>82</v>
      </c>
      <c r="E4232" s="116">
        <v>110</v>
      </c>
      <c r="F4232" s="87" t="s">
        <v>508</v>
      </c>
      <c r="G4232" s="87" t="s">
        <v>967</v>
      </c>
      <c r="H4232" s="87" t="s">
        <v>508</v>
      </c>
      <c r="I4232" s="87">
        <v>41</v>
      </c>
    </row>
    <row r="4233" spans="1:9" ht="15" customHeight="1" x14ac:dyDescent="0.25">
      <c r="A4233" s="87" t="s">
        <v>80</v>
      </c>
      <c r="B4233" s="87" t="s">
        <v>415</v>
      </c>
      <c r="C4233" s="87">
        <v>1982</v>
      </c>
      <c r="D4233" s="87" t="s">
        <v>82</v>
      </c>
      <c r="E4233" s="116">
        <v>150</v>
      </c>
      <c r="F4233" s="87" t="s">
        <v>508</v>
      </c>
      <c r="G4233" s="87" t="s">
        <v>967</v>
      </c>
      <c r="H4233" s="87" t="s">
        <v>508</v>
      </c>
      <c r="I4233" s="87">
        <v>41</v>
      </c>
    </row>
    <row r="4234" spans="1:9" ht="15" customHeight="1" x14ac:dyDescent="0.25">
      <c r="A4234" s="87" t="s">
        <v>80</v>
      </c>
      <c r="B4234" s="87" t="s">
        <v>415</v>
      </c>
      <c r="C4234" s="87">
        <v>1983</v>
      </c>
      <c r="D4234" s="87" t="s">
        <v>82</v>
      </c>
      <c r="E4234" s="116">
        <v>20</v>
      </c>
      <c r="F4234" s="87" t="s">
        <v>508</v>
      </c>
      <c r="G4234" s="87" t="s">
        <v>967</v>
      </c>
      <c r="H4234" s="87" t="s">
        <v>508</v>
      </c>
      <c r="I4234" s="87">
        <v>41</v>
      </c>
    </row>
    <row r="4235" spans="1:9" ht="15" customHeight="1" x14ac:dyDescent="0.25">
      <c r="A4235" s="87" t="s">
        <v>80</v>
      </c>
      <c r="B4235" s="87" t="s">
        <v>415</v>
      </c>
      <c r="C4235" s="87">
        <v>1984</v>
      </c>
      <c r="D4235" s="87" t="s">
        <v>82</v>
      </c>
      <c r="E4235" s="116">
        <v>100</v>
      </c>
      <c r="F4235" s="87" t="s">
        <v>508</v>
      </c>
      <c r="G4235" s="87" t="s">
        <v>967</v>
      </c>
      <c r="H4235" s="87" t="s">
        <v>508</v>
      </c>
      <c r="I4235" s="87">
        <v>41</v>
      </c>
    </row>
    <row r="4236" spans="1:9" ht="15" customHeight="1" x14ac:dyDescent="0.25">
      <c r="A4236" s="87" t="s">
        <v>80</v>
      </c>
      <c r="B4236" s="87" t="s">
        <v>415</v>
      </c>
      <c r="C4236" s="87">
        <v>1985</v>
      </c>
      <c r="D4236" s="87" t="s">
        <v>82</v>
      </c>
      <c r="E4236" s="116">
        <v>250</v>
      </c>
      <c r="F4236" s="87" t="s">
        <v>508</v>
      </c>
      <c r="G4236" s="87" t="s">
        <v>967</v>
      </c>
      <c r="H4236" s="87" t="s">
        <v>508</v>
      </c>
      <c r="I4236" s="87">
        <v>41</v>
      </c>
    </row>
    <row r="4237" spans="1:9" ht="15" customHeight="1" x14ac:dyDescent="0.25">
      <c r="A4237" s="87" t="s">
        <v>80</v>
      </c>
      <c r="B4237" s="87" t="s">
        <v>415</v>
      </c>
      <c r="C4237" s="87">
        <v>1986</v>
      </c>
      <c r="D4237" s="87" t="s">
        <v>82</v>
      </c>
      <c r="E4237" s="116">
        <v>150</v>
      </c>
      <c r="F4237" s="87" t="s">
        <v>508</v>
      </c>
      <c r="G4237" s="87" t="s">
        <v>967</v>
      </c>
      <c r="H4237" s="87" t="s">
        <v>508</v>
      </c>
      <c r="I4237" s="87">
        <v>41</v>
      </c>
    </row>
    <row r="4238" spans="1:9" ht="15" customHeight="1" x14ac:dyDescent="0.25">
      <c r="A4238" s="87" t="s">
        <v>80</v>
      </c>
      <c r="B4238" s="87" t="s">
        <v>415</v>
      </c>
      <c r="C4238" s="87">
        <v>1987</v>
      </c>
      <c r="D4238" s="87" t="s">
        <v>82</v>
      </c>
      <c r="E4238" s="116">
        <v>25</v>
      </c>
      <c r="F4238" s="87" t="s">
        <v>508</v>
      </c>
      <c r="G4238" s="87" t="s">
        <v>967</v>
      </c>
      <c r="H4238" s="87" t="s">
        <v>508</v>
      </c>
      <c r="I4238" s="87">
        <v>41</v>
      </c>
    </row>
    <row r="4239" spans="1:9" ht="15" customHeight="1" x14ac:dyDescent="0.25">
      <c r="A4239" s="87" t="s">
        <v>80</v>
      </c>
      <c r="B4239" s="87" t="s">
        <v>415</v>
      </c>
      <c r="C4239" s="87">
        <v>1988</v>
      </c>
      <c r="D4239" s="87" t="s">
        <v>82</v>
      </c>
      <c r="E4239" s="116">
        <v>80</v>
      </c>
      <c r="F4239" s="87" t="s">
        <v>508</v>
      </c>
      <c r="G4239" s="87" t="s">
        <v>967</v>
      </c>
      <c r="H4239" s="87" t="s">
        <v>508</v>
      </c>
      <c r="I4239" s="87">
        <v>41</v>
      </c>
    </row>
    <row r="4240" spans="1:9" ht="15" customHeight="1" x14ac:dyDescent="0.25">
      <c r="A4240" s="87" t="s">
        <v>80</v>
      </c>
      <c r="B4240" s="87" t="s">
        <v>415</v>
      </c>
      <c r="C4240" s="87">
        <v>1989</v>
      </c>
      <c r="D4240" s="87" t="s">
        <v>82</v>
      </c>
      <c r="E4240" s="116">
        <v>325</v>
      </c>
      <c r="F4240" s="87" t="s">
        <v>508</v>
      </c>
      <c r="G4240" s="87" t="s">
        <v>967</v>
      </c>
      <c r="H4240" s="87" t="s">
        <v>508</v>
      </c>
      <c r="I4240" s="87">
        <v>41</v>
      </c>
    </row>
    <row r="4241" spans="1:9" ht="15" customHeight="1" x14ac:dyDescent="0.25">
      <c r="A4241" s="87" t="s">
        <v>80</v>
      </c>
      <c r="B4241" s="87" t="s">
        <v>415</v>
      </c>
      <c r="C4241" s="87">
        <v>1990</v>
      </c>
      <c r="D4241" s="87" t="s">
        <v>82</v>
      </c>
      <c r="E4241" s="116">
        <v>50</v>
      </c>
      <c r="F4241" s="87" t="s">
        <v>508</v>
      </c>
      <c r="G4241" s="87" t="s">
        <v>967</v>
      </c>
      <c r="H4241" s="87" t="s">
        <v>508</v>
      </c>
      <c r="I4241" s="87">
        <v>41</v>
      </c>
    </row>
    <row r="4242" spans="1:9" ht="15" customHeight="1" x14ac:dyDescent="0.25">
      <c r="A4242" s="87" t="s">
        <v>80</v>
      </c>
      <c r="B4242" s="87" t="s">
        <v>415</v>
      </c>
      <c r="C4242" s="87">
        <v>1991</v>
      </c>
      <c r="D4242" s="87" t="s">
        <v>82</v>
      </c>
      <c r="E4242" s="116">
        <v>10</v>
      </c>
      <c r="F4242" s="87" t="s">
        <v>508</v>
      </c>
      <c r="G4242" s="87" t="s">
        <v>967</v>
      </c>
      <c r="H4242" s="87" t="s">
        <v>508</v>
      </c>
      <c r="I4242" s="87">
        <v>41</v>
      </c>
    </row>
    <row r="4243" spans="1:9" ht="15" customHeight="1" x14ac:dyDescent="0.25">
      <c r="A4243" s="87" t="s">
        <v>80</v>
      </c>
      <c r="B4243" s="87" t="s">
        <v>415</v>
      </c>
      <c r="C4243" s="87">
        <v>1992</v>
      </c>
      <c r="D4243" s="87" t="s">
        <v>82</v>
      </c>
      <c r="E4243" s="116">
        <v>6</v>
      </c>
      <c r="F4243" s="87" t="s">
        <v>508</v>
      </c>
      <c r="G4243" s="87" t="s">
        <v>967</v>
      </c>
      <c r="H4243" s="87" t="s">
        <v>508</v>
      </c>
      <c r="I4243" s="87">
        <v>41</v>
      </c>
    </row>
    <row r="4244" spans="1:9" ht="15" customHeight="1" x14ac:dyDescent="0.25">
      <c r="A4244" s="87" t="s">
        <v>80</v>
      </c>
      <c r="B4244" s="87" t="s">
        <v>415</v>
      </c>
      <c r="C4244" s="87">
        <v>1993</v>
      </c>
      <c r="D4244" s="87" t="s">
        <v>82</v>
      </c>
      <c r="E4244" s="116">
        <v>20</v>
      </c>
      <c r="F4244" s="87" t="s">
        <v>508</v>
      </c>
      <c r="G4244" s="87" t="s">
        <v>967</v>
      </c>
      <c r="H4244" s="87" t="s">
        <v>508</v>
      </c>
      <c r="I4244" s="87">
        <v>41</v>
      </c>
    </row>
    <row r="4245" spans="1:9" ht="15" customHeight="1" x14ac:dyDescent="0.25">
      <c r="A4245" s="87" t="s">
        <v>80</v>
      </c>
      <c r="B4245" s="87" t="s">
        <v>415</v>
      </c>
      <c r="C4245" s="87">
        <v>1994</v>
      </c>
      <c r="D4245" s="87" t="s">
        <v>82</v>
      </c>
      <c r="E4245" s="116">
        <v>510</v>
      </c>
      <c r="F4245" s="87" t="s">
        <v>508</v>
      </c>
      <c r="G4245" s="87" t="s">
        <v>967</v>
      </c>
      <c r="H4245" s="87" t="s">
        <v>508</v>
      </c>
      <c r="I4245" s="87">
        <v>41</v>
      </c>
    </row>
    <row r="4246" spans="1:9" ht="15" customHeight="1" x14ac:dyDescent="0.25">
      <c r="A4246" s="87" t="s">
        <v>80</v>
      </c>
      <c r="B4246" s="87" t="s">
        <v>415</v>
      </c>
      <c r="C4246" s="87">
        <v>1995</v>
      </c>
      <c r="D4246" s="87" t="s">
        <v>82</v>
      </c>
      <c r="E4246" s="116">
        <v>800</v>
      </c>
      <c r="F4246" s="87" t="s">
        <v>508</v>
      </c>
      <c r="G4246" s="87" t="s">
        <v>967</v>
      </c>
      <c r="H4246" s="87" t="s">
        <v>508</v>
      </c>
      <c r="I4246" s="87">
        <v>41</v>
      </c>
    </row>
    <row r="4247" spans="1:9" ht="15" customHeight="1" x14ac:dyDescent="0.25">
      <c r="A4247" s="87" t="s">
        <v>80</v>
      </c>
      <c r="B4247" s="87" t="s">
        <v>415</v>
      </c>
      <c r="C4247" s="87">
        <v>1996</v>
      </c>
      <c r="D4247" s="87" t="s">
        <v>82</v>
      </c>
      <c r="E4247" s="116">
        <v>420</v>
      </c>
      <c r="F4247" s="87" t="s">
        <v>508</v>
      </c>
      <c r="G4247" s="87" t="s">
        <v>967</v>
      </c>
      <c r="H4247" s="87" t="s">
        <v>508</v>
      </c>
      <c r="I4247" s="87">
        <v>41</v>
      </c>
    </row>
    <row r="4248" spans="1:9" ht="15" customHeight="1" x14ac:dyDescent="0.25">
      <c r="A4248" s="87" t="s">
        <v>80</v>
      </c>
      <c r="B4248" s="87" t="s">
        <v>415</v>
      </c>
      <c r="C4248" s="87">
        <v>1997</v>
      </c>
      <c r="D4248" s="87" t="s">
        <v>82</v>
      </c>
      <c r="E4248" s="116">
        <v>480</v>
      </c>
      <c r="F4248" s="87" t="s">
        <v>508</v>
      </c>
      <c r="G4248" s="87" t="s">
        <v>967</v>
      </c>
      <c r="H4248" s="87" t="s">
        <v>508</v>
      </c>
      <c r="I4248" s="87">
        <v>41</v>
      </c>
    </row>
    <row r="4249" spans="1:9" ht="15" customHeight="1" x14ac:dyDescent="0.25">
      <c r="A4249" s="87" t="s">
        <v>80</v>
      </c>
      <c r="B4249" s="87" t="s">
        <v>415</v>
      </c>
      <c r="C4249" s="87">
        <v>1998</v>
      </c>
      <c r="D4249" s="87" t="s">
        <v>82</v>
      </c>
      <c r="E4249" s="116">
        <v>158</v>
      </c>
      <c r="F4249" s="87" t="s">
        <v>967</v>
      </c>
      <c r="G4249" s="87" t="s">
        <v>272</v>
      </c>
      <c r="H4249" s="87" t="s">
        <v>701</v>
      </c>
      <c r="I4249" s="87">
        <v>41</v>
      </c>
    </row>
    <row r="4250" spans="1:9" ht="15" customHeight="1" x14ac:dyDescent="0.25">
      <c r="A4250" s="87" t="s">
        <v>80</v>
      </c>
      <c r="B4250" s="87" t="s">
        <v>415</v>
      </c>
      <c r="C4250" s="87">
        <v>1999</v>
      </c>
      <c r="D4250" s="87" t="s">
        <v>82</v>
      </c>
      <c r="E4250" s="116">
        <v>183</v>
      </c>
      <c r="F4250" s="87" t="s">
        <v>967</v>
      </c>
      <c r="G4250" s="87" t="s">
        <v>272</v>
      </c>
      <c r="H4250" s="87" t="s">
        <v>967</v>
      </c>
      <c r="I4250" s="87">
        <v>41</v>
      </c>
    </row>
    <row r="4251" spans="1:9" ht="15" customHeight="1" x14ac:dyDescent="0.25">
      <c r="A4251" s="87" t="s">
        <v>80</v>
      </c>
      <c r="B4251" s="87" t="s">
        <v>415</v>
      </c>
      <c r="C4251" s="87">
        <v>2000</v>
      </c>
      <c r="D4251" s="87" t="s">
        <v>82</v>
      </c>
      <c r="E4251" s="116">
        <v>611</v>
      </c>
      <c r="F4251" s="87" t="s">
        <v>967</v>
      </c>
      <c r="G4251" s="87" t="s">
        <v>317</v>
      </c>
      <c r="H4251" s="87" t="s">
        <v>702</v>
      </c>
      <c r="I4251" s="87">
        <v>41</v>
      </c>
    </row>
    <row r="4252" spans="1:9" ht="15" customHeight="1" x14ac:dyDescent="0.25">
      <c r="A4252" s="87" t="s">
        <v>80</v>
      </c>
      <c r="B4252" s="87" t="s">
        <v>415</v>
      </c>
      <c r="C4252" s="87">
        <v>2001</v>
      </c>
      <c r="D4252" s="87" t="s">
        <v>82</v>
      </c>
      <c r="E4252" s="116">
        <v>349</v>
      </c>
      <c r="F4252" s="87" t="s">
        <v>967</v>
      </c>
      <c r="G4252" s="87" t="s">
        <v>289</v>
      </c>
      <c r="H4252" s="87" t="s">
        <v>703</v>
      </c>
      <c r="I4252" s="87">
        <v>41</v>
      </c>
    </row>
    <row r="4253" spans="1:9" ht="15" customHeight="1" x14ac:dyDescent="0.25">
      <c r="A4253" s="87" t="s">
        <v>80</v>
      </c>
      <c r="B4253" s="87" t="s">
        <v>415</v>
      </c>
      <c r="C4253" s="87">
        <v>2002</v>
      </c>
      <c r="D4253" s="87" t="s">
        <v>82</v>
      </c>
      <c r="E4253" s="116">
        <v>481</v>
      </c>
      <c r="F4253" s="87" t="s">
        <v>967</v>
      </c>
      <c r="G4253" s="87" t="s">
        <v>289</v>
      </c>
      <c r="H4253" s="87" t="s">
        <v>967</v>
      </c>
      <c r="I4253" s="87">
        <v>41</v>
      </c>
    </row>
    <row r="4254" spans="1:9" ht="15" customHeight="1" x14ac:dyDescent="0.25">
      <c r="A4254" s="87" t="s">
        <v>80</v>
      </c>
      <c r="B4254" s="87" t="s">
        <v>415</v>
      </c>
      <c r="C4254" s="87">
        <v>2003</v>
      </c>
      <c r="D4254" s="87" t="s">
        <v>82</v>
      </c>
      <c r="E4254" s="116">
        <v>198</v>
      </c>
      <c r="F4254" s="87" t="s">
        <v>967</v>
      </c>
      <c r="G4254" s="87" t="s">
        <v>272</v>
      </c>
      <c r="H4254" s="87" t="s">
        <v>967</v>
      </c>
      <c r="I4254" s="87">
        <v>41</v>
      </c>
    </row>
    <row r="4255" spans="1:9" ht="15" customHeight="1" x14ac:dyDescent="0.25">
      <c r="A4255" s="87" t="s">
        <v>80</v>
      </c>
      <c r="B4255" s="87" t="s">
        <v>415</v>
      </c>
      <c r="C4255" s="87">
        <v>2004</v>
      </c>
      <c r="D4255" s="87" t="s">
        <v>82</v>
      </c>
      <c r="E4255" s="116">
        <v>105</v>
      </c>
      <c r="F4255" s="87" t="s">
        <v>967</v>
      </c>
      <c r="G4255" s="87" t="s">
        <v>289</v>
      </c>
      <c r="H4255" s="87" t="s">
        <v>967</v>
      </c>
      <c r="I4255" s="87">
        <v>41</v>
      </c>
    </row>
    <row r="4256" spans="1:9" ht="15" customHeight="1" x14ac:dyDescent="0.25">
      <c r="A4256" s="87" t="s">
        <v>80</v>
      </c>
      <c r="B4256" s="87" t="s">
        <v>415</v>
      </c>
      <c r="C4256" s="87">
        <v>2005</v>
      </c>
      <c r="D4256" s="87" t="s">
        <v>82</v>
      </c>
      <c r="E4256" s="116">
        <v>40</v>
      </c>
      <c r="F4256" s="87" t="s">
        <v>967</v>
      </c>
      <c r="G4256" s="87" t="s">
        <v>272</v>
      </c>
      <c r="H4256" s="87" t="s">
        <v>967</v>
      </c>
      <c r="I4256" s="87">
        <v>41</v>
      </c>
    </row>
    <row r="4257" spans="1:9" ht="15" customHeight="1" x14ac:dyDescent="0.25">
      <c r="A4257" s="87" t="s">
        <v>80</v>
      </c>
      <c r="B4257" s="87" t="s">
        <v>415</v>
      </c>
      <c r="C4257" s="87">
        <v>2006</v>
      </c>
      <c r="D4257" s="87" t="s">
        <v>82</v>
      </c>
      <c r="E4257" s="116">
        <v>315</v>
      </c>
      <c r="F4257" s="87" t="s">
        <v>967</v>
      </c>
      <c r="G4257" s="87" t="s">
        <v>272</v>
      </c>
      <c r="H4257" s="87" t="s">
        <v>967</v>
      </c>
      <c r="I4257" s="87">
        <v>41</v>
      </c>
    </row>
    <row r="4258" spans="1:9" ht="15" customHeight="1" x14ac:dyDescent="0.25">
      <c r="A4258" s="87" t="s">
        <v>80</v>
      </c>
      <c r="B4258" s="87" t="s">
        <v>415</v>
      </c>
      <c r="C4258" s="87">
        <v>2007</v>
      </c>
      <c r="D4258" s="87" t="s">
        <v>82</v>
      </c>
      <c r="E4258" s="116">
        <v>18</v>
      </c>
      <c r="F4258" s="87" t="s">
        <v>967</v>
      </c>
      <c r="G4258" s="87" t="s">
        <v>272</v>
      </c>
      <c r="H4258" s="87" t="s">
        <v>967</v>
      </c>
      <c r="I4258" s="87">
        <v>41</v>
      </c>
    </row>
    <row r="4259" spans="1:9" ht="15" customHeight="1" x14ac:dyDescent="0.25">
      <c r="A4259" s="87" t="s">
        <v>80</v>
      </c>
      <c r="B4259" s="87" t="s">
        <v>415</v>
      </c>
      <c r="C4259" s="87">
        <v>2008</v>
      </c>
      <c r="D4259" s="87" t="s">
        <v>82</v>
      </c>
      <c r="E4259" s="116">
        <v>95</v>
      </c>
      <c r="F4259" s="87" t="s">
        <v>967</v>
      </c>
      <c r="G4259" s="87" t="s">
        <v>272</v>
      </c>
      <c r="H4259" s="87" t="s">
        <v>967</v>
      </c>
      <c r="I4259" s="87">
        <v>41</v>
      </c>
    </row>
    <row r="4260" spans="1:9" ht="15" customHeight="1" x14ac:dyDescent="0.25">
      <c r="A4260" s="87" t="s">
        <v>80</v>
      </c>
      <c r="B4260" s="87" t="s">
        <v>415</v>
      </c>
      <c r="C4260" s="87">
        <v>2009</v>
      </c>
      <c r="D4260" s="87" t="s">
        <v>82</v>
      </c>
      <c r="E4260" s="116">
        <v>6</v>
      </c>
      <c r="F4260" s="87" t="s">
        <v>967</v>
      </c>
      <c r="G4260" s="87" t="s">
        <v>272</v>
      </c>
      <c r="H4260" s="87" t="s">
        <v>967</v>
      </c>
      <c r="I4260" s="87">
        <v>41</v>
      </c>
    </row>
    <row r="4261" spans="1:9" ht="15" customHeight="1" x14ac:dyDescent="0.25">
      <c r="A4261" s="87" t="s">
        <v>80</v>
      </c>
      <c r="B4261" s="87" t="s">
        <v>415</v>
      </c>
      <c r="C4261" s="87">
        <v>2010</v>
      </c>
      <c r="D4261" s="87" t="s">
        <v>82</v>
      </c>
      <c r="E4261" s="116">
        <v>154</v>
      </c>
      <c r="F4261" s="87" t="s">
        <v>967</v>
      </c>
      <c r="G4261" s="87" t="s">
        <v>272</v>
      </c>
      <c r="H4261" s="87" t="s">
        <v>967</v>
      </c>
      <c r="I4261" s="87">
        <v>41</v>
      </c>
    </row>
    <row r="4262" spans="1:9" ht="15" customHeight="1" x14ac:dyDescent="0.25">
      <c r="A4262" s="87" t="s">
        <v>80</v>
      </c>
      <c r="B4262" s="87" t="s">
        <v>415</v>
      </c>
      <c r="C4262" s="87">
        <v>2011</v>
      </c>
      <c r="D4262" s="87" t="s">
        <v>82</v>
      </c>
      <c r="E4262" s="116">
        <v>72</v>
      </c>
      <c r="F4262" s="87" t="s">
        <v>967</v>
      </c>
      <c r="G4262" s="87" t="s">
        <v>272</v>
      </c>
      <c r="H4262" s="87" t="s">
        <v>967</v>
      </c>
      <c r="I4262" s="87">
        <v>41</v>
      </c>
    </row>
    <row r="4263" spans="1:9" ht="15" customHeight="1" x14ac:dyDescent="0.25">
      <c r="A4263" s="87" t="s">
        <v>80</v>
      </c>
      <c r="B4263" s="87" t="s">
        <v>415</v>
      </c>
      <c r="C4263" s="87">
        <v>2012</v>
      </c>
      <c r="D4263" s="87" t="s">
        <v>82</v>
      </c>
      <c r="E4263" s="116">
        <v>189</v>
      </c>
      <c r="F4263" s="87" t="s">
        <v>967</v>
      </c>
      <c r="G4263" s="87" t="s">
        <v>272</v>
      </c>
      <c r="H4263" s="87" t="s">
        <v>967</v>
      </c>
      <c r="I4263" s="87">
        <v>41</v>
      </c>
    </row>
    <row r="4264" spans="1:9" ht="15" customHeight="1" x14ac:dyDescent="0.25">
      <c r="A4264" s="87" t="s">
        <v>80</v>
      </c>
      <c r="B4264" s="87" t="s">
        <v>415</v>
      </c>
      <c r="C4264" s="87">
        <v>2013</v>
      </c>
      <c r="D4264" s="87" t="s">
        <v>82</v>
      </c>
      <c r="E4264" s="116">
        <v>117</v>
      </c>
      <c r="F4264" s="87" t="s">
        <v>967</v>
      </c>
      <c r="G4264" s="87" t="s">
        <v>272</v>
      </c>
      <c r="H4264" s="87" t="s">
        <v>967</v>
      </c>
      <c r="I4264" s="87">
        <v>41</v>
      </c>
    </row>
    <row r="4265" spans="1:9" ht="15" customHeight="1" x14ac:dyDescent="0.25">
      <c r="A4265" s="87" t="s">
        <v>80</v>
      </c>
      <c r="B4265" s="87" t="s">
        <v>415</v>
      </c>
      <c r="C4265" s="87">
        <v>2014</v>
      </c>
      <c r="D4265" s="87" t="s">
        <v>82</v>
      </c>
      <c r="E4265" s="116">
        <v>289</v>
      </c>
      <c r="F4265" s="87" t="s">
        <v>967</v>
      </c>
      <c r="G4265" s="87" t="s">
        <v>274</v>
      </c>
      <c r="H4265" s="87" t="s">
        <v>967</v>
      </c>
      <c r="I4265" s="87">
        <v>41</v>
      </c>
    </row>
    <row r="4266" spans="1:9" ht="15" customHeight="1" x14ac:dyDescent="0.25">
      <c r="A4266" s="87" t="s">
        <v>80</v>
      </c>
      <c r="B4266" s="87" t="s">
        <v>415</v>
      </c>
      <c r="C4266" s="87">
        <v>2015</v>
      </c>
      <c r="D4266" s="87" t="s">
        <v>82</v>
      </c>
      <c r="E4266" s="116">
        <v>80</v>
      </c>
      <c r="F4266" s="87" t="s">
        <v>967</v>
      </c>
      <c r="G4266" s="87" t="s">
        <v>274</v>
      </c>
      <c r="H4266" s="87" t="s">
        <v>967</v>
      </c>
      <c r="I4266" s="87">
        <v>41</v>
      </c>
    </row>
    <row r="4267" spans="1:9" ht="15" customHeight="1" x14ac:dyDescent="0.25">
      <c r="A4267" s="87" t="s">
        <v>80</v>
      </c>
      <c r="B4267" s="87" t="s">
        <v>415</v>
      </c>
      <c r="C4267" s="87">
        <v>2016</v>
      </c>
      <c r="D4267" s="87" t="s">
        <v>82</v>
      </c>
      <c r="E4267" s="116">
        <v>155</v>
      </c>
      <c r="F4267" s="87" t="s">
        <v>967</v>
      </c>
      <c r="G4267" s="87" t="s">
        <v>274</v>
      </c>
      <c r="H4267" s="87" t="s">
        <v>967</v>
      </c>
      <c r="I4267" s="87">
        <v>41</v>
      </c>
    </row>
    <row r="4268" spans="1:9" ht="15" customHeight="1" x14ac:dyDescent="0.25">
      <c r="A4268" s="87" t="s">
        <v>80</v>
      </c>
      <c r="B4268" s="87" t="s">
        <v>415</v>
      </c>
      <c r="C4268" s="87">
        <v>2017</v>
      </c>
      <c r="D4268" s="87" t="s">
        <v>82</v>
      </c>
      <c r="E4268" s="116">
        <v>25</v>
      </c>
      <c r="F4268" s="87" t="s">
        <v>967</v>
      </c>
      <c r="G4268" s="87" t="s">
        <v>274</v>
      </c>
      <c r="H4268" s="87" t="s">
        <v>967</v>
      </c>
      <c r="I4268" s="87">
        <v>41</v>
      </c>
    </row>
    <row r="4269" spans="1:9" ht="15" customHeight="1" x14ac:dyDescent="0.25">
      <c r="A4269" s="87" t="s">
        <v>80</v>
      </c>
      <c r="B4269" s="87" t="s">
        <v>415</v>
      </c>
      <c r="C4269" s="87">
        <v>2018</v>
      </c>
      <c r="D4269" s="87" t="s">
        <v>82</v>
      </c>
      <c r="E4269" s="116">
        <v>45</v>
      </c>
      <c r="F4269" s="87" t="s">
        <v>967</v>
      </c>
      <c r="G4269" s="87" t="s">
        <v>274</v>
      </c>
      <c r="H4269" s="87" t="s">
        <v>967</v>
      </c>
      <c r="I4269" s="87">
        <v>41</v>
      </c>
    </row>
    <row r="4270" spans="1:9" ht="15" customHeight="1" x14ac:dyDescent="0.25">
      <c r="A4270" s="87" t="s">
        <v>80</v>
      </c>
      <c r="B4270" s="87" t="s">
        <v>415</v>
      </c>
      <c r="C4270" s="87">
        <v>2019</v>
      </c>
      <c r="D4270" s="87" t="s">
        <v>82</v>
      </c>
      <c r="E4270" s="116">
        <v>89</v>
      </c>
      <c r="F4270" s="87" t="s">
        <v>967</v>
      </c>
      <c r="G4270" s="87" t="s">
        <v>274</v>
      </c>
      <c r="H4270" s="87" t="s">
        <v>1003</v>
      </c>
      <c r="I4270" s="87">
        <v>41</v>
      </c>
    </row>
    <row r="4271" spans="1:9" ht="15" customHeight="1" x14ac:dyDescent="0.25">
      <c r="A4271" s="87" t="s">
        <v>80</v>
      </c>
      <c r="B4271" s="87" t="s">
        <v>415</v>
      </c>
      <c r="C4271" s="87">
        <v>2020</v>
      </c>
      <c r="D4271" s="87" t="s">
        <v>82</v>
      </c>
      <c r="E4271" s="116">
        <v>106</v>
      </c>
      <c r="F4271" s="87" t="s">
        <v>967</v>
      </c>
      <c r="G4271" s="87" t="s">
        <v>272</v>
      </c>
      <c r="H4271" s="87" t="s">
        <v>967</v>
      </c>
      <c r="I4271" s="87">
        <v>41</v>
      </c>
    </row>
    <row r="4272" spans="1:9" ht="15" customHeight="1" x14ac:dyDescent="0.25">
      <c r="A4272" s="87" t="s">
        <v>80</v>
      </c>
      <c r="B4272" s="87" t="s">
        <v>415</v>
      </c>
      <c r="C4272" s="87">
        <v>2021</v>
      </c>
      <c r="D4272" s="87" t="s">
        <v>82</v>
      </c>
      <c r="E4272" s="116">
        <v>137</v>
      </c>
      <c r="F4272" s="87" t="s">
        <v>967</v>
      </c>
      <c r="G4272" s="87" t="s">
        <v>272</v>
      </c>
      <c r="H4272" s="87" t="s">
        <v>967</v>
      </c>
      <c r="I4272" s="87">
        <v>41</v>
      </c>
    </row>
    <row r="4273" spans="1:9" ht="15" customHeight="1" x14ac:dyDescent="0.25">
      <c r="A4273" s="87" t="s">
        <v>80</v>
      </c>
      <c r="B4273" s="87" t="s">
        <v>415</v>
      </c>
      <c r="C4273" s="87">
        <v>2022</v>
      </c>
      <c r="D4273" s="87" t="s">
        <v>82</v>
      </c>
      <c r="E4273" s="116">
        <v>69</v>
      </c>
      <c r="F4273" s="87" t="s">
        <v>967</v>
      </c>
      <c r="G4273" s="87" t="s">
        <v>272</v>
      </c>
      <c r="H4273" s="87" t="s">
        <v>967</v>
      </c>
      <c r="I4273" s="87">
        <v>41</v>
      </c>
    </row>
    <row r="4274" spans="1:9" ht="15" customHeight="1" x14ac:dyDescent="0.25">
      <c r="A4274" s="87" t="s">
        <v>80</v>
      </c>
      <c r="B4274" s="87" t="s">
        <v>235</v>
      </c>
      <c r="C4274" s="87">
        <v>1975</v>
      </c>
      <c r="D4274" s="87" t="s">
        <v>82</v>
      </c>
      <c r="E4274" s="116">
        <v>5606</v>
      </c>
      <c r="F4274" s="87" t="s">
        <v>734</v>
      </c>
      <c r="G4274" s="87" t="s">
        <v>272</v>
      </c>
      <c r="H4274" s="87" t="s">
        <v>967</v>
      </c>
      <c r="I4274" s="87">
        <v>56</v>
      </c>
    </row>
    <row r="4275" spans="1:9" ht="15" customHeight="1" x14ac:dyDescent="0.25">
      <c r="A4275" s="87" t="s">
        <v>80</v>
      </c>
      <c r="B4275" s="87" t="s">
        <v>235</v>
      </c>
      <c r="C4275" s="87">
        <v>1976</v>
      </c>
      <c r="D4275" s="87" t="s">
        <v>82</v>
      </c>
      <c r="E4275" s="116">
        <v>4445</v>
      </c>
      <c r="F4275" s="87" t="s">
        <v>734</v>
      </c>
      <c r="G4275" s="87" t="s">
        <v>272</v>
      </c>
      <c r="H4275" s="87" t="s">
        <v>967</v>
      </c>
      <c r="I4275" s="87">
        <v>56</v>
      </c>
    </row>
    <row r="4276" spans="1:9" ht="15" customHeight="1" x14ac:dyDescent="0.25">
      <c r="A4276" s="87" t="s">
        <v>80</v>
      </c>
      <c r="B4276" s="87" t="s">
        <v>235</v>
      </c>
      <c r="C4276" s="87">
        <v>1977</v>
      </c>
      <c r="D4276" s="87" t="s">
        <v>82</v>
      </c>
      <c r="E4276" s="116">
        <v>3498</v>
      </c>
      <c r="F4276" s="87" t="s">
        <v>734</v>
      </c>
      <c r="G4276" s="87" t="s">
        <v>272</v>
      </c>
      <c r="H4276" s="87" t="s">
        <v>967</v>
      </c>
      <c r="I4276" s="87">
        <v>56</v>
      </c>
    </row>
    <row r="4277" spans="1:9" ht="15" customHeight="1" x14ac:dyDescent="0.25">
      <c r="A4277" s="87" t="s">
        <v>80</v>
      </c>
      <c r="B4277" s="87" t="s">
        <v>235</v>
      </c>
      <c r="C4277" s="87">
        <v>1978</v>
      </c>
      <c r="D4277" s="87" t="s">
        <v>82</v>
      </c>
      <c r="E4277" s="116">
        <v>3974</v>
      </c>
      <c r="F4277" s="87" t="s">
        <v>734</v>
      </c>
      <c r="G4277" s="87" t="s">
        <v>272</v>
      </c>
      <c r="H4277" s="87" t="s">
        <v>967</v>
      </c>
      <c r="I4277" s="87">
        <v>56</v>
      </c>
    </row>
    <row r="4278" spans="1:9" ht="15" customHeight="1" x14ac:dyDescent="0.25">
      <c r="A4278" s="87" t="s">
        <v>80</v>
      </c>
      <c r="B4278" s="87" t="s">
        <v>235</v>
      </c>
      <c r="C4278" s="87">
        <v>1979</v>
      </c>
      <c r="D4278" s="87" t="s">
        <v>82</v>
      </c>
      <c r="E4278" s="116">
        <v>3017</v>
      </c>
      <c r="F4278" s="87" t="s">
        <v>734</v>
      </c>
      <c r="G4278" s="87" t="s">
        <v>272</v>
      </c>
      <c r="H4278" s="87" t="s">
        <v>967</v>
      </c>
      <c r="I4278" s="87">
        <v>56</v>
      </c>
    </row>
    <row r="4279" spans="1:9" ht="15" customHeight="1" x14ac:dyDescent="0.25">
      <c r="A4279" s="87" t="s">
        <v>80</v>
      </c>
      <c r="B4279" s="87" t="s">
        <v>235</v>
      </c>
      <c r="C4279" s="87">
        <v>1980</v>
      </c>
      <c r="D4279" s="87" t="s">
        <v>82</v>
      </c>
      <c r="E4279" s="116">
        <v>6180</v>
      </c>
      <c r="F4279" s="87" t="s">
        <v>734</v>
      </c>
      <c r="G4279" s="87" t="s">
        <v>272</v>
      </c>
      <c r="H4279" s="87" t="s">
        <v>967</v>
      </c>
      <c r="I4279" s="87">
        <v>56</v>
      </c>
    </row>
    <row r="4280" spans="1:9" ht="15" customHeight="1" x14ac:dyDescent="0.25">
      <c r="A4280" s="87" t="s">
        <v>80</v>
      </c>
      <c r="B4280" s="87" t="s">
        <v>235</v>
      </c>
      <c r="C4280" s="87">
        <v>1981</v>
      </c>
      <c r="D4280" s="87" t="s">
        <v>82</v>
      </c>
      <c r="E4280" s="116">
        <v>3258</v>
      </c>
      <c r="F4280" s="87" t="s">
        <v>734</v>
      </c>
      <c r="G4280" s="87" t="s">
        <v>272</v>
      </c>
      <c r="H4280" s="87" t="s">
        <v>967</v>
      </c>
      <c r="I4280" s="87">
        <v>56</v>
      </c>
    </row>
    <row r="4281" spans="1:9" ht="15" customHeight="1" x14ac:dyDescent="0.25">
      <c r="A4281" s="87" t="s">
        <v>80</v>
      </c>
      <c r="B4281" s="87" t="s">
        <v>235</v>
      </c>
      <c r="C4281" s="87">
        <v>1982</v>
      </c>
      <c r="D4281" s="87" t="s">
        <v>82</v>
      </c>
      <c r="E4281" s="116">
        <v>4737</v>
      </c>
      <c r="F4281" s="87" t="s">
        <v>734</v>
      </c>
      <c r="G4281" s="87" t="s">
        <v>272</v>
      </c>
      <c r="H4281" s="87" t="s">
        <v>967</v>
      </c>
      <c r="I4281" s="87">
        <v>56</v>
      </c>
    </row>
    <row r="4282" spans="1:9" ht="15" customHeight="1" x14ac:dyDescent="0.25">
      <c r="A4282" s="87" t="s">
        <v>80</v>
      </c>
      <c r="B4282" s="87" t="s">
        <v>235</v>
      </c>
      <c r="C4282" s="87">
        <v>1983</v>
      </c>
      <c r="D4282" s="87" t="s">
        <v>82</v>
      </c>
      <c r="E4282" s="116">
        <v>2407</v>
      </c>
      <c r="F4282" s="87" t="s">
        <v>734</v>
      </c>
      <c r="G4282" s="87" t="s">
        <v>272</v>
      </c>
      <c r="H4282" s="87" t="s">
        <v>967</v>
      </c>
      <c r="I4282" s="87">
        <v>56</v>
      </c>
    </row>
    <row r="4283" spans="1:9" ht="15" customHeight="1" x14ac:dyDescent="0.25">
      <c r="A4283" s="87" t="s">
        <v>80</v>
      </c>
      <c r="B4283" s="87" t="s">
        <v>235</v>
      </c>
      <c r="C4283" s="87">
        <v>1984</v>
      </c>
      <c r="D4283" s="87" t="s">
        <v>82</v>
      </c>
      <c r="E4283" s="116">
        <v>4679</v>
      </c>
      <c r="F4283" s="87" t="s">
        <v>734</v>
      </c>
      <c r="G4283" s="87" t="s">
        <v>272</v>
      </c>
      <c r="H4283" s="87" t="s">
        <v>967</v>
      </c>
      <c r="I4283" s="87">
        <v>56</v>
      </c>
    </row>
    <row r="4284" spans="1:9" ht="15" customHeight="1" x14ac:dyDescent="0.25">
      <c r="A4284" s="87" t="s">
        <v>80</v>
      </c>
      <c r="B4284" s="87" t="s">
        <v>235</v>
      </c>
      <c r="C4284" s="87">
        <v>1985</v>
      </c>
      <c r="D4284" s="87" t="s">
        <v>82</v>
      </c>
      <c r="E4284" s="116">
        <v>7088</v>
      </c>
      <c r="F4284" s="87" t="s">
        <v>734</v>
      </c>
      <c r="G4284" s="87" t="s">
        <v>272</v>
      </c>
      <c r="H4284" s="87" t="s">
        <v>967</v>
      </c>
      <c r="I4284" s="87">
        <v>56</v>
      </c>
    </row>
    <row r="4285" spans="1:9" ht="15" customHeight="1" x14ac:dyDescent="0.25">
      <c r="A4285" s="87" t="s">
        <v>80</v>
      </c>
      <c r="B4285" s="87" t="s">
        <v>235</v>
      </c>
      <c r="C4285" s="87">
        <v>1986</v>
      </c>
      <c r="D4285" s="87" t="s">
        <v>82</v>
      </c>
      <c r="E4285" s="116">
        <v>7876</v>
      </c>
      <c r="F4285" s="87" t="s">
        <v>734</v>
      </c>
      <c r="G4285" s="87" t="s">
        <v>272</v>
      </c>
      <c r="H4285" s="87" t="s">
        <v>967</v>
      </c>
      <c r="I4285" s="87">
        <v>56</v>
      </c>
    </row>
    <row r="4286" spans="1:9" ht="15" customHeight="1" x14ac:dyDescent="0.25">
      <c r="A4286" s="87" t="s">
        <v>80</v>
      </c>
      <c r="B4286" s="87" t="s">
        <v>235</v>
      </c>
      <c r="C4286" s="87">
        <v>1987</v>
      </c>
      <c r="D4286" s="87" t="s">
        <v>82</v>
      </c>
      <c r="E4286" s="116">
        <v>4445</v>
      </c>
      <c r="F4286" s="87" t="s">
        <v>734</v>
      </c>
      <c r="G4286" s="87" t="s">
        <v>272</v>
      </c>
      <c r="H4286" s="87" t="s">
        <v>967</v>
      </c>
      <c r="I4286" s="87">
        <v>56</v>
      </c>
    </row>
    <row r="4287" spans="1:9" ht="15" customHeight="1" x14ac:dyDescent="0.25">
      <c r="A4287" s="87" t="s">
        <v>80</v>
      </c>
      <c r="B4287" s="87" t="s">
        <v>235</v>
      </c>
      <c r="C4287" s="87">
        <v>1988</v>
      </c>
      <c r="D4287" s="87" t="s">
        <v>82</v>
      </c>
      <c r="E4287" s="116">
        <v>3246</v>
      </c>
      <c r="F4287" s="87" t="s">
        <v>734</v>
      </c>
      <c r="G4287" s="87" t="s">
        <v>272</v>
      </c>
      <c r="H4287" s="87" t="s">
        <v>967</v>
      </c>
      <c r="I4287" s="87">
        <v>56</v>
      </c>
    </row>
    <row r="4288" spans="1:9" ht="15" customHeight="1" x14ac:dyDescent="0.25">
      <c r="A4288" s="87" t="s">
        <v>80</v>
      </c>
      <c r="B4288" s="87" t="s">
        <v>235</v>
      </c>
      <c r="C4288" s="87">
        <v>1989</v>
      </c>
      <c r="D4288" s="87" t="s">
        <v>82</v>
      </c>
      <c r="E4288" s="116">
        <v>4445</v>
      </c>
      <c r="F4288" s="87" t="s">
        <v>734</v>
      </c>
      <c r="G4288" s="87" t="s">
        <v>272</v>
      </c>
      <c r="H4288" s="87" t="s">
        <v>967</v>
      </c>
      <c r="I4288" s="87">
        <v>56</v>
      </c>
    </row>
    <row r="4289" spans="1:9" ht="15" customHeight="1" x14ac:dyDescent="0.25">
      <c r="A4289" s="87" t="s">
        <v>80</v>
      </c>
      <c r="B4289" s="87" t="s">
        <v>235</v>
      </c>
      <c r="C4289" s="87">
        <v>1990</v>
      </c>
      <c r="D4289" s="87" t="s">
        <v>82</v>
      </c>
      <c r="E4289" s="116">
        <v>3017</v>
      </c>
      <c r="F4289" s="87" t="s">
        <v>734</v>
      </c>
      <c r="G4289" s="87" t="s">
        <v>272</v>
      </c>
      <c r="H4289" s="87" t="s">
        <v>967</v>
      </c>
      <c r="I4289" s="87">
        <v>56</v>
      </c>
    </row>
    <row r="4290" spans="1:9" ht="15" customHeight="1" x14ac:dyDescent="0.25">
      <c r="A4290" s="87" t="s">
        <v>80</v>
      </c>
      <c r="B4290" s="87" t="s">
        <v>235</v>
      </c>
      <c r="C4290" s="87">
        <v>1991</v>
      </c>
      <c r="D4290" s="87" t="s">
        <v>82</v>
      </c>
      <c r="E4290" s="116">
        <v>3258</v>
      </c>
      <c r="F4290" s="87" t="s">
        <v>734</v>
      </c>
      <c r="G4290" s="87" t="s">
        <v>272</v>
      </c>
      <c r="H4290" s="87" t="s">
        <v>967</v>
      </c>
      <c r="I4290" s="87">
        <v>56</v>
      </c>
    </row>
    <row r="4291" spans="1:9" ht="15" customHeight="1" x14ac:dyDescent="0.25">
      <c r="A4291" s="87" t="s">
        <v>80</v>
      </c>
      <c r="B4291" s="87" t="s">
        <v>235</v>
      </c>
      <c r="C4291" s="87">
        <v>1992</v>
      </c>
      <c r="D4291" s="87" t="s">
        <v>82</v>
      </c>
      <c r="E4291" s="116">
        <v>5061</v>
      </c>
      <c r="F4291" s="87" t="s">
        <v>734</v>
      </c>
      <c r="G4291" s="87" t="s">
        <v>272</v>
      </c>
      <c r="H4291" s="87" t="s">
        <v>967</v>
      </c>
      <c r="I4291" s="87">
        <v>56</v>
      </c>
    </row>
    <row r="4292" spans="1:9" ht="15" customHeight="1" x14ac:dyDescent="0.25">
      <c r="A4292" s="87" t="s">
        <v>80</v>
      </c>
      <c r="B4292" s="87" t="s">
        <v>235</v>
      </c>
      <c r="C4292" s="87">
        <v>1993</v>
      </c>
      <c r="D4292" s="87" t="s">
        <v>82</v>
      </c>
      <c r="E4292" s="116">
        <v>5028</v>
      </c>
      <c r="F4292" s="87" t="s">
        <v>734</v>
      </c>
      <c r="G4292" s="87" t="s">
        <v>272</v>
      </c>
      <c r="H4292" s="87" t="s">
        <v>967</v>
      </c>
      <c r="I4292" s="87">
        <v>56</v>
      </c>
    </row>
    <row r="4293" spans="1:9" ht="15" customHeight="1" x14ac:dyDescent="0.25">
      <c r="A4293" s="87" t="s">
        <v>80</v>
      </c>
      <c r="B4293" s="87" t="s">
        <v>235</v>
      </c>
      <c r="C4293" s="87">
        <v>1994</v>
      </c>
      <c r="D4293" s="87" t="s">
        <v>82</v>
      </c>
      <c r="E4293" s="116">
        <v>9510</v>
      </c>
      <c r="F4293" s="87" t="s">
        <v>734</v>
      </c>
      <c r="G4293" s="87" t="s">
        <v>272</v>
      </c>
      <c r="H4293" s="87" t="s">
        <v>967</v>
      </c>
      <c r="I4293" s="87">
        <v>56</v>
      </c>
    </row>
    <row r="4294" spans="1:9" ht="15" customHeight="1" x14ac:dyDescent="0.25">
      <c r="A4294" s="87" t="s">
        <v>80</v>
      </c>
      <c r="B4294" s="87" t="s">
        <v>235</v>
      </c>
      <c r="C4294" s="87">
        <v>1995</v>
      </c>
      <c r="D4294" s="87" t="s">
        <v>82</v>
      </c>
      <c r="E4294" s="116">
        <v>10624</v>
      </c>
      <c r="F4294" s="87" t="s">
        <v>967</v>
      </c>
      <c r="G4294" s="87" t="s">
        <v>273</v>
      </c>
      <c r="H4294" s="87" t="s">
        <v>967</v>
      </c>
      <c r="I4294" s="87">
        <v>56</v>
      </c>
    </row>
    <row r="4295" spans="1:9" ht="15" customHeight="1" x14ac:dyDescent="0.25">
      <c r="A4295" s="87" t="s">
        <v>80</v>
      </c>
      <c r="B4295" s="87" t="s">
        <v>235</v>
      </c>
      <c r="C4295" s="87">
        <v>1996</v>
      </c>
      <c r="D4295" s="87" t="s">
        <v>82</v>
      </c>
      <c r="E4295" s="116">
        <v>17777</v>
      </c>
      <c r="F4295" s="87" t="s">
        <v>967</v>
      </c>
      <c r="G4295" s="87" t="s">
        <v>273</v>
      </c>
      <c r="H4295" s="87" t="s">
        <v>967</v>
      </c>
      <c r="I4295" s="87">
        <v>56</v>
      </c>
    </row>
    <row r="4296" spans="1:9" ht="15" customHeight="1" x14ac:dyDescent="0.25">
      <c r="A4296" s="87" t="s">
        <v>80</v>
      </c>
      <c r="B4296" s="87" t="s">
        <v>235</v>
      </c>
      <c r="C4296" s="87">
        <v>1997</v>
      </c>
      <c r="D4296" s="87" t="s">
        <v>82</v>
      </c>
      <c r="E4296" s="116">
        <v>9612</v>
      </c>
      <c r="F4296" s="87" t="s">
        <v>967</v>
      </c>
      <c r="G4296" s="87" t="s">
        <v>273</v>
      </c>
      <c r="H4296" s="87" t="s">
        <v>967</v>
      </c>
      <c r="I4296" s="87">
        <v>56</v>
      </c>
    </row>
    <row r="4297" spans="1:9" ht="15" customHeight="1" x14ac:dyDescent="0.25">
      <c r="A4297" s="87" t="s">
        <v>80</v>
      </c>
      <c r="B4297" s="87" t="s">
        <v>235</v>
      </c>
      <c r="C4297" s="87">
        <v>1998</v>
      </c>
      <c r="D4297" s="87" t="s">
        <v>82</v>
      </c>
      <c r="E4297" s="116">
        <v>1547</v>
      </c>
      <c r="F4297" s="87" t="s">
        <v>967</v>
      </c>
      <c r="G4297" s="87" t="s">
        <v>273</v>
      </c>
      <c r="H4297" s="87" t="s">
        <v>967</v>
      </c>
      <c r="I4297" s="87">
        <v>56</v>
      </c>
    </row>
    <row r="4298" spans="1:9" ht="15" customHeight="1" x14ac:dyDescent="0.25">
      <c r="A4298" s="87" t="s">
        <v>80</v>
      </c>
      <c r="B4298" s="87" t="s">
        <v>235</v>
      </c>
      <c r="C4298" s="87">
        <v>1999</v>
      </c>
      <c r="D4298" s="87" t="s">
        <v>82</v>
      </c>
      <c r="E4298" s="116">
        <v>8130</v>
      </c>
      <c r="F4298" s="87" t="s">
        <v>967</v>
      </c>
      <c r="G4298" s="87" t="s">
        <v>273</v>
      </c>
      <c r="H4298" s="87" t="s">
        <v>967</v>
      </c>
      <c r="I4298" s="87">
        <v>56</v>
      </c>
    </row>
    <row r="4299" spans="1:9" ht="15" customHeight="1" x14ac:dyDescent="0.25">
      <c r="A4299" s="87" t="s">
        <v>80</v>
      </c>
      <c r="B4299" s="87" t="s">
        <v>235</v>
      </c>
      <c r="C4299" s="87">
        <v>2000</v>
      </c>
      <c r="D4299" s="87" t="s">
        <v>82</v>
      </c>
      <c r="E4299" s="116">
        <v>8183</v>
      </c>
      <c r="F4299" s="87" t="s">
        <v>967</v>
      </c>
      <c r="G4299" s="87" t="s">
        <v>273</v>
      </c>
      <c r="H4299" s="87" t="s">
        <v>967</v>
      </c>
      <c r="I4299" s="87">
        <v>56</v>
      </c>
    </row>
    <row r="4300" spans="1:9" ht="15" customHeight="1" x14ac:dyDescent="0.25">
      <c r="A4300" s="87" t="s">
        <v>80</v>
      </c>
      <c r="B4300" s="87" t="s">
        <v>235</v>
      </c>
      <c r="C4300" s="87">
        <v>2001</v>
      </c>
      <c r="D4300" s="87" t="s">
        <v>82</v>
      </c>
      <c r="E4300" s="116">
        <v>8984</v>
      </c>
      <c r="F4300" s="87" t="s">
        <v>967</v>
      </c>
      <c r="G4300" s="87" t="s">
        <v>273</v>
      </c>
      <c r="H4300" s="87" t="s">
        <v>967</v>
      </c>
      <c r="I4300" s="87">
        <v>56</v>
      </c>
    </row>
    <row r="4301" spans="1:9" ht="15" customHeight="1" x14ac:dyDescent="0.25">
      <c r="A4301" s="87" t="s">
        <v>80</v>
      </c>
      <c r="B4301" s="87" t="s">
        <v>235</v>
      </c>
      <c r="C4301" s="87">
        <v>2002</v>
      </c>
      <c r="D4301" s="87" t="s">
        <v>82</v>
      </c>
      <c r="E4301" s="116">
        <v>12885</v>
      </c>
      <c r="F4301" s="87" t="s">
        <v>967</v>
      </c>
      <c r="G4301" s="87" t="s">
        <v>273</v>
      </c>
      <c r="H4301" s="87" t="s">
        <v>967</v>
      </c>
      <c r="I4301" s="87">
        <v>56</v>
      </c>
    </row>
    <row r="4302" spans="1:9" ht="15" customHeight="1" x14ac:dyDescent="0.25">
      <c r="A4302" s="87" t="s">
        <v>80</v>
      </c>
      <c r="B4302" s="87" t="s">
        <v>235</v>
      </c>
      <c r="C4302" s="87">
        <v>2003</v>
      </c>
      <c r="D4302" s="87" t="s">
        <v>82</v>
      </c>
      <c r="E4302" s="116">
        <v>14490</v>
      </c>
      <c r="F4302" s="87" t="s">
        <v>967</v>
      </c>
      <c r="G4302" s="87" t="s">
        <v>273</v>
      </c>
      <c r="H4302" s="87" t="s">
        <v>967</v>
      </c>
      <c r="I4302" s="87">
        <v>56</v>
      </c>
    </row>
    <row r="4303" spans="1:9" ht="15" customHeight="1" x14ac:dyDescent="0.25">
      <c r="A4303" s="87" t="s">
        <v>80</v>
      </c>
      <c r="B4303" s="87" t="s">
        <v>235</v>
      </c>
      <c r="C4303" s="87">
        <v>2004</v>
      </c>
      <c r="D4303" s="87" t="s">
        <v>82</v>
      </c>
      <c r="E4303" s="116">
        <v>10153</v>
      </c>
      <c r="F4303" s="87" t="s">
        <v>967</v>
      </c>
      <c r="G4303" s="87" t="s">
        <v>273</v>
      </c>
      <c r="H4303" s="87" t="s">
        <v>967</v>
      </c>
      <c r="I4303" s="87">
        <v>56</v>
      </c>
    </row>
    <row r="4304" spans="1:9" ht="15" customHeight="1" x14ac:dyDescent="0.25">
      <c r="A4304" s="87" t="s">
        <v>80</v>
      </c>
      <c r="B4304" s="87" t="s">
        <v>235</v>
      </c>
      <c r="C4304" s="87">
        <v>2005</v>
      </c>
      <c r="D4304" s="87" t="s">
        <v>82</v>
      </c>
      <c r="E4304" s="116">
        <v>3248</v>
      </c>
      <c r="F4304" s="87" t="s">
        <v>967</v>
      </c>
      <c r="G4304" s="87" t="s">
        <v>273</v>
      </c>
      <c r="H4304" s="87" t="s">
        <v>967</v>
      </c>
      <c r="I4304" s="87">
        <v>56</v>
      </c>
    </row>
    <row r="4305" spans="1:9" ht="15" customHeight="1" x14ac:dyDescent="0.25">
      <c r="A4305" s="87" t="s">
        <v>80</v>
      </c>
      <c r="B4305" s="87" t="s">
        <v>235</v>
      </c>
      <c r="C4305" s="87">
        <v>2006</v>
      </c>
      <c r="D4305" s="87" t="s">
        <v>82</v>
      </c>
      <c r="E4305" s="116">
        <v>5087</v>
      </c>
      <c r="F4305" s="87" t="s">
        <v>967</v>
      </c>
      <c r="G4305" s="87" t="s">
        <v>273</v>
      </c>
      <c r="H4305" s="87" t="s">
        <v>967</v>
      </c>
      <c r="I4305" s="87">
        <v>56</v>
      </c>
    </row>
    <row r="4306" spans="1:9" ht="15" customHeight="1" x14ac:dyDescent="0.25">
      <c r="A4306" s="87" t="s">
        <v>80</v>
      </c>
      <c r="B4306" s="87" t="s">
        <v>235</v>
      </c>
      <c r="C4306" s="87">
        <v>2007</v>
      </c>
      <c r="D4306" s="87" t="s">
        <v>82</v>
      </c>
      <c r="E4306" s="116">
        <v>1010</v>
      </c>
      <c r="F4306" s="87" t="s">
        <v>967</v>
      </c>
      <c r="G4306" s="87" t="s">
        <v>273</v>
      </c>
      <c r="H4306" s="87" t="s">
        <v>967</v>
      </c>
      <c r="I4306" s="87">
        <v>56</v>
      </c>
    </row>
    <row r="4307" spans="1:9" ht="15" customHeight="1" x14ac:dyDescent="0.25">
      <c r="A4307" s="87" t="s">
        <v>80</v>
      </c>
      <c r="B4307" s="87" t="s">
        <v>235</v>
      </c>
      <c r="C4307" s="87">
        <v>2008</v>
      </c>
      <c r="D4307" s="87" t="s">
        <v>82</v>
      </c>
      <c r="E4307" s="116">
        <v>4411</v>
      </c>
      <c r="F4307" s="87" t="s">
        <v>967</v>
      </c>
      <c r="G4307" s="87" t="s">
        <v>273</v>
      </c>
      <c r="H4307" s="87" t="s">
        <v>967</v>
      </c>
      <c r="I4307" s="87">
        <v>56</v>
      </c>
    </row>
    <row r="4308" spans="1:9" ht="15" customHeight="1" x14ac:dyDescent="0.25">
      <c r="A4308" s="87" t="s">
        <v>80</v>
      </c>
      <c r="B4308" s="87" t="s">
        <v>235</v>
      </c>
      <c r="C4308" s="87">
        <v>2009</v>
      </c>
      <c r="D4308" s="87" t="s">
        <v>82</v>
      </c>
      <c r="E4308" s="116">
        <v>538</v>
      </c>
      <c r="F4308" s="87" t="s">
        <v>967</v>
      </c>
      <c r="G4308" s="87" t="s">
        <v>273</v>
      </c>
      <c r="H4308" s="87" t="s">
        <v>967</v>
      </c>
      <c r="I4308" s="87">
        <v>56</v>
      </c>
    </row>
    <row r="4309" spans="1:9" ht="15" customHeight="1" x14ac:dyDescent="0.25">
      <c r="A4309" s="87" t="s">
        <v>80</v>
      </c>
      <c r="B4309" s="87" t="s">
        <v>235</v>
      </c>
      <c r="C4309" s="87">
        <v>2010</v>
      </c>
      <c r="D4309" s="87" t="s">
        <v>82</v>
      </c>
      <c r="E4309" s="116">
        <v>5258</v>
      </c>
      <c r="F4309" s="87" t="s">
        <v>967</v>
      </c>
      <c r="G4309" s="87" t="s">
        <v>273</v>
      </c>
      <c r="H4309" s="87" t="s">
        <v>967</v>
      </c>
      <c r="I4309" s="87">
        <v>56</v>
      </c>
    </row>
    <row r="4310" spans="1:9" ht="15" customHeight="1" x14ac:dyDescent="0.25">
      <c r="A4310" s="87" t="s">
        <v>80</v>
      </c>
      <c r="B4310" s="87" t="s">
        <v>235</v>
      </c>
      <c r="C4310" s="87">
        <v>2011</v>
      </c>
      <c r="D4310" s="87" t="s">
        <v>82</v>
      </c>
      <c r="E4310" s="116">
        <v>2731</v>
      </c>
      <c r="F4310" s="87" t="s">
        <v>967</v>
      </c>
      <c r="G4310" s="87" t="s">
        <v>273</v>
      </c>
      <c r="H4310" s="87" t="s">
        <v>967</v>
      </c>
      <c r="I4310" s="87">
        <v>56</v>
      </c>
    </row>
    <row r="4311" spans="1:9" ht="15" customHeight="1" x14ac:dyDescent="0.25">
      <c r="A4311" s="87" t="s">
        <v>80</v>
      </c>
      <c r="B4311" s="87" t="s">
        <v>235</v>
      </c>
      <c r="C4311" s="87">
        <v>2012</v>
      </c>
      <c r="D4311" s="87" t="s">
        <v>82</v>
      </c>
      <c r="E4311" s="116">
        <v>5702</v>
      </c>
      <c r="F4311" s="87" t="s">
        <v>967</v>
      </c>
      <c r="G4311" s="87" t="s">
        <v>273</v>
      </c>
      <c r="H4311" s="87" t="s">
        <v>967</v>
      </c>
      <c r="I4311" s="87">
        <v>56</v>
      </c>
    </row>
    <row r="4312" spans="1:9" ht="15" customHeight="1" x14ac:dyDescent="0.25">
      <c r="A4312" s="87" t="s">
        <v>80</v>
      </c>
      <c r="B4312" s="87" t="s">
        <v>235</v>
      </c>
      <c r="C4312" s="87">
        <v>2013</v>
      </c>
      <c r="D4312" s="87" t="s">
        <v>82</v>
      </c>
      <c r="E4312" s="116">
        <v>3445</v>
      </c>
      <c r="F4312" s="87" t="s">
        <v>967</v>
      </c>
      <c r="G4312" s="87" t="s">
        <v>273</v>
      </c>
      <c r="H4312" s="87" t="s">
        <v>967</v>
      </c>
      <c r="I4312" s="87">
        <v>56</v>
      </c>
    </row>
    <row r="4313" spans="1:9" ht="15" customHeight="1" x14ac:dyDescent="0.25">
      <c r="A4313" s="87" t="s">
        <v>80</v>
      </c>
      <c r="B4313" s="87" t="s">
        <v>235</v>
      </c>
      <c r="C4313" s="87">
        <v>2014</v>
      </c>
      <c r="D4313" s="87" t="s">
        <v>82</v>
      </c>
      <c r="E4313" s="116">
        <v>7122</v>
      </c>
      <c r="F4313" s="87" t="s">
        <v>967</v>
      </c>
      <c r="G4313" s="87" t="s">
        <v>273</v>
      </c>
      <c r="H4313" s="87" t="s">
        <v>967</v>
      </c>
      <c r="I4313" s="87">
        <v>56</v>
      </c>
    </row>
    <row r="4314" spans="1:9" ht="15" customHeight="1" x14ac:dyDescent="0.25">
      <c r="A4314" s="87" t="s">
        <v>80</v>
      </c>
      <c r="B4314" s="87" t="s">
        <v>235</v>
      </c>
      <c r="C4314" s="87">
        <v>2015</v>
      </c>
      <c r="D4314" s="87" t="s">
        <v>82</v>
      </c>
      <c r="E4314" s="116">
        <v>4836</v>
      </c>
      <c r="F4314" s="87" t="s">
        <v>967</v>
      </c>
      <c r="G4314" s="87" t="s">
        <v>273</v>
      </c>
      <c r="H4314" s="87" t="s">
        <v>735</v>
      </c>
      <c r="I4314" s="87">
        <v>56</v>
      </c>
    </row>
    <row r="4315" spans="1:9" ht="15" customHeight="1" x14ac:dyDescent="0.25">
      <c r="A4315" s="87" t="s">
        <v>80</v>
      </c>
      <c r="B4315" s="87" t="s">
        <v>235</v>
      </c>
      <c r="C4315" s="87">
        <v>2016</v>
      </c>
      <c r="D4315" s="87" t="s">
        <v>82</v>
      </c>
      <c r="E4315" s="116">
        <v>2180</v>
      </c>
      <c r="F4315" s="87" t="s">
        <v>967</v>
      </c>
      <c r="G4315" s="87" t="s">
        <v>273</v>
      </c>
      <c r="H4315" s="87" t="s">
        <v>736</v>
      </c>
      <c r="I4315" s="87">
        <v>56</v>
      </c>
    </row>
    <row r="4316" spans="1:9" ht="15" customHeight="1" x14ac:dyDescent="0.25">
      <c r="A4316" s="87" t="s">
        <v>80</v>
      </c>
      <c r="B4316" s="87" t="s">
        <v>235</v>
      </c>
      <c r="C4316" s="87">
        <v>2017</v>
      </c>
      <c r="D4316" s="87" t="s">
        <v>82</v>
      </c>
      <c r="E4316" s="116">
        <v>1702</v>
      </c>
      <c r="F4316" s="87" t="s">
        <v>967</v>
      </c>
      <c r="G4316" s="87" t="s">
        <v>273</v>
      </c>
      <c r="H4316" s="87" t="s">
        <v>967</v>
      </c>
      <c r="I4316" s="87">
        <v>56</v>
      </c>
    </row>
    <row r="4317" spans="1:9" ht="15" customHeight="1" x14ac:dyDescent="0.25">
      <c r="A4317" s="87" t="s">
        <v>80</v>
      </c>
      <c r="B4317" s="87" t="s">
        <v>235</v>
      </c>
      <c r="C4317" s="87">
        <v>2018</v>
      </c>
      <c r="D4317" s="87" t="s">
        <v>82</v>
      </c>
      <c r="E4317" s="116">
        <v>1627</v>
      </c>
      <c r="F4317" s="87" t="s">
        <v>967</v>
      </c>
      <c r="G4317" s="87" t="s">
        <v>273</v>
      </c>
      <c r="H4317" s="87" t="s">
        <v>946</v>
      </c>
      <c r="I4317" s="87">
        <v>56</v>
      </c>
    </row>
    <row r="4318" spans="1:9" ht="15" customHeight="1" x14ac:dyDescent="0.25">
      <c r="A4318" s="87" t="s">
        <v>80</v>
      </c>
      <c r="B4318" s="87" t="s">
        <v>235</v>
      </c>
      <c r="C4318" s="87">
        <v>2019</v>
      </c>
      <c r="D4318" s="87" t="s">
        <v>82</v>
      </c>
      <c r="E4318" s="116">
        <v>3859</v>
      </c>
      <c r="F4318" s="87" t="s">
        <v>967</v>
      </c>
      <c r="G4318" s="87" t="s">
        <v>273</v>
      </c>
      <c r="H4318" s="87" t="s">
        <v>1048</v>
      </c>
      <c r="I4318" s="87">
        <v>56</v>
      </c>
    </row>
    <row r="4319" spans="1:9" ht="15" customHeight="1" x14ac:dyDescent="0.25">
      <c r="A4319" s="87" t="s">
        <v>80</v>
      </c>
      <c r="B4319" s="87" t="s">
        <v>235</v>
      </c>
      <c r="C4319" s="87">
        <v>2020</v>
      </c>
      <c r="D4319" s="87" t="s">
        <v>82</v>
      </c>
      <c r="E4319" s="116">
        <v>3955</v>
      </c>
      <c r="F4319" s="87" t="s">
        <v>967</v>
      </c>
      <c r="G4319" s="87" t="s">
        <v>273</v>
      </c>
      <c r="H4319" s="87" t="s">
        <v>1004</v>
      </c>
      <c r="I4319" s="87">
        <v>56</v>
      </c>
    </row>
    <row r="4320" spans="1:9" ht="15" customHeight="1" x14ac:dyDescent="0.25">
      <c r="A4320" s="87" t="s">
        <v>80</v>
      </c>
      <c r="B4320" s="87" t="s">
        <v>235</v>
      </c>
      <c r="C4320" s="87">
        <v>2021</v>
      </c>
      <c r="D4320" s="87" t="s">
        <v>82</v>
      </c>
      <c r="E4320" s="116">
        <v>4010</v>
      </c>
      <c r="F4320" s="87" t="s">
        <v>967</v>
      </c>
      <c r="G4320" s="87" t="s">
        <v>273</v>
      </c>
      <c r="H4320" s="87" t="s">
        <v>967</v>
      </c>
      <c r="I4320" s="87">
        <v>56</v>
      </c>
    </row>
    <row r="4321" spans="1:9" ht="15" customHeight="1" x14ac:dyDescent="0.25">
      <c r="A4321" s="87" t="s">
        <v>80</v>
      </c>
      <c r="B4321" s="87" t="s">
        <v>235</v>
      </c>
      <c r="C4321" s="87">
        <v>2022</v>
      </c>
      <c r="D4321" s="87" t="s">
        <v>82</v>
      </c>
      <c r="E4321" s="116">
        <v>7438</v>
      </c>
      <c r="F4321" s="87" t="s">
        <v>967</v>
      </c>
      <c r="G4321" s="87" t="s">
        <v>273</v>
      </c>
      <c r="H4321" s="87" t="s">
        <v>967</v>
      </c>
      <c r="I4321" s="87">
        <v>56</v>
      </c>
    </row>
    <row r="4322" spans="1:9" ht="15" customHeight="1" x14ac:dyDescent="0.25">
      <c r="A4322" s="87" t="s">
        <v>80</v>
      </c>
      <c r="B4322" s="87" t="s">
        <v>239</v>
      </c>
      <c r="C4322" s="87">
        <v>1975</v>
      </c>
      <c r="D4322" s="87" t="s">
        <v>82</v>
      </c>
      <c r="E4322" s="116">
        <v>850</v>
      </c>
      <c r="F4322" s="87" t="s">
        <v>768</v>
      </c>
      <c r="G4322" s="87" t="s">
        <v>967</v>
      </c>
      <c r="H4322" s="87" t="s">
        <v>768</v>
      </c>
      <c r="I4322" s="87">
        <v>55</v>
      </c>
    </row>
    <row r="4323" spans="1:9" ht="15" customHeight="1" x14ac:dyDescent="0.25">
      <c r="A4323" s="87" t="s">
        <v>80</v>
      </c>
      <c r="B4323" s="87" t="s">
        <v>239</v>
      </c>
      <c r="C4323" s="87">
        <v>1976</v>
      </c>
      <c r="D4323" s="87" t="s">
        <v>82</v>
      </c>
      <c r="E4323" s="116">
        <v>200</v>
      </c>
      <c r="F4323" s="87" t="s">
        <v>768</v>
      </c>
      <c r="G4323" s="87" t="s">
        <v>967</v>
      </c>
      <c r="H4323" s="87" t="s">
        <v>768</v>
      </c>
      <c r="I4323" s="87">
        <v>55</v>
      </c>
    </row>
    <row r="4324" spans="1:9" ht="15" customHeight="1" x14ac:dyDescent="0.25">
      <c r="A4324" s="87" t="s">
        <v>80</v>
      </c>
      <c r="B4324" s="87" t="s">
        <v>239</v>
      </c>
      <c r="C4324" s="87">
        <v>1977</v>
      </c>
      <c r="D4324" s="87" t="s">
        <v>82</v>
      </c>
      <c r="E4324" s="116">
        <v>150</v>
      </c>
      <c r="F4324" s="87" t="s">
        <v>768</v>
      </c>
      <c r="G4324" s="87" t="s">
        <v>967</v>
      </c>
      <c r="H4324" s="87" t="s">
        <v>768</v>
      </c>
      <c r="I4324" s="87">
        <v>55</v>
      </c>
    </row>
    <row r="4325" spans="1:9" ht="15" customHeight="1" x14ac:dyDescent="0.25">
      <c r="A4325" s="87" t="s">
        <v>80</v>
      </c>
      <c r="B4325" s="87" t="s">
        <v>239</v>
      </c>
      <c r="C4325" s="87">
        <v>1978</v>
      </c>
      <c r="D4325" s="87" t="s">
        <v>82</v>
      </c>
      <c r="E4325" s="116">
        <v>80</v>
      </c>
      <c r="F4325" s="87" t="s">
        <v>768</v>
      </c>
      <c r="G4325" s="87" t="s">
        <v>967</v>
      </c>
      <c r="H4325" s="87" t="s">
        <v>768</v>
      </c>
      <c r="I4325" s="87">
        <v>55</v>
      </c>
    </row>
    <row r="4326" spans="1:9" ht="15" customHeight="1" x14ac:dyDescent="0.25">
      <c r="A4326" s="87" t="s">
        <v>80</v>
      </c>
      <c r="B4326" s="87" t="s">
        <v>239</v>
      </c>
      <c r="C4326" s="87">
        <v>1979</v>
      </c>
      <c r="D4326" s="87" t="s">
        <v>82</v>
      </c>
      <c r="E4326" s="116">
        <v>50</v>
      </c>
      <c r="F4326" s="87" t="s">
        <v>768</v>
      </c>
      <c r="G4326" s="87" t="s">
        <v>967</v>
      </c>
      <c r="H4326" s="87" t="s">
        <v>768</v>
      </c>
      <c r="I4326" s="87">
        <v>55</v>
      </c>
    </row>
    <row r="4327" spans="1:9" ht="15" customHeight="1" x14ac:dyDescent="0.25">
      <c r="A4327" s="87" t="s">
        <v>80</v>
      </c>
      <c r="B4327" s="87" t="s">
        <v>239</v>
      </c>
      <c r="C4327" s="87">
        <v>1980</v>
      </c>
      <c r="D4327" s="87" t="s">
        <v>82</v>
      </c>
      <c r="E4327" s="116">
        <v>200</v>
      </c>
      <c r="F4327" s="87" t="s">
        <v>768</v>
      </c>
      <c r="G4327" s="87" t="s">
        <v>967</v>
      </c>
      <c r="H4327" s="87" t="s">
        <v>768</v>
      </c>
      <c r="I4327" s="87">
        <v>55</v>
      </c>
    </row>
    <row r="4328" spans="1:9" ht="15" customHeight="1" x14ac:dyDescent="0.25">
      <c r="A4328" s="87" t="s">
        <v>80</v>
      </c>
      <c r="B4328" s="87" t="s">
        <v>239</v>
      </c>
      <c r="C4328" s="87">
        <v>1981</v>
      </c>
      <c r="D4328" s="87" t="s">
        <v>82</v>
      </c>
      <c r="E4328" s="116">
        <v>100</v>
      </c>
      <c r="F4328" s="87" t="s">
        <v>768</v>
      </c>
      <c r="G4328" s="87" t="s">
        <v>967</v>
      </c>
      <c r="H4328" s="87" t="s">
        <v>768</v>
      </c>
      <c r="I4328" s="87">
        <v>55</v>
      </c>
    </row>
    <row r="4329" spans="1:9" ht="15" customHeight="1" x14ac:dyDescent="0.25">
      <c r="A4329" s="87" t="s">
        <v>80</v>
      </c>
      <c r="B4329" s="87" t="s">
        <v>239</v>
      </c>
      <c r="C4329" s="87">
        <v>1982</v>
      </c>
      <c r="D4329" s="87" t="s">
        <v>82</v>
      </c>
      <c r="E4329" s="116">
        <v>200</v>
      </c>
      <c r="F4329" s="87" t="s">
        <v>768</v>
      </c>
      <c r="G4329" s="87" t="s">
        <v>967</v>
      </c>
      <c r="H4329" s="87" t="s">
        <v>768</v>
      </c>
      <c r="I4329" s="87">
        <v>55</v>
      </c>
    </row>
    <row r="4330" spans="1:9" x14ac:dyDescent="0.25">
      <c r="A4330" s="87" t="s">
        <v>80</v>
      </c>
      <c r="B4330" s="87" t="s">
        <v>239</v>
      </c>
      <c r="C4330" s="87">
        <v>1983</v>
      </c>
      <c r="D4330" s="87" t="s">
        <v>82</v>
      </c>
      <c r="E4330" s="116">
        <v>102</v>
      </c>
      <c r="F4330" s="87" t="s">
        <v>768</v>
      </c>
      <c r="G4330" s="87" t="s">
        <v>967</v>
      </c>
      <c r="H4330" s="87" t="s">
        <v>768</v>
      </c>
      <c r="I4330" s="87">
        <v>55</v>
      </c>
    </row>
    <row r="4331" spans="1:9" x14ac:dyDescent="0.25">
      <c r="A4331" s="87" t="s">
        <v>80</v>
      </c>
      <c r="B4331" s="87" t="s">
        <v>239</v>
      </c>
      <c r="C4331" s="87">
        <v>1984</v>
      </c>
      <c r="D4331" s="87" t="s">
        <v>82</v>
      </c>
      <c r="E4331" s="116">
        <v>256</v>
      </c>
      <c r="F4331" s="87" t="s">
        <v>768</v>
      </c>
      <c r="G4331" s="87" t="s">
        <v>967</v>
      </c>
      <c r="H4331" s="87" t="s">
        <v>768</v>
      </c>
      <c r="I4331" s="87">
        <v>55</v>
      </c>
    </row>
    <row r="4332" spans="1:9" x14ac:dyDescent="0.25">
      <c r="A4332" s="87" t="s">
        <v>80</v>
      </c>
      <c r="B4332" s="87" t="s">
        <v>239</v>
      </c>
      <c r="C4332" s="87">
        <v>1985</v>
      </c>
      <c r="D4332" s="87" t="s">
        <v>82</v>
      </c>
      <c r="E4332" s="116">
        <v>100</v>
      </c>
      <c r="F4332" s="87" t="s">
        <v>768</v>
      </c>
      <c r="G4332" s="87" t="s">
        <v>967</v>
      </c>
      <c r="H4332" s="87" t="s">
        <v>768</v>
      </c>
      <c r="I4332" s="87">
        <v>55</v>
      </c>
    </row>
    <row r="4333" spans="1:9" x14ac:dyDescent="0.25">
      <c r="A4333" s="87" t="s">
        <v>80</v>
      </c>
      <c r="B4333" s="87" t="s">
        <v>239</v>
      </c>
      <c r="C4333" s="87">
        <v>1986</v>
      </c>
      <c r="D4333" s="87" t="s">
        <v>82</v>
      </c>
      <c r="E4333" s="116">
        <v>350</v>
      </c>
      <c r="F4333" s="87" t="s">
        <v>768</v>
      </c>
      <c r="G4333" s="87" t="s">
        <v>967</v>
      </c>
      <c r="H4333" s="87" t="s">
        <v>768</v>
      </c>
      <c r="I4333" s="87">
        <v>55</v>
      </c>
    </row>
    <row r="4334" spans="1:9" x14ac:dyDescent="0.25">
      <c r="A4334" s="87" t="s">
        <v>80</v>
      </c>
      <c r="B4334" s="87" t="s">
        <v>239</v>
      </c>
      <c r="C4334" s="87">
        <v>1987</v>
      </c>
      <c r="D4334" s="87" t="s">
        <v>82</v>
      </c>
      <c r="E4334" s="116">
        <v>475</v>
      </c>
      <c r="F4334" s="87" t="s">
        <v>768</v>
      </c>
      <c r="G4334" s="87" t="s">
        <v>967</v>
      </c>
      <c r="H4334" s="87" t="s">
        <v>768</v>
      </c>
      <c r="I4334" s="87">
        <v>55</v>
      </c>
    </row>
    <row r="4335" spans="1:9" x14ac:dyDescent="0.25">
      <c r="A4335" s="87" t="s">
        <v>80</v>
      </c>
      <c r="B4335" s="87" t="s">
        <v>239</v>
      </c>
      <c r="C4335" s="87">
        <v>1988</v>
      </c>
      <c r="D4335" s="87" t="s">
        <v>82</v>
      </c>
      <c r="E4335" s="116">
        <v>150</v>
      </c>
      <c r="F4335" s="87" t="s">
        <v>768</v>
      </c>
      <c r="G4335" s="87" t="s">
        <v>967</v>
      </c>
      <c r="H4335" s="87" t="s">
        <v>768</v>
      </c>
      <c r="I4335" s="87">
        <v>55</v>
      </c>
    </row>
    <row r="4336" spans="1:9" x14ac:dyDescent="0.25">
      <c r="A4336" s="87" t="s">
        <v>80</v>
      </c>
      <c r="B4336" s="87" t="s">
        <v>239</v>
      </c>
      <c r="C4336" s="87">
        <v>1989</v>
      </c>
      <c r="D4336" s="87" t="s">
        <v>82</v>
      </c>
      <c r="E4336" s="116">
        <v>500</v>
      </c>
      <c r="F4336" s="87" t="s">
        <v>768</v>
      </c>
      <c r="G4336" s="87" t="s">
        <v>967</v>
      </c>
      <c r="H4336" s="87" t="s">
        <v>768</v>
      </c>
      <c r="I4336" s="87">
        <v>55</v>
      </c>
    </row>
    <row r="4337" spans="1:9" x14ac:dyDescent="0.25">
      <c r="A4337" s="87" t="s">
        <v>80</v>
      </c>
      <c r="B4337" s="87" t="s">
        <v>239</v>
      </c>
      <c r="C4337" s="87">
        <v>1990</v>
      </c>
      <c r="D4337" s="87" t="s">
        <v>82</v>
      </c>
      <c r="E4337" s="116">
        <v>100</v>
      </c>
      <c r="F4337" s="87" t="s">
        <v>768</v>
      </c>
      <c r="G4337" s="87" t="s">
        <v>967</v>
      </c>
      <c r="H4337" s="87" t="s">
        <v>768</v>
      </c>
      <c r="I4337" s="87">
        <v>55</v>
      </c>
    </row>
    <row r="4338" spans="1:9" x14ac:dyDescent="0.25">
      <c r="A4338" s="87" t="s">
        <v>80</v>
      </c>
      <c r="B4338" s="87" t="s">
        <v>239</v>
      </c>
      <c r="C4338" s="87">
        <v>1991</v>
      </c>
      <c r="D4338" s="87" t="s">
        <v>82</v>
      </c>
      <c r="E4338" s="116">
        <v>248</v>
      </c>
      <c r="F4338" s="87" t="s">
        <v>768</v>
      </c>
      <c r="G4338" s="87" t="s">
        <v>967</v>
      </c>
      <c r="H4338" s="87" t="s">
        <v>768</v>
      </c>
      <c r="I4338" s="87">
        <v>55</v>
      </c>
    </row>
    <row r="4339" spans="1:9" x14ac:dyDescent="0.25">
      <c r="A4339" s="87" t="s">
        <v>80</v>
      </c>
      <c r="B4339" s="87" t="s">
        <v>239</v>
      </c>
      <c r="C4339" s="87">
        <v>1992</v>
      </c>
      <c r="D4339" s="87" t="s">
        <v>82</v>
      </c>
      <c r="E4339" s="116">
        <v>250</v>
      </c>
      <c r="F4339" s="87" t="s">
        <v>768</v>
      </c>
      <c r="G4339" s="87" t="s">
        <v>967</v>
      </c>
      <c r="H4339" s="87" t="s">
        <v>768</v>
      </c>
      <c r="I4339" s="87">
        <v>55</v>
      </c>
    </row>
    <row r="4340" spans="1:9" x14ac:dyDescent="0.25">
      <c r="A4340" s="87" t="s">
        <v>80</v>
      </c>
      <c r="B4340" s="87" t="s">
        <v>239</v>
      </c>
      <c r="C4340" s="87">
        <v>1993</v>
      </c>
      <c r="D4340" s="87" t="s">
        <v>82</v>
      </c>
      <c r="E4340" s="116">
        <v>900</v>
      </c>
      <c r="F4340" s="87" t="s">
        <v>768</v>
      </c>
      <c r="G4340" s="87" t="s">
        <v>967</v>
      </c>
      <c r="H4340" s="87" t="s">
        <v>768</v>
      </c>
      <c r="I4340" s="87">
        <v>55</v>
      </c>
    </row>
    <row r="4341" spans="1:9" x14ac:dyDescent="0.25">
      <c r="A4341" s="87" t="s">
        <v>80</v>
      </c>
      <c r="B4341" s="87" t="s">
        <v>239</v>
      </c>
      <c r="C4341" s="87">
        <v>1994</v>
      </c>
      <c r="D4341" s="87" t="s">
        <v>82</v>
      </c>
      <c r="E4341" s="116">
        <v>367</v>
      </c>
      <c r="F4341" s="87" t="s">
        <v>768</v>
      </c>
      <c r="G4341" s="87" t="s">
        <v>967</v>
      </c>
      <c r="H4341" s="87" t="s">
        <v>768</v>
      </c>
      <c r="I4341" s="87">
        <v>55</v>
      </c>
    </row>
    <row r="4342" spans="1:9" x14ac:dyDescent="0.25">
      <c r="A4342" s="87" t="s">
        <v>80</v>
      </c>
      <c r="B4342" s="87" t="s">
        <v>239</v>
      </c>
      <c r="C4342" s="87">
        <v>1995</v>
      </c>
      <c r="D4342" s="87" t="s">
        <v>82</v>
      </c>
      <c r="E4342" s="116">
        <v>575</v>
      </c>
      <c r="F4342" s="87" t="s">
        <v>967</v>
      </c>
      <c r="G4342" s="87" t="s">
        <v>967</v>
      </c>
      <c r="H4342" s="87" t="s">
        <v>967</v>
      </c>
      <c r="I4342" s="87">
        <v>55</v>
      </c>
    </row>
    <row r="4343" spans="1:9" x14ac:dyDescent="0.25">
      <c r="A4343" s="87" t="s">
        <v>80</v>
      </c>
      <c r="B4343" s="87" t="s">
        <v>239</v>
      </c>
      <c r="C4343" s="87">
        <v>1996</v>
      </c>
      <c r="D4343" s="87" t="s">
        <v>82</v>
      </c>
      <c r="E4343" s="116">
        <v>592</v>
      </c>
      <c r="F4343" s="87" t="s">
        <v>967</v>
      </c>
      <c r="G4343" s="87" t="s">
        <v>967</v>
      </c>
      <c r="H4343" s="87" t="s">
        <v>967</v>
      </c>
      <c r="I4343" s="87">
        <v>55</v>
      </c>
    </row>
    <row r="4344" spans="1:9" x14ac:dyDescent="0.25">
      <c r="A4344" s="87" t="s">
        <v>80</v>
      </c>
      <c r="B4344" s="87" t="s">
        <v>239</v>
      </c>
      <c r="C4344" s="87">
        <v>1997</v>
      </c>
      <c r="D4344" s="87" t="s">
        <v>82</v>
      </c>
      <c r="E4344" s="116">
        <v>543</v>
      </c>
      <c r="F4344" s="87" t="s">
        <v>967</v>
      </c>
      <c r="G4344" s="87" t="s">
        <v>967</v>
      </c>
      <c r="H4344" s="87" t="s">
        <v>967</v>
      </c>
      <c r="I4344" s="87">
        <v>55</v>
      </c>
    </row>
    <row r="4345" spans="1:9" x14ac:dyDescent="0.25">
      <c r="A4345" s="87" t="s">
        <v>80</v>
      </c>
      <c r="B4345" s="87" t="s">
        <v>239</v>
      </c>
      <c r="C4345" s="87">
        <v>1998</v>
      </c>
      <c r="D4345" s="87" t="s">
        <v>82</v>
      </c>
      <c r="E4345" s="116">
        <v>373</v>
      </c>
      <c r="F4345" s="87" t="s">
        <v>967</v>
      </c>
      <c r="G4345" s="87" t="s">
        <v>272</v>
      </c>
      <c r="H4345" s="87" t="s">
        <v>807</v>
      </c>
      <c r="I4345" s="87">
        <v>55</v>
      </c>
    </row>
    <row r="4346" spans="1:9" x14ac:dyDescent="0.25">
      <c r="A4346" s="87" t="s">
        <v>80</v>
      </c>
      <c r="B4346" s="87" t="s">
        <v>239</v>
      </c>
      <c r="C4346" s="87">
        <v>1999</v>
      </c>
      <c r="D4346" s="87" t="s">
        <v>82</v>
      </c>
      <c r="E4346" s="116">
        <v>52</v>
      </c>
      <c r="F4346" s="87" t="s">
        <v>967</v>
      </c>
      <c r="G4346" s="87" t="s">
        <v>272</v>
      </c>
      <c r="H4346" s="87" t="s">
        <v>967</v>
      </c>
      <c r="I4346" s="87">
        <v>55</v>
      </c>
    </row>
    <row r="4347" spans="1:9" x14ac:dyDescent="0.25">
      <c r="A4347" s="87" t="s">
        <v>80</v>
      </c>
      <c r="B4347" s="87" t="s">
        <v>239</v>
      </c>
      <c r="C4347" s="87">
        <v>2000</v>
      </c>
      <c r="D4347" s="87" t="s">
        <v>82</v>
      </c>
      <c r="E4347" s="116">
        <v>668</v>
      </c>
      <c r="F4347" s="87" t="s">
        <v>967</v>
      </c>
      <c r="G4347" s="87" t="s">
        <v>272</v>
      </c>
      <c r="H4347" s="87" t="s">
        <v>808</v>
      </c>
      <c r="I4347" s="87">
        <v>55</v>
      </c>
    </row>
    <row r="4348" spans="1:9" x14ac:dyDescent="0.25">
      <c r="A4348" s="87" t="s">
        <v>80</v>
      </c>
      <c r="B4348" s="87" t="s">
        <v>239</v>
      </c>
      <c r="C4348" s="87">
        <v>2001</v>
      </c>
      <c r="D4348" s="87" t="s">
        <v>82</v>
      </c>
      <c r="E4348" s="116">
        <v>603</v>
      </c>
      <c r="F4348" s="87" t="s">
        <v>967</v>
      </c>
      <c r="G4348" s="87" t="s">
        <v>272</v>
      </c>
      <c r="H4348" s="87" t="s">
        <v>808</v>
      </c>
      <c r="I4348" s="87">
        <v>55</v>
      </c>
    </row>
    <row r="4349" spans="1:9" x14ac:dyDescent="0.25">
      <c r="A4349" s="87" t="s">
        <v>80</v>
      </c>
      <c r="B4349" s="87" t="s">
        <v>239</v>
      </c>
      <c r="C4349" s="87">
        <v>2002</v>
      </c>
      <c r="D4349" s="87" t="s">
        <v>82</v>
      </c>
      <c r="E4349" s="116">
        <v>869</v>
      </c>
      <c r="F4349" s="87" t="s">
        <v>809</v>
      </c>
      <c r="G4349" s="87" t="s">
        <v>272</v>
      </c>
      <c r="H4349" s="87" t="s">
        <v>967</v>
      </c>
      <c r="I4349" s="87">
        <v>55</v>
      </c>
    </row>
    <row r="4350" spans="1:9" x14ac:dyDescent="0.25">
      <c r="A4350" s="87" t="s">
        <v>80</v>
      </c>
      <c r="B4350" s="87" t="s">
        <v>239</v>
      </c>
      <c r="C4350" s="87">
        <v>2003</v>
      </c>
      <c r="D4350" s="87" t="s">
        <v>82</v>
      </c>
      <c r="E4350" s="116">
        <v>1170</v>
      </c>
      <c r="F4350" s="87" t="s">
        <v>967</v>
      </c>
      <c r="G4350" s="87" t="s">
        <v>272</v>
      </c>
      <c r="H4350" s="87" t="s">
        <v>967</v>
      </c>
      <c r="I4350" s="87">
        <v>55</v>
      </c>
    </row>
    <row r="4351" spans="1:9" x14ac:dyDescent="0.25">
      <c r="A4351" s="87" t="s">
        <v>80</v>
      </c>
      <c r="B4351" s="87" t="s">
        <v>239</v>
      </c>
      <c r="C4351" s="87">
        <v>2004</v>
      </c>
      <c r="D4351" s="87" t="s">
        <v>82</v>
      </c>
      <c r="E4351" s="116">
        <v>1866</v>
      </c>
      <c r="F4351" s="87" t="s">
        <v>967</v>
      </c>
      <c r="G4351" s="87" t="s">
        <v>272</v>
      </c>
      <c r="H4351" s="87" t="s">
        <v>967</v>
      </c>
      <c r="I4351" s="87">
        <v>55</v>
      </c>
    </row>
    <row r="4352" spans="1:9" x14ac:dyDescent="0.25">
      <c r="A4352" s="87" t="s">
        <v>80</v>
      </c>
      <c r="B4352" s="87" t="s">
        <v>239</v>
      </c>
      <c r="C4352" s="87">
        <v>2005</v>
      </c>
      <c r="D4352" s="87" t="s">
        <v>82</v>
      </c>
      <c r="E4352" s="116">
        <v>178</v>
      </c>
      <c r="F4352" s="87" t="s">
        <v>416</v>
      </c>
      <c r="G4352" s="87" t="s">
        <v>272</v>
      </c>
      <c r="H4352" s="87" t="s">
        <v>967</v>
      </c>
      <c r="I4352" s="87">
        <v>55</v>
      </c>
    </row>
    <row r="4353" spans="1:9" x14ac:dyDescent="0.25">
      <c r="A4353" s="87" t="s">
        <v>80</v>
      </c>
      <c r="B4353" s="87" t="s">
        <v>239</v>
      </c>
      <c r="C4353" s="87">
        <v>2006</v>
      </c>
      <c r="D4353" s="87" t="s">
        <v>82</v>
      </c>
      <c r="E4353" s="116">
        <v>529</v>
      </c>
      <c r="F4353" s="87" t="s">
        <v>967</v>
      </c>
      <c r="G4353" s="87" t="s">
        <v>272</v>
      </c>
      <c r="H4353" s="87" t="s">
        <v>967</v>
      </c>
      <c r="I4353" s="87">
        <v>55</v>
      </c>
    </row>
    <row r="4354" spans="1:9" x14ac:dyDescent="0.25">
      <c r="A4354" s="87" t="s">
        <v>80</v>
      </c>
      <c r="B4354" s="87" t="s">
        <v>239</v>
      </c>
      <c r="C4354" s="87">
        <v>2007</v>
      </c>
      <c r="D4354" s="87" t="s">
        <v>82</v>
      </c>
      <c r="E4354" s="116">
        <v>15</v>
      </c>
      <c r="F4354" s="87" t="s">
        <v>417</v>
      </c>
      <c r="G4354" s="87" t="s">
        <v>272</v>
      </c>
      <c r="H4354" s="87" t="s">
        <v>967</v>
      </c>
      <c r="I4354" s="87">
        <v>55</v>
      </c>
    </row>
    <row r="4355" spans="1:9" x14ac:dyDescent="0.25">
      <c r="A4355" s="87" t="s">
        <v>80</v>
      </c>
      <c r="B4355" s="87" t="s">
        <v>239</v>
      </c>
      <c r="C4355" s="87">
        <v>2008</v>
      </c>
      <c r="D4355" s="87" t="s">
        <v>82</v>
      </c>
      <c r="E4355" s="116">
        <v>168</v>
      </c>
      <c r="F4355" s="87" t="s">
        <v>967</v>
      </c>
      <c r="G4355" s="87" t="s">
        <v>272</v>
      </c>
      <c r="H4355" s="87" t="s">
        <v>967</v>
      </c>
      <c r="I4355" s="87">
        <v>55</v>
      </c>
    </row>
    <row r="4356" spans="1:9" x14ac:dyDescent="0.25">
      <c r="A4356" s="87" t="s">
        <v>80</v>
      </c>
      <c r="B4356" s="87" t="s">
        <v>239</v>
      </c>
      <c r="C4356" s="87">
        <v>2009</v>
      </c>
      <c r="D4356" s="87" t="s">
        <v>82</v>
      </c>
      <c r="E4356" s="116">
        <v>138</v>
      </c>
      <c r="F4356" s="87" t="s">
        <v>967</v>
      </c>
      <c r="G4356" s="87" t="s">
        <v>272</v>
      </c>
      <c r="H4356" s="87" t="s">
        <v>810</v>
      </c>
      <c r="I4356" s="87">
        <v>55</v>
      </c>
    </row>
    <row r="4357" spans="1:9" x14ac:dyDescent="0.25">
      <c r="A4357" s="87" t="s">
        <v>80</v>
      </c>
      <c r="B4357" s="87" t="s">
        <v>239</v>
      </c>
      <c r="C4357" s="87">
        <v>2010</v>
      </c>
      <c r="D4357" s="87" t="s">
        <v>82</v>
      </c>
      <c r="E4357" s="116">
        <v>206</v>
      </c>
      <c r="F4357" s="87" t="s">
        <v>967</v>
      </c>
      <c r="G4357" s="87" t="s">
        <v>272</v>
      </c>
      <c r="H4357" s="87" t="s">
        <v>967</v>
      </c>
      <c r="I4357" s="87">
        <v>55</v>
      </c>
    </row>
    <row r="4358" spans="1:9" x14ac:dyDescent="0.25">
      <c r="A4358" s="87" t="s">
        <v>80</v>
      </c>
      <c r="B4358" s="87" t="s">
        <v>239</v>
      </c>
      <c r="C4358" s="87">
        <v>2011</v>
      </c>
      <c r="D4358" s="87" t="s">
        <v>82</v>
      </c>
      <c r="E4358" s="116">
        <v>32</v>
      </c>
      <c r="F4358" s="87" t="s">
        <v>967</v>
      </c>
      <c r="G4358" s="87" t="s">
        <v>272</v>
      </c>
      <c r="H4358" s="87" t="s">
        <v>967</v>
      </c>
      <c r="I4358" s="87">
        <v>55</v>
      </c>
    </row>
    <row r="4359" spans="1:9" x14ac:dyDescent="0.25">
      <c r="A4359" s="87" t="s">
        <v>80</v>
      </c>
      <c r="B4359" s="87" t="s">
        <v>239</v>
      </c>
      <c r="C4359" s="87">
        <v>2012</v>
      </c>
      <c r="D4359" s="87" t="s">
        <v>82</v>
      </c>
      <c r="E4359" s="116">
        <v>648</v>
      </c>
      <c r="F4359" s="87" t="s">
        <v>967</v>
      </c>
      <c r="G4359" s="87" t="s">
        <v>272</v>
      </c>
      <c r="H4359" s="87" t="s">
        <v>967</v>
      </c>
      <c r="I4359" s="87">
        <v>55</v>
      </c>
    </row>
    <row r="4360" spans="1:9" x14ac:dyDescent="0.25">
      <c r="A4360" s="87" t="s">
        <v>80</v>
      </c>
      <c r="B4360" s="87" t="s">
        <v>239</v>
      </c>
      <c r="C4360" s="87">
        <v>2013</v>
      </c>
      <c r="D4360" s="87" t="s">
        <v>82</v>
      </c>
      <c r="E4360" s="116">
        <v>335</v>
      </c>
      <c r="F4360" s="87" t="s">
        <v>967</v>
      </c>
      <c r="G4360" s="87" t="s">
        <v>272</v>
      </c>
      <c r="H4360" s="87" t="s">
        <v>967</v>
      </c>
      <c r="I4360" s="87">
        <v>55</v>
      </c>
    </row>
    <row r="4361" spans="1:9" x14ac:dyDescent="0.25">
      <c r="A4361" s="87" t="s">
        <v>80</v>
      </c>
      <c r="B4361" s="87" t="s">
        <v>239</v>
      </c>
      <c r="C4361" s="87">
        <v>2014</v>
      </c>
      <c r="D4361" s="87" t="s">
        <v>82</v>
      </c>
      <c r="E4361" s="116">
        <v>1117</v>
      </c>
      <c r="F4361" s="87" t="s">
        <v>967</v>
      </c>
      <c r="G4361" s="87" t="s">
        <v>272</v>
      </c>
      <c r="H4361" s="87" t="s">
        <v>967</v>
      </c>
      <c r="I4361" s="87">
        <v>55</v>
      </c>
    </row>
    <row r="4362" spans="1:9" x14ac:dyDescent="0.25">
      <c r="A4362" s="87" t="s">
        <v>80</v>
      </c>
      <c r="B4362" s="87" t="s">
        <v>239</v>
      </c>
      <c r="C4362" s="87">
        <v>2015</v>
      </c>
      <c r="D4362" s="87" t="s">
        <v>82</v>
      </c>
      <c r="E4362" s="116">
        <v>240</v>
      </c>
      <c r="F4362" s="87" t="s">
        <v>967</v>
      </c>
      <c r="G4362" s="87" t="s">
        <v>272</v>
      </c>
      <c r="H4362" s="87" t="s">
        <v>811</v>
      </c>
      <c r="I4362" s="87">
        <v>55</v>
      </c>
    </row>
    <row r="4363" spans="1:9" x14ac:dyDescent="0.25">
      <c r="A4363" s="87" t="s">
        <v>80</v>
      </c>
      <c r="B4363" s="87" t="s">
        <v>239</v>
      </c>
      <c r="C4363" s="87">
        <v>2016</v>
      </c>
      <c r="D4363" s="87" t="s">
        <v>82</v>
      </c>
      <c r="E4363" s="116">
        <v>268</v>
      </c>
      <c r="F4363" s="87" t="s">
        <v>967</v>
      </c>
      <c r="G4363" s="87" t="s">
        <v>272</v>
      </c>
      <c r="H4363" s="87" t="s">
        <v>812</v>
      </c>
      <c r="I4363" s="87">
        <v>55</v>
      </c>
    </row>
    <row r="4364" spans="1:9" x14ac:dyDescent="0.25">
      <c r="A4364" s="87" t="s">
        <v>80</v>
      </c>
      <c r="B4364" s="87" t="s">
        <v>239</v>
      </c>
      <c r="C4364" s="87">
        <v>2017</v>
      </c>
      <c r="D4364" s="87" t="s">
        <v>82</v>
      </c>
      <c r="E4364" s="116">
        <v>68</v>
      </c>
      <c r="F4364" s="87" t="s">
        <v>967</v>
      </c>
      <c r="G4364" s="87" t="s">
        <v>272</v>
      </c>
      <c r="H4364" s="87" t="s">
        <v>967</v>
      </c>
      <c r="I4364" s="87">
        <v>55</v>
      </c>
    </row>
    <row r="4365" spans="1:9" x14ac:dyDescent="0.25">
      <c r="A4365" s="87" t="s">
        <v>80</v>
      </c>
      <c r="B4365" s="87" t="s">
        <v>239</v>
      </c>
      <c r="C4365" s="87">
        <v>2018</v>
      </c>
      <c r="D4365" s="87" t="s">
        <v>82</v>
      </c>
      <c r="E4365" s="116">
        <v>82</v>
      </c>
      <c r="F4365" s="87" t="s">
        <v>967</v>
      </c>
      <c r="G4365" s="87" t="s">
        <v>272</v>
      </c>
      <c r="H4365" s="87" t="s">
        <v>967</v>
      </c>
      <c r="I4365" s="87">
        <v>55</v>
      </c>
    </row>
    <row r="4366" spans="1:9" x14ac:dyDescent="0.25">
      <c r="A4366" s="87" t="s">
        <v>80</v>
      </c>
      <c r="B4366" s="87" t="s">
        <v>239</v>
      </c>
      <c r="C4366" s="87">
        <v>2019</v>
      </c>
      <c r="D4366" s="87" t="s">
        <v>82</v>
      </c>
      <c r="E4366" s="116">
        <v>237</v>
      </c>
      <c r="F4366" s="87" t="s">
        <v>967</v>
      </c>
      <c r="G4366" s="87" t="s">
        <v>272</v>
      </c>
      <c r="H4366" s="87" t="s">
        <v>967</v>
      </c>
      <c r="I4366" s="87">
        <v>55</v>
      </c>
    </row>
    <row r="4367" spans="1:9" x14ac:dyDescent="0.25">
      <c r="A4367" s="87" t="s">
        <v>80</v>
      </c>
      <c r="B4367" s="87" t="s">
        <v>239</v>
      </c>
      <c r="C4367" s="87">
        <v>2020</v>
      </c>
      <c r="D4367" s="87" t="s">
        <v>82</v>
      </c>
      <c r="E4367" s="116">
        <v>212</v>
      </c>
      <c r="F4367" s="87" t="s">
        <v>967</v>
      </c>
      <c r="G4367" s="87" t="s">
        <v>272</v>
      </c>
      <c r="H4367" s="87" t="s">
        <v>967</v>
      </c>
      <c r="I4367" s="87">
        <v>55</v>
      </c>
    </row>
    <row r="4368" spans="1:9" x14ac:dyDescent="0.25">
      <c r="A4368" s="87" t="s">
        <v>80</v>
      </c>
      <c r="B4368" s="87" t="s">
        <v>239</v>
      </c>
      <c r="C4368" s="87">
        <v>2021</v>
      </c>
      <c r="D4368" s="87" t="s">
        <v>82</v>
      </c>
      <c r="E4368" s="116">
        <v>166</v>
      </c>
      <c r="F4368" s="87" t="s">
        <v>967</v>
      </c>
      <c r="G4368" s="87" t="s">
        <v>272</v>
      </c>
      <c r="H4368" s="87" t="s">
        <v>967</v>
      </c>
      <c r="I4368" s="87">
        <v>55</v>
      </c>
    </row>
    <row r="4369" spans="1:9" x14ac:dyDescent="0.25">
      <c r="A4369" s="87" t="s">
        <v>80</v>
      </c>
      <c r="B4369" s="87" t="s">
        <v>239</v>
      </c>
      <c r="C4369" s="87">
        <v>2022</v>
      </c>
      <c r="D4369" s="87" t="s">
        <v>82</v>
      </c>
      <c r="E4369" s="116">
        <v>494</v>
      </c>
      <c r="F4369" s="87" t="s">
        <v>967</v>
      </c>
      <c r="G4369" s="87" t="s">
        <v>272</v>
      </c>
      <c r="H4369" s="87" t="s">
        <v>967</v>
      </c>
      <c r="I4369" s="87">
        <v>55</v>
      </c>
    </row>
    <row r="4370" spans="1:9" x14ac:dyDescent="0.25">
      <c r="A4370" s="87" t="s">
        <v>92</v>
      </c>
      <c r="B4370" s="87" t="s">
        <v>418</v>
      </c>
      <c r="C4370" s="87">
        <v>1975</v>
      </c>
      <c r="D4370" s="87" t="s">
        <v>15</v>
      </c>
      <c r="E4370" s="116">
        <v>-1</v>
      </c>
      <c r="F4370" s="87" t="s">
        <v>967</v>
      </c>
      <c r="G4370" s="87" t="s">
        <v>272</v>
      </c>
      <c r="H4370" s="87" t="s">
        <v>900</v>
      </c>
      <c r="I4370" s="87">
        <v>63</v>
      </c>
    </row>
    <row r="4371" spans="1:9" x14ac:dyDescent="0.25">
      <c r="A4371" s="87" t="s">
        <v>92</v>
      </c>
      <c r="B4371" s="87" t="s">
        <v>418</v>
      </c>
      <c r="C4371" s="87">
        <v>1976</v>
      </c>
      <c r="D4371" s="87" t="s">
        <v>15</v>
      </c>
      <c r="E4371" s="116">
        <v>-1</v>
      </c>
      <c r="F4371" s="87" t="s">
        <v>967</v>
      </c>
      <c r="G4371" s="87" t="s">
        <v>272</v>
      </c>
      <c r="H4371" s="87" t="s">
        <v>900</v>
      </c>
      <c r="I4371" s="87">
        <v>63</v>
      </c>
    </row>
    <row r="4372" spans="1:9" x14ac:dyDescent="0.25">
      <c r="A4372" s="87" t="s">
        <v>92</v>
      </c>
      <c r="B4372" s="87" t="s">
        <v>418</v>
      </c>
      <c r="C4372" s="87">
        <v>1977</v>
      </c>
      <c r="D4372" s="87" t="s">
        <v>15</v>
      </c>
      <c r="E4372" s="116">
        <v>-1</v>
      </c>
      <c r="F4372" s="87" t="s">
        <v>967</v>
      </c>
      <c r="G4372" s="87" t="s">
        <v>272</v>
      </c>
      <c r="H4372" s="87" t="s">
        <v>900</v>
      </c>
      <c r="I4372" s="87">
        <v>63</v>
      </c>
    </row>
    <row r="4373" spans="1:9" x14ac:dyDescent="0.25">
      <c r="A4373" s="87" t="s">
        <v>92</v>
      </c>
      <c r="B4373" s="87" t="s">
        <v>418</v>
      </c>
      <c r="C4373" s="87">
        <v>1978</v>
      </c>
      <c r="D4373" s="87" t="s">
        <v>15</v>
      </c>
      <c r="E4373" s="116">
        <v>-1</v>
      </c>
      <c r="F4373" s="87" t="s">
        <v>967</v>
      </c>
      <c r="G4373" s="87" t="s">
        <v>272</v>
      </c>
      <c r="H4373" s="87" t="s">
        <v>900</v>
      </c>
      <c r="I4373" s="87">
        <v>63</v>
      </c>
    </row>
    <row r="4374" spans="1:9" x14ac:dyDescent="0.25">
      <c r="A4374" s="87" t="s">
        <v>92</v>
      </c>
      <c r="B4374" s="87" t="s">
        <v>418</v>
      </c>
      <c r="C4374" s="87">
        <v>1979</v>
      </c>
      <c r="D4374" s="87" t="s">
        <v>15</v>
      </c>
      <c r="E4374" s="116">
        <v>15</v>
      </c>
      <c r="F4374" s="87" t="s">
        <v>531</v>
      </c>
      <c r="G4374" s="87" t="s">
        <v>967</v>
      </c>
      <c r="H4374" s="87" t="s">
        <v>531</v>
      </c>
      <c r="I4374" s="87">
        <v>63</v>
      </c>
    </row>
    <row r="4375" spans="1:9" x14ac:dyDescent="0.25">
      <c r="A4375" s="87" t="s">
        <v>92</v>
      </c>
      <c r="B4375" s="87" t="s">
        <v>418</v>
      </c>
      <c r="C4375" s="87">
        <v>1980</v>
      </c>
      <c r="D4375" s="87" t="s">
        <v>15</v>
      </c>
      <c r="E4375" s="116">
        <v>20</v>
      </c>
      <c r="F4375" s="87" t="s">
        <v>531</v>
      </c>
      <c r="G4375" s="87" t="s">
        <v>967</v>
      </c>
      <c r="H4375" s="87" t="s">
        <v>531</v>
      </c>
      <c r="I4375" s="87">
        <v>63</v>
      </c>
    </row>
    <row r="4376" spans="1:9" x14ac:dyDescent="0.25">
      <c r="A4376" s="87" t="s">
        <v>92</v>
      </c>
      <c r="B4376" s="87" t="s">
        <v>418</v>
      </c>
      <c r="C4376" s="87">
        <v>1981</v>
      </c>
      <c r="D4376" s="87" t="s">
        <v>15</v>
      </c>
      <c r="E4376" s="116">
        <v>0</v>
      </c>
      <c r="F4376" s="87" t="s">
        <v>531</v>
      </c>
      <c r="G4376" s="87" t="s">
        <v>967</v>
      </c>
      <c r="H4376" s="87" t="s">
        <v>531</v>
      </c>
      <c r="I4376" s="87">
        <v>63</v>
      </c>
    </row>
    <row r="4377" spans="1:9" x14ac:dyDescent="0.25">
      <c r="A4377" s="87" t="s">
        <v>92</v>
      </c>
      <c r="B4377" s="87" t="s">
        <v>418</v>
      </c>
      <c r="C4377" s="87">
        <v>1982</v>
      </c>
      <c r="D4377" s="87" t="s">
        <v>15</v>
      </c>
      <c r="E4377" s="116">
        <v>-1</v>
      </c>
      <c r="F4377" s="87" t="s">
        <v>531</v>
      </c>
      <c r="G4377" s="87" t="s">
        <v>272</v>
      </c>
      <c r="H4377" s="87" t="s">
        <v>900</v>
      </c>
      <c r="I4377" s="87">
        <v>63</v>
      </c>
    </row>
    <row r="4378" spans="1:9" x14ac:dyDescent="0.25">
      <c r="A4378" s="87" t="s">
        <v>92</v>
      </c>
      <c r="B4378" s="87" t="s">
        <v>418</v>
      </c>
      <c r="C4378" s="87">
        <v>1983</v>
      </c>
      <c r="D4378" s="87" t="s">
        <v>15</v>
      </c>
      <c r="E4378" s="116">
        <v>-1</v>
      </c>
      <c r="F4378" s="87" t="s">
        <v>531</v>
      </c>
      <c r="G4378" s="87" t="s">
        <v>272</v>
      </c>
      <c r="H4378" s="87" t="s">
        <v>900</v>
      </c>
      <c r="I4378" s="87">
        <v>63</v>
      </c>
    </row>
    <row r="4379" spans="1:9" x14ac:dyDescent="0.25">
      <c r="A4379" s="87" t="s">
        <v>92</v>
      </c>
      <c r="B4379" s="87" t="s">
        <v>418</v>
      </c>
      <c r="C4379" s="87">
        <v>1984</v>
      </c>
      <c r="D4379" s="87" t="s">
        <v>15</v>
      </c>
      <c r="E4379" s="116">
        <v>15</v>
      </c>
      <c r="F4379" s="87" t="s">
        <v>531</v>
      </c>
      <c r="G4379" s="87" t="s">
        <v>967</v>
      </c>
      <c r="H4379" s="87" t="s">
        <v>531</v>
      </c>
      <c r="I4379" s="87">
        <v>63</v>
      </c>
    </row>
    <row r="4380" spans="1:9" x14ac:dyDescent="0.25">
      <c r="A4380" s="87" t="s">
        <v>92</v>
      </c>
      <c r="B4380" s="87" t="s">
        <v>418</v>
      </c>
      <c r="C4380" s="87">
        <v>1985</v>
      </c>
      <c r="D4380" s="87" t="s">
        <v>15</v>
      </c>
      <c r="E4380" s="116">
        <v>75</v>
      </c>
      <c r="F4380" s="87" t="s">
        <v>531</v>
      </c>
      <c r="G4380" s="87" t="s">
        <v>967</v>
      </c>
      <c r="H4380" s="87" t="s">
        <v>531</v>
      </c>
      <c r="I4380" s="87">
        <v>63</v>
      </c>
    </row>
    <row r="4381" spans="1:9" x14ac:dyDescent="0.25">
      <c r="A4381" s="87" t="s">
        <v>92</v>
      </c>
      <c r="B4381" s="87" t="s">
        <v>418</v>
      </c>
      <c r="C4381" s="87">
        <v>1986</v>
      </c>
      <c r="D4381" s="87" t="s">
        <v>15</v>
      </c>
      <c r="E4381" s="116">
        <v>20</v>
      </c>
      <c r="F4381" s="87" t="s">
        <v>531</v>
      </c>
      <c r="G4381" s="87" t="s">
        <v>967</v>
      </c>
      <c r="H4381" s="87" t="s">
        <v>531</v>
      </c>
      <c r="I4381" s="87">
        <v>63</v>
      </c>
    </row>
    <row r="4382" spans="1:9" x14ac:dyDescent="0.25">
      <c r="A4382" s="87" t="s">
        <v>92</v>
      </c>
      <c r="B4382" s="87" t="s">
        <v>418</v>
      </c>
      <c r="C4382" s="87">
        <v>1987</v>
      </c>
      <c r="D4382" s="87" t="s">
        <v>15</v>
      </c>
      <c r="E4382" s="116">
        <v>50</v>
      </c>
      <c r="F4382" s="87" t="s">
        <v>531</v>
      </c>
      <c r="G4382" s="87" t="s">
        <v>967</v>
      </c>
      <c r="H4382" s="87" t="s">
        <v>531</v>
      </c>
      <c r="I4382" s="87">
        <v>63</v>
      </c>
    </row>
    <row r="4383" spans="1:9" x14ac:dyDescent="0.25">
      <c r="A4383" s="87" t="s">
        <v>92</v>
      </c>
      <c r="B4383" s="87" t="s">
        <v>418</v>
      </c>
      <c r="C4383" s="87">
        <v>1988</v>
      </c>
      <c r="D4383" s="87" t="s">
        <v>15</v>
      </c>
      <c r="E4383" s="116">
        <v>55</v>
      </c>
      <c r="F4383" s="87" t="s">
        <v>531</v>
      </c>
      <c r="G4383" s="87" t="s">
        <v>967</v>
      </c>
      <c r="H4383" s="87" t="s">
        <v>531</v>
      </c>
      <c r="I4383" s="87">
        <v>63</v>
      </c>
    </row>
    <row r="4384" spans="1:9" x14ac:dyDescent="0.25">
      <c r="A4384" s="87" t="s">
        <v>92</v>
      </c>
      <c r="B4384" s="87" t="s">
        <v>418</v>
      </c>
      <c r="C4384" s="87">
        <v>1989</v>
      </c>
      <c r="D4384" s="87" t="s">
        <v>15</v>
      </c>
      <c r="E4384" s="116">
        <v>20</v>
      </c>
      <c r="F4384" s="87" t="s">
        <v>531</v>
      </c>
      <c r="G4384" s="87" t="s">
        <v>967</v>
      </c>
      <c r="H4384" s="87" t="s">
        <v>531</v>
      </c>
      <c r="I4384" s="87">
        <v>63</v>
      </c>
    </row>
    <row r="4385" spans="1:9" x14ac:dyDescent="0.25">
      <c r="A4385" s="87" t="s">
        <v>92</v>
      </c>
      <c r="B4385" s="87" t="s">
        <v>418</v>
      </c>
      <c r="C4385" s="87">
        <v>1990</v>
      </c>
      <c r="D4385" s="87" t="s">
        <v>15</v>
      </c>
      <c r="E4385" s="116">
        <v>30</v>
      </c>
      <c r="F4385" s="87" t="s">
        <v>531</v>
      </c>
      <c r="G4385" s="87" t="s">
        <v>967</v>
      </c>
      <c r="H4385" s="87" t="s">
        <v>531</v>
      </c>
      <c r="I4385" s="87">
        <v>63</v>
      </c>
    </row>
    <row r="4386" spans="1:9" x14ac:dyDescent="0.25">
      <c r="A4386" s="87" t="s">
        <v>92</v>
      </c>
      <c r="B4386" s="87" t="s">
        <v>418</v>
      </c>
      <c r="C4386" s="87">
        <v>1991</v>
      </c>
      <c r="D4386" s="87" t="s">
        <v>15</v>
      </c>
      <c r="E4386" s="116">
        <v>0</v>
      </c>
      <c r="F4386" s="87" t="s">
        <v>531</v>
      </c>
      <c r="G4386" s="87" t="s">
        <v>967</v>
      </c>
      <c r="H4386" s="87" t="s">
        <v>531</v>
      </c>
      <c r="I4386" s="87">
        <v>63</v>
      </c>
    </row>
    <row r="4387" spans="1:9" x14ac:dyDescent="0.25">
      <c r="A4387" s="87" t="s">
        <v>92</v>
      </c>
      <c r="B4387" s="87" t="s">
        <v>418</v>
      </c>
      <c r="C4387" s="87">
        <v>1992</v>
      </c>
      <c r="D4387" s="87" t="s">
        <v>15</v>
      </c>
      <c r="E4387" s="116">
        <v>40</v>
      </c>
      <c r="F4387" s="87" t="s">
        <v>531</v>
      </c>
      <c r="G4387" s="87" t="s">
        <v>967</v>
      </c>
      <c r="H4387" s="87" t="s">
        <v>531</v>
      </c>
      <c r="I4387" s="87">
        <v>63</v>
      </c>
    </row>
    <row r="4388" spans="1:9" x14ac:dyDescent="0.25">
      <c r="A4388" s="87" t="s">
        <v>92</v>
      </c>
      <c r="B4388" s="87" t="s">
        <v>418</v>
      </c>
      <c r="C4388" s="87">
        <v>1993</v>
      </c>
      <c r="D4388" s="87" t="s">
        <v>15</v>
      </c>
      <c r="E4388" s="116">
        <v>6</v>
      </c>
      <c r="F4388" s="87" t="s">
        <v>531</v>
      </c>
      <c r="G4388" s="87" t="s">
        <v>967</v>
      </c>
      <c r="H4388" s="87" t="s">
        <v>531</v>
      </c>
      <c r="I4388" s="87">
        <v>63</v>
      </c>
    </row>
    <row r="4389" spans="1:9" x14ac:dyDescent="0.25">
      <c r="A4389" s="87" t="s">
        <v>92</v>
      </c>
      <c r="B4389" s="87" t="s">
        <v>418</v>
      </c>
      <c r="C4389" s="87">
        <v>1994</v>
      </c>
      <c r="D4389" s="87" t="s">
        <v>15</v>
      </c>
      <c r="E4389" s="116">
        <v>48</v>
      </c>
      <c r="F4389" s="87" t="s">
        <v>531</v>
      </c>
      <c r="G4389" s="87" t="s">
        <v>967</v>
      </c>
      <c r="H4389" s="87" t="s">
        <v>531</v>
      </c>
      <c r="I4389" s="87">
        <v>63</v>
      </c>
    </row>
    <row r="4390" spans="1:9" x14ac:dyDescent="0.25">
      <c r="A4390" s="87" t="s">
        <v>92</v>
      </c>
      <c r="B4390" s="87" t="s">
        <v>418</v>
      </c>
      <c r="C4390" s="87">
        <v>1995</v>
      </c>
      <c r="D4390" s="87" t="s">
        <v>15</v>
      </c>
      <c r="E4390" s="116">
        <v>35</v>
      </c>
      <c r="F4390" s="87" t="s">
        <v>531</v>
      </c>
      <c r="G4390" s="87" t="s">
        <v>332</v>
      </c>
      <c r="H4390" s="87" t="s">
        <v>967</v>
      </c>
      <c r="I4390" s="87">
        <v>63</v>
      </c>
    </row>
    <row r="4391" spans="1:9" x14ac:dyDescent="0.25">
      <c r="A4391" s="87" t="s">
        <v>92</v>
      </c>
      <c r="B4391" s="87" t="s">
        <v>418</v>
      </c>
      <c r="C4391" s="87">
        <v>1996</v>
      </c>
      <c r="D4391" s="87" t="s">
        <v>15</v>
      </c>
      <c r="E4391" s="116">
        <v>0</v>
      </c>
      <c r="F4391" s="87" t="s">
        <v>967</v>
      </c>
      <c r="G4391" s="87" t="s">
        <v>967</v>
      </c>
      <c r="H4391" s="87" t="s">
        <v>967</v>
      </c>
      <c r="I4391" s="87">
        <v>63</v>
      </c>
    </row>
    <row r="4392" spans="1:9" x14ac:dyDescent="0.25">
      <c r="A4392" s="87" t="s">
        <v>92</v>
      </c>
      <c r="B4392" s="87" t="s">
        <v>418</v>
      </c>
      <c r="C4392" s="87">
        <v>1997</v>
      </c>
      <c r="D4392" s="87" t="s">
        <v>15</v>
      </c>
      <c r="E4392" s="116">
        <v>0</v>
      </c>
      <c r="F4392" s="87" t="s">
        <v>967</v>
      </c>
      <c r="G4392" s="87" t="s">
        <v>967</v>
      </c>
      <c r="H4392" s="87" t="s">
        <v>967</v>
      </c>
      <c r="I4392" s="87">
        <v>63</v>
      </c>
    </row>
    <row r="4393" spans="1:9" x14ac:dyDescent="0.25">
      <c r="A4393" s="87" t="s">
        <v>92</v>
      </c>
      <c r="B4393" s="87" t="s">
        <v>418</v>
      </c>
      <c r="C4393" s="87">
        <v>1998</v>
      </c>
      <c r="D4393" s="87" t="s">
        <v>15</v>
      </c>
      <c r="E4393" s="116">
        <v>110</v>
      </c>
      <c r="F4393" s="87" t="s">
        <v>967</v>
      </c>
      <c r="G4393" s="87" t="s">
        <v>272</v>
      </c>
      <c r="H4393" s="87" t="s">
        <v>967</v>
      </c>
      <c r="I4393" s="87">
        <v>63</v>
      </c>
    </row>
    <row r="4394" spans="1:9" x14ac:dyDescent="0.25">
      <c r="A4394" s="87" t="s">
        <v>92</v>
      </c>
      <c r="B4394" s="87" t="s">
        <v>418</v>
      </c>
      <c r="C4394" s="87">
        <v>1999</v>
      </c>
      <c r="D4394" s="87" t="s">
        <v>15</v>
      </c>
      <c r="E4394" s="116">
        <v>11</v>
      </c>
      <c r="F4394" s="87" t="s">
        <v>967</v>
      </c>
      <c r="G4394" s="87" t="s">
        <v>272</v>
      </c>
      <c r="H4394" s="87" t="s">
        <v>967</v>
      </c>
      <c r="I4394" s="87">
        <v>63</v>
      </c>
    </row>
    <row r="4395" spans="1:9" x14ac:dyDescent="0.25">
      <c r="A4395" s="87" t="s">
        <v>92</v>
      </c>
      <c r="B4395" s="87" t="s">
        <v>418</v>
      </c>
      <c r="C4395" s="87">
        <v>2000</v>
      </c>
      <c r="D4395" s="87" t="s">
        <v>15</v>
      </c>
      <c r="E4395" s="116">
        <v>235</v>
      </c>
      <c r="F4395" s="87" t="s">
        <v>967</v>
      </c>
      <c r="G4395" s="87" t="s">
        <v>272</v>
      </c>
      <c r="H4395" s="87" t="s">
        <v>967</v>
      </c>
      <c r="I4395" s="87">
        <v>63</v>
      </c>
    </row>
    <row r="4396" spans="1:9" x14ac:dyDescent="0.25">
      <c r="A4396" s="87" t="s">
        <v>92</v>
      </c>
      <c r="B4396" s="87" t="s">
        <v>418</v>
      </c>
      <c r="C4396" s="87">
        <v>2001</v>
      </c>
      <c r="D4396" s="87" t="s">
        <v>15</v>
      </c>
      <c r="E4396" s="116">
        <v>88</v>
      </c>
      <c r="F4396" s="87" t="s">
        <v>967</v>
      </c>
      <c r="G4396" s="87" t="s">
        <v>272</v>
      </c>
      <c r="H4396" s="87" t="s">
        <v>967</v>
      </c>
      <c r="I4396" s="87">
        <v>63</v>
      </c>
    </row>
    <row r="4397" spans="1:9" x14ac:dyDescent="0.25">
      <c r="A4397" s="87" t="s">
        <v>92</v>
      </c>
      <c r="B4397" s="87" t="s">
        <v>418</v>
      </c>
      <c r="C4397" s="87">
        <v>2002</v>
      </c>
      <c r="D4397" s="87" t="s">
        <v>15</v>
      </c>
      <c r="E4397" s="116">
        <v>480</v>
      </c>
      <c r="F4397" s="87" t="s">
        <v>967</v>
      </c>
      <c r="G4397" s="87" t="s">
        <v>272</v>
      </c>
      <c r="H4397" s="87" t="s">
        <v>967</v>
      </c>
      <c r="I4397" s="87">
        <v>63</v>
      </c>
    </row>
    <row r="4398" spans="1:9" x14ac:dyDescent="0.25">
      <c r="A4398" s="87" t="s">
        <v>92</v>
      </c>
      <c r="B4398" s="87" t="s">
        <v>418</v>
      </c>
      <c r="C4398" s="87">
        <v>2003</v>
      </c>
      <c r="D4398" s="87" t="s">
        <v>15</v>
      </c>
      <c r="E4398" s="116">
        <v>329</v>
      </c>
      <c r="F4398" s="87" t="s">
        <v>967</v>
      </c>
      <c r="G4398" s="87" t="s">
        <v>272</v>
      </c>
      <c r="H4398" s="87" t="s">
        <v>967</v>
      </c>
      <c r="I4398" s="87">
        <v>63</v>
      </c>
    </row>
    <row r="4399" spans="1:9" x14ac:dyDescent="0.25">
      <c r="A4399" s="87" t="s">
        <v>92</v>
      </c>
      <c r="B4399" s="87" t="s">
        <v>418</v>
      </c>
      <c r="C4399" s="87">
        <v>2004</v>
      </c>
      <c r="D4399" s="87" t="s">
        <v>15</v>
      </c>
      <c r="E4399" s="116">
        <v>152</v>
      </c>
      <c r="F4399" s="87" t="s">
        <v>967</v>
      </c>
      <c r="G4399" s="87" t="s">
        <v>272</v>
      </c>
      <c r="H4399" s="87" t="s">
        <v>967</v>
      </c>
      <c r="I4399" s="87">
        <v>63</v>
      </c>
    </row>
    <row r="4400" spans="1:9" x14ac:dyDescent="0.25">
      <c r="A4400" s="87" t="s">
        <v>92</v>
      </c>
      <c r="B4400" s="87" t="s">
        <v>418</v>
      </c>
      <c r="C4400" s="87">
        <v>2005</v>
      </c>
      <c r="D4400" s="87" t="s">
        <v>15</v>
      </c>
      <c r="E4400" s="116">
        <v>-1</v>
      </c>
      <c r="F4400" s="87" t="s">
        <v>967</v>
      </c>
      <c r="G4400" s="87" t="s">
        <v>272</v>
      </c>
      <c r="H4400" s="87" t="s">
        <v>904</v>
      </c>
      <c r="I4400" s="87">
        <v>63</v>
      </c>
    </row>
    <row r="4401" spans="1:9" x14ac:dyDescent="0.25">
      <c r="A4401" s="87" t="s">
        <v>92</v>
      </c>
      <c r="B4401" s="87" t="s">
        <v>418</v>
      </c>
      <c r="C4401" s="87">
        <v>2006</v>
      </c>
      <c r="D4401" s="87" t="s">
        <v>15</v>
      </c>
      <c r="E4401" s="116">
        <v>212</v>
      </c>
      <c r="F4401" s="87" t="s">
        <v>967</v>
      </c>
      <c r="G4401" s="87" t="s">
        <v>272</v>
      </c>
      <c r="H4401" s="87" t="s">
        <v>967</v>
      </c>
      <c r="I4401" s="87">
        <v>63</v>
      </c>
    </row>
    <row r="4402" spans="1:9" x14ac:dyDescent="0.25">
      <c r="A4402" s="87" t="s">
        <v>92</v>
      </c>
      <c r="B4402" s="87" t="s">
        <v>418</v>
      </c>
      <c r="C4402" s="87">
        <v>2007</v>
      </c>
      <c r="D4402" s="87" t="s">
        <v>15</v>
      </c>
      <c r="E4402" s="116">
        <v>117</v>
      </c>
      <c r="F4402" s="87" t="s">
        <v>967</v>
      </c>
      <c r="G4402" s="87" t="s">
        <v>272</v>
      </c>
      <c r="H4402" s="87" t="s">
        <v>967</v>
      </c>
      <c r="I4402" s="87">
        <v>63</v>
      </c>
    </row>
    <row r="4403" spans="1:9" x14ac:dyDescent="0.25">
      <c r="A4403" s="87" t="s">
        <v>92</v>
      </c>
      <c r="B4403" s="87" t="s">
        <v>418</v>
      </c>
      <c r="C4403" s="87">
        <v>2008</v>
      </c>
      <c r="D4403" s="87" t="s">
        <v>15</v>
      </c>
      <c r="E4403" s="116">
        <v>141</v>
      </c>
      <c r="F4403" s="87" t="s">
        <v>967</v>
      </c>
      <c r="G4403" s="87" t="s">
        <v>272</v>
      </c>
      <c r="H4403" s="87" t="s">
        <v>967</v>
      </c>
      <c r="I4403" s="87">
        <v>63</v>
      </c>
    </row>
    <row r="4404" spans="1:9" x14ac:dyDescent="0.25">
      <c r="A4404" s="87" t="s">
        <v>92</v>
      </c>
      <c r="B4404" s="87" t="s">
        <v>418</v>
      </c>
      <c r="C4404" s="87">
        <v>2009</v>
      </c>
      <c r="D4404" s="87" t="s">
        <v>15</v>
      </c>
      <c r="E4404" s="116">
        <v>63</v>
      </c>
      <c r="F4404" s="87" t="s">
        <v>967</v>
      </c>
      <c r="G4404" s="87" t="s">
        <v>272</v>
      </c>
      <c r="H4404" s="87" t="s">
        <v>967</v>
      </c>
      <c r="I4404" s="87">
        <v>63</v>
      </c>
    </row>
    <row r="4405" spans="1:9" x14ac:dyDescent="0.25">
      <c r="A4405" s="87" t="s">
        <v>92</v>
      </c>
      <c r="B4405" s="87" t="s">
        <v>418</v>
      </c>
      <c r="C4405" s="87">
        <v>2010</v>
      </c>
      <c r="D4405" s="87" t="s">
        <v>15</v>
      </c>
      <c r="E4405" s="116">
        <v>152</v>
      </c>
      <c r="F4405" s="87" t="s">
        <v>967</v>
      </c>
      <c r="G4405" s="87" t="s">
        <v>272</v>
      </c>
      <c r="H4405" s="87" t="s">
        <v>967</v>
      </c>
      <c r="I4405" s="87">
        <v>63</v>
      </c>
    </row>
    <row r="4406" spans="1:9" x14ac:dyDescent="0.25">
      <c r="A4406" s="87" t="s">
        <v>92</v>
      </c>
      <c r="B4406" s="87" t="s">
        <v>418</v>
      </c>
      <c r="C4406" s="87">
        <v>2011</v>
      </c>
      <c r="D4406" s="87" t="s">
        <v>15</v>
      </c>
      <c r="E4406" s="116">
        <v>228</v>
      </c>
      <c r="F4406" s="87" t="s">
        <v>967</v>
      </c>
      <c r="G4406" s="87" t="s">
        <v>272</v>
      </c>
      <c r="H4406" s="87" t="s">
        <v>967</v>
      </c>
      <c r="I4406" s="87">
        <v>63</v>
      </c>
    </row>
    <row r="4407" spans="1:9" x14ac:dyDescent="0.25">
      <c r="A4407" s="87" t="s">
        <v>92</v>
      </c>
      <c r="B4407" s="87" t="s">
        <v>418</v>
      </c>
      <c r="C4407" s="87">
        <v>2012</v>
      </c>
      <c r="D4407" s="87" t="s">
        <v>15</v>
      </c>
      <c r="E4407" s="116">
        <v>105</v>
      </c>
      <c r="F4407" s="87" t="s">
        <v>967</v>
      </c>
      <c r="G4407" s="87" t="s">
        <v>272</v>
      </c>
      <c r="H4407" s="87" t="s">
        <v>967</v>
      </c>
      <c r="I4407" s="87">
        <v>63</v>
      </c>
    </row>
    <row r="4408" spans="1:9" x14ac:dyDescent="0.25">
      <c r="A4408" s="87" t="s">
        <v>92</v>
      </c>
      <c r="B4408" s="87" t="s">
        <v>418</v>
      </c>
      <c r="C4408" s="87">
        <v>2013</v>
      </c>
      <c r="D4408" s="87" t="s">
        <v>15</v>
      </c>
      <c r="E4408" s="116">
        <v>142</v>
      </c>
      <c r="F4408" s="87" t="s">
        <v>967</v>
      </c>
      <c r="G4408" s="87" t="s">
        <v>272</v>
      </c>
      <c r="H4408" s="87" t="s">
        <v>967</v>
      </c>
      <c r="I4408" s="87">
        <v>63</v>
      </c>
    </row>
    <row r="4409" spans="1:9" x14ac:dyDescent="0.25">
      <c r="A4409" s="87" t="s">
        <v>92</v>
      </c>
      <c r="B4409" s="87" t="s">
        <v>418</v>
      </c>
      <c r="C4409" s="87">
        <v>2014</v>
      </c>
      <c r="D4409" s="87" t="s">
        <v>15</v>
      </c>
      <c r="E4409" s="116">
        <v>80</v>
      </c>
      <c r="F4409" s="87" t="s">
        <v>967</v>
      </c>
      <c r="G4409" s="87" t="s">
        <v>272</v>
      </c>
      <c r="H4409" s="87" t="s">
        <v>967</v>
      </c>
      <c r="I4409" s="87">
        <v>63</v>
      </c>
    </row>
    <row r="4410" spans="1:9" x14ac:dyDescent="0.25">
      <c r="A4410" s="87" t="s">
        <v>92</v>
      </c>
      <c r="B4410" s="87" t="s">
        <v>418</v>
      </c>
      <c r="C4410" s="87">
        <v>2015</v>
      </c>
      <c r="D4410" s="87" t="s">
        <v>15</v>
      </c>
      <c r="E4410" s="116">
        <v>-1</v>
      </c>
      <c r="F4410" s="87" t="s">
        <v>967</v>
      </c>
      <c r="G4410" s="87" t="s">
        <v>272</v>
      </c>
      <c r="H4410" s="87" t="s">
        <v>947</v>
      </c>
      <c r="I4410" s="87">
        <v>63</v>
      </c>
    </row>
    <row r="4411" spans="1:9" x14ac:dyDescent="0.25">
      <c r="A4411" s="87" t="s">
        <v>92</v>
      </c>
      <c r="B4411" s="87" t="s">
        <v>418</v>
      </c>
      <c r="C4411" s="87">
        <v>2016</v>
      </c>
      <c r="D4411" s="87" t="s">
        <v>15</v>
      </c>
      <c r="E4411" s="116">
        <v>134</v>
      </c>
      <c r="F4411" s="87" t="s">
        <v>967</v>
      </c>
      <c r="G4411" s="87" t="s">
        <v>272</v>
      </c>
      <c r="H4411" s="87" t="s">
        <v>532</v>
      </c>
      <c r="I4411" s="87">
        <v>63</v>
      </c>
    </row>
    <row r="4412" spans="1:9" x14ac:dyDescent="0.25">
      <c r="A4412" s="87" t="s">
        <v>92</v>
      </c>
      <c r="B4412" s="87" t="s">
        <v>418</v>
      </c>
      <c r="C4412" s="87">
        <v>2017</v>
      </c>
      <c r="D4412" s="87" t="s">
        <v>15</v>
      </c>
      <c r="E4412" s="116">
        <v>72</v>
      </c>
      <c r="F4412" s="87" t="s">
        <v>967</v>
      </c>
      <c r="G4412" s="87" t="s">
        <v>272</v>
      </c>
      <c r="H4412" s="87" t="s">
        <v>533</v>
      </c>
      <c r="I4412" s="87">
        <v>63</v>
      </c>
    </row>
    <row r="4413" spans="1:9" x14ac:dyDescent="0.25">
      <c r="A4413" s="87" t="s">
        <v>92</v>
      </c>
      <c r="B4413" s="87" t="s">
        <v>418</v>
      </c>
      <c r="C4413" s="87">
        <v>2018</v>
      </c>
      <c r="D4413" s="87" t="s">
        <v>15</v>
      </c>
      <c r="E4413" s="116">
        <v>52</v>
      </c>
      <c r="F4413" s="87" t="s">
        <v>967</v>
      </c>
      <c r="G4413" s="87" t="s">
        <v>272</v>
      </c>
      <c r="H4413" s="87" t="s">
        <v>948</v>
      </c>
      <c r="I4413" s="87">
        <v>63</v>
      </c>
    </row>
    <row r="4414" spans="1:9" x14ac:dyDescent="0.25">
      <c r="A4414" s="87" t="s">
        <v>92</v>
      </c>
      <c r="B4414" s="87" t="s">
        <v>418</v>
      </c>
      <c r="C4414" s="87">
        <v>2019</v>
      </c>
      <c r="D4414" s="87" t="s">
        <v>15</v>
      </c>
      <c r="E4414" s="116">
        <v>275</v>
      </c>
      <c r="F4414" s="87" t="s">
        <v>967</v>
      </c>
      <c r="G4414" s="87" t="s">
        <v>272</v>
      </c>
      <c r="H4414" s="87" t="s">
        <v>967</v>
      </c>
      <c r="I4414" s="87">
        <v>63</v>
      </c>
    </row>
    <row r="4415" spans="1:9" x14ac:dyDescent="0.25">
      <c r="A4415" s="87" t="s">
        <v>92</v>
      </c>
      <c r="B4415" s="87" t="s">
        <v>418</v>
      </c>
      <c r="C4415" s="87">
        <v>2020</v>
      </c>
      <c r="D4415" s="87" t="s">
        <v>15</v>
      </c>
      <c r="E4415" s="116">
        <v>362</v>
      </c>
      <c r="F4415" s="87" t="s">
        <v>967</v>
      </c>
      <c r="G4415" s="87" t="s">
        <v>272</v>
      </c>
      <c r="H4415" s="87" t="s">
        <v>967</v>
      </c>
      <c r="I4415" s="87">
        <v>63</v>
      </c>
    </row>
    <row r="4416" spans="1:9" x14ac:dyDescent="0.25">
      <c r="A4416" s="87" t="s">
        <v>92</v>
      </c>
      <c r="B4416" s="87" t="s">
        <v>418</v>
      </c>
      <c r="C4416" s="87">
        <v>2021</v>
      </c>
      <c r="D4416" s="87" t="s">
        <v>15</v>
      </c>
      <c r="E4416" s="116">
        <v>249</v>
      </c>
      <c r="F4416" s="87" t="s">
        <v>967</v>
      </c>
      <c r="G4416" s="87" t="s">
        <v>272</v>
      </c>
      <c r="H4416" s="87" t="s">
        <v>967</v>
      </c>
      <c r="I4416" s="87">
        <v>63</v>
      </c>
    </row>
    <row r="4417" spans="1:9" x14ac:dyDescent="0.25">
      <c r="A4417" s="87" t="s">
        <v>92</v>
      </c>
      <c r="B4417" s="87" t="s">
        <v>418</v>
      </c>
      <c r="C4417" s="87">
        <v>2022</v>
      </c>
      <c r="D4417" s="87" t="s">
        <v>15</v>
      </c>
      <c r="E4417" s="116">
        <v>260</v>
      </c>
      <c r="F4417" s="87" t="s">
        <v>967</v>
      </c>
      <c r="G4417" s="87" t="s">
        <v>272</v>
      </c>
      <c r="H4417" s="87" t="s">
        <v>967</v>
      </c>
      <c r="I4417" s="87">
        <v>63</v>
      </c>
    </row>
    <row r="4418" spans="1:9" x14ac:dyDescent="0.25">
      <c r="A4418" s="87" t="s">
        <v>92</v>
      </c>
      <c r="B4418" s="87" t="s">
        <v>228</v>
      </c>
      <c r="C4418" s="87">
        <v>1975</v>
      </c>
      <c r="D4418" s="87" t="s">
        <v>15</v>
      </c>
      <c r="E4418" s="116">
        <v>296</v>
      </c>
      <c r="F4418" s="87" t="s">
        <v>508</v>
      </c>
      <c r="G4418" s="87" t="s">
        <v>967</v>
      </c>
      <c r="H4418" s="87" t="s">
        <v>508</v>
      </c>
      <c r="I4418" s="87">
        <v>38</v>
      </c>
    </row>
    <row r="4419" spans="1:9" x14ac:dyDescent="0.25">
      <c r="A4419" s="87" t="s">
        <v>92</v>
      </c>
      <c r="B4419" s="87" t="s">
        <v>228</v>
      </c>
      <c r="C4419" s="87">
        <v>1976</v>
      </c>
      <c r="D4419" s="87" t="s">
        <v>15</v>
      </c>
      <c r="E4419" s="116">
        <v>400</v>
      </c>
      <c r="F4419" s="87" t="s">
        <v>508</v>
      </c>
      <c r="G4419" s="87" t="s">
        <v>967</v>
      </c>
      <c r="H4419" s="87" t="s">
        <v>508</v>
      </c>
      <c r="I4419" s="87">
        <v>38</v>
      </c>
    </row>
    <row r="4420" spans="1:9" x14ac:dyDescent="0.25">
      <c r="A4420" s="87" t="s">
        <v>92</v>
      </c>
      <c r="B4420" s="87" t="s">
        <v>228</v>
      </c>
      <c r="C4420" s="87">
        <v>1977</v>
      </c>
      <c r="D4420" s="87" t="s">
        <v>15</v>
      </c>
      <c r="E4420" s="116">
        <v>525</v>
      </c>
      <c r="F4420" s="87" t="s">
        <v>508</v>
      </c>
      <c r="G4420" s="87" t="s">
        <v>967</v>
      </c>
      <c r="H4420" s="87" t="s">
        <v>508</v>
      </c>
      <c r="I4420" s="87">
        <v>38</v>
      </c>
    </row>
    <row r="4421" spans="1:9" x14ac:dyDescent="0.25">
      <c r="A4421" s="87" t="s">
        <v>92</v>
      </c>
      <c r="B4421" s="87" t="s">
        <v>228</v>
      </c>
      <c r="C4421" s="87">
        <v>1978</v>
      </c>
      <c r="D4421" s="87" t="s">
        <v>15</v>
      </c>
      <c r="E4421" s="116">
        <v>700</v>
      </c>
      <c r="F4421" s="87" t="s">
        <v>508</v>
      </c>
      <c r="G4421" s="87" t="s">
        <v>967</v>
      </c>
      <c r="H4421" s="87" t="s">
        <v>508</v>
      </c>
      <c r="I4421" s="87">
        <v>38</v>
      </c>
    </row>
    <row r="4422" spans="1:9" x14ac:dyDescent="0.25">
      <c r="A4422" s="87" t="s">
        <v>92</v>
      </c>
      <c r="B4422" s="87" t="s">
        <v>228</v>
      </c>
      <c r="C4422" s="87">
        <v>1979</v>
      </c>
      <c r="D4422" s="87" t="s">
        <v>15</v>
      </c>
      <c r="E4422" s="116">
        <v>425</v>
      </c>
      <c r="F4422" s="87" t="s">
        <v>508</v>
      </c>
      <c r="G4422" s="87" t="s">
        <v>967</v>
      </c>
      <c r="H4422" s="87" t="s">
        <v>508</v>
      </c>
      <c r="I4422" s="87">
        <v>38</v>
      </c>
    </row>
    <row r="4423" spans="1:9" x14ac:dyDescent="0.25">
      <c r="A4423" s="87" t="s">
        <v>92</v>
      </c>
      <c r="B4423" s="87" t="s">
        <v>228</v>
      </c>
      <c r="C4423" s="87">
        <v>1980</v>
      </c>
      <c r="D4423" s="87" t="s">
        <v>15</v>
      </c>
      <c r="E4423" s="116">
        <v>600</v>
      </c>
      <c r="F4423" s="87" t="s">
        <v>508</v>
      </c>
      <c r="G4423" s="87" t="s">
        <v>967</v>
      </c>
      <c r="H4423" s="87" t="s">
        <v>508</v>
      </c>
      <c r="I4423" s="87">
        <v>38</v>
      </c>
    </row>
    <row r="4424" spans="1:9" x14ac:dyDescent="0.25">
      <c r="A4424" s="87" t="s">
        <v>92</v>
      </c>
      <c r="B4424" s="87" t="s">
        <v>228</v>
      </c>
      <c r="C4424" s="87">
        <v>1981</v>
      </c>
      <c r="D4424" s="87" t="s">
        <v>15</v>
      </c>
      <c r="E4424" s="116">
        <v>1000</v>
      </c>
      <c r="F4424" s="87" t="s">
        <v>610</v>
      </c>
      <c r="G4424" s="87" t="s">
        <v>332</v>
      </c>
      <c r="H4424" s="87" t="s">
        <v>610</v>
      </c>
      <c r="I4424" s="87">
        <v>38</v>
      </c>
    </row>
    <row r="4425" spans="1:9" x14ac:dyDescent="0.25">
      <c r="A4425" s="87" t="s">
        <v>92</v>
      </c>
      <c r="B4425" s="87" t="s">
        <v>228</v>
      </c>
      <c r="C4425" s="87">
        <v>1982</v>
      </c>
      <c r="D4425" s="87" t="s">
        <v>15</v>
      </c>
      <c r="E4425" s="116">
        <v>850</v>
      </c>
      <c r="F4425" s="87" t="s">
        <v>508</v>
      </c>
      <c r="G4425" s="87" t="s">
        <v>967</v>
      </c>
      <c r="H4425" s="87" t="s">
        <v>508</v>
      </c>
      <c r="I4425" s="87">
        <v>38</v>
      </c>
    </row>
    <row r="4426" spans="1:9" x14ac:dyDescent="0.25">
      <c r="A4426" s="87" t="s">
        <v>92</v>
      </c>
      <c r="B4426" s="87" t="s">
        <v>228</v>
      </c>
      <c r="C4426" s="87">
        <v>1983</v>
      </c>
      <c r="D4426" s="87" t="s">
        <v>15</v>
      </c>
      <c r="E4426" s="116">
        <v>700</v>
      </c>
      <c r="F4426" s="87" t="s">
        <v>508</v>
      </c>
      <c r="G4426" s="87" t="s">
        <v>967</v>
      </c>
      <c r="H4426" s="87" t="s">
        <v>508</v>
      </c>
      <c r="I4426" s="87">
        <v>38</v>
      </c>
    </row>
    <row r="4427" spans="1:9" x14ac:dyDescent="0.25">
      <c r="A4427" s="87" t="s">
        <v>92</v>
      </c>
      <c r="B4427" s="87" t="s">
        <v>228</v>
      </c>
      <c r="C4427" s="87">
        <v>1984</v>
      </c>
      <c r="D4427" s="87" t="s">
        <v>15</v>
      </c>
      <c r="E4427" s="116">
        <v>1500</v>
      </c>
      <c r="F4427" s="87" t="s">
        <v>508</v>
      </c>
      <c r="G4427" s="87" t="s">
        <v>967</v>
      </c>
      <c r="H4427" s="87" t="s">
        <v>508</v>
      </c>
      <c r="I4427" s="87">
        <v>38</v>
      </c>
    </row>
    <row r="4428" spans="1:9" x14ac:dyDescent="0.25">
      <c r="A4428" s="87" t="s">
        <v>92</v>
      </c>
      <c r="B4428" s="87" t="s">
        <v>228</v>
      </c>
      <c r="C4428" s="87">
        <v>1985</v>
      </c>
      <c r="D4428" s="87" t="s">
        <v>15</v>
      </c>
      <c r="E4428" s="116">
        <v>1300</v>
      </c>
      <c r="F4428" s="87" t="s">
        <v>508</v>
      </c>
      <c r="G4428" s="87" t="s">
        <v>967</v>
      </c>
      <c r="H4428" s="87" t="s">
        <v>508</v>
      </c>
      <c r="I4428" s="87">
        <v>38</v>
      </c>
    </row>
    <row r="4429" spans="1:9" x14ac:dyDescent="0.25">
      <c r="A4429" s="87" t="s">
        <v>92</v>
      </c>
      <c r="B4429" s="87" t="s">
        <v>228</v>
      </c>
      <c r="C4429" s="87">
        <v>1986</v>
      </c>
      <c r="D4429" s="87" t="s">
        <v>15</v>
      </c>
      <c r="E4429" s="116">
        <v>1300</v>
      </c>
      <c r="F4429" s="87" t="s">
        <v>508</v>
      </c>
      <c r="G4429" s="87" t="s">
        <v>967</v>
      </c>
      <c r="H4429" s="87" t="s">
        <v>508</v>
      </c>
      <c r="I4429" s="87">
        <v>38</v>
      </c>
    </row>
    <row r="4430" spans="1:9" x14ac:dyDescent="0.25">
      <c r="A4430" s="87" t="s">
        <v>92</v>
      </c>
      <c r="B4430" s="87" t="s">
        <v>228</v>
      </c>
      <c r="C4430" s="87">
        <v>1987</v>
      </c>
      <c r="D4430" s="87" t="s">
        <v>15</v>
      </c>
      <c r="E4430" s="116">
        <v>1300</v>
      </c>
      <c r="F4430" s="87" t="s">
        <v>508</v>
      </c>
      <c r="G4430" s="87" t="s">
        <v>967</v>
      </c>
      <c r="H4430" s="87" t="s">
        <v>508</v>
      </c>
      <c r="I4430" s="87">
        <v>38</v>
      </c>
    </row>
    <row r="4431" spans="1:9" x14ac:dyDescent="0.25">
      <c r="A4431" s="87" t="s">
        <v>92</v>
      </c>
      <c r="B4431" s="87" t="s">
        <v>228</v>
      </c>
      <c r="C4431" s="87">
        <v>1988</v>
      </c>
      <c r="D4431" s="87" t="s">
        <v>15</v>
      </c>
      <c r="E4431" s="116">
        <v>1600</v>
      </c>
      <c r="F4431" s="87" t="s">
        <v>508</v>
      </c>
      <c r="G4431" s="87" t="s">
        <v>967</v>
      </c>
      <c r="H4431" s="87" t="s">
        <v>508</v>
      </c>
      <c r="I4431" s="87">
        <v>38</v>
      </c>
    </row>
    <row r="4432" spans="1:9" x14ac:dyDescent="0.25">
      <c r="A4432" s="87" t="s">
        <v>92</v>
      </c>
      <c r="B4432" s="87" t="s">
        <v>228</v>
      </c>
      <c r="C4432" s="87">
        <v>1989</v>
      </c>
      <c r="D4432" s="87" t="s">
        <v>15</v>
      </c>
      <c r="E4432" s="116">
        <v>900</v>
      </c>
      <c r="F4432" s="87" t="s">
        <v>508</v>
      </c>
      <c r="G4432" s="87" t="s">
        <v>967</v>
      </c>
      <c r="H4432" s="87" t="s">
        <v>508</v>
      </c>
      <c r="I4432" s="87">
        <v>38</v>
      </c>
    </row>
    <row r="4433" spans="1:9" x14ac:dyDescent="0.25">
      <c r="A4433" s="87" t="s">
        <v>92</v>
      </c>
      <c r="B4433" s="87" t="s">
        <v>228</v>
      </c>
      <c r="C4433" s="87">
        <v>1990</v>
      </c>
      <c r="D4433" s="87" t="s">
        <v>15</v>
      </c>
      <c r="E4433" s="116">
        <v>1100</v>
      </c>
      <c r="F4433" s="87" t="s">
        <v>508</v>
      </c>
      <c r="G4433" s="87" t="s">
        <v>967</v>
      </c>
      <c r="H4433" s="87" t="s">
        <v>508</v>
      </c>
      <c r="I4433" s="87">
        <v>38</v>
      </c>
    </row>
    <row r="4434" spans="1:9" x14ac:dyDescent="0.25">
      <c r="A4434" s="87" t="s">
        <v>92</v>
      </c>
      <c r="B4434" s="87" t="s">
        <v>228</v>
      </c>
      <c r="C4434" s="87">
        <v>1991</v>
      </c>
      <c r="D4434" s="87" t="s">
        <v>15</v>
      </c>
      <c r="E4434" s="116">
        <v>460</v>
      </c>
      <c r="F4434" s="87" t="s">
        <v>508</v>
      </c>
      <c r="G4434" s="87" t="s">
        <v>967</v>
      </c>
      <c r="H4434" s="87" t="s">
        <v>508</v>
      </c>
      <c r="I4434" s="87">
        <v>38</v>
      </c>
    </row>
    <row r="4435" spans="1:9" x14ac:dyDescent="0.25">
      <c r="A4435" s="87" t="s">
        <v>92</v>
      </c>
      <c r="B4435" s="87" t="s">
        <v>228</v>
      </c>
      <c r="C4435" s="87">
        <v>1992</v>
      </c>
      <c r="D4435" s="87" t="s">
        <v>15</v>
      </c>
      <c r="E4435" s="116">
        <v>630</v>
      </c>
      <c r="F4435" s="87" t="s">
        <v>508</v>
      </c>
      <c r="G4435" s="87" t="s">
        <v>967</v>
      </c>
      <c r="H4435" s="87" t="s">
        <v>508</v>
      </c>
      <c r="I4435" s="87">
        <v>38</v>
      </c>
    </row>
    <row r="4436" spans="1:9" x14ac:dyDescent="0.25">
      <c r="A4436" s="87" t="s">
        <v>92</v>
      </c>
      <c r="B4436" s="87" t="s">
        <v>228</v>
      </c>
      <c r="C4436" s="87">
        <v>1993</v>
      </c>
      <c r="D4436" s="87" t="s">
        <v>15</v>
      </c>
      <c r="E4436" s="116">
        <v>1300</v>
      </c>
      <c r="F4436" s="87" t="s">
        <v>508</v>
      </c>
      <c r="G4436" s="87" t="s">
        <v>967</v>
      </c>
      <c r="H4436" s="87" t="s">
        <v>508</v>
      </c>
      <c r="I4436" s="87">
        <v>38</v>
      </c>
    </row>
    <row r="4437" spans="1:9" x14ac:dyDescent="0.25">
      <c r="A4437" s="87" t="s">
        <v>92</v>
      </c>
      <c r="B4437" s="87" t="s">
        <v>228</v>
      </c>
      <c r="C4437" s="87">
        <v>1994</v>
      </c>
      <c r="D4437" s="87" t="s">
        <v>15</v>
      </c>
      <c r="E4437" s="116">
        <v>1837</v>
      </c>
      <c r="F4437" s="87" t="s">
        <v>508</v>
      </c>
      <c r="G4437" s="87" t="s">
        <v>967</v>
      </c>
      <c r="H4437" s="87" t="s">
        <v>508</v>
      </c>
      <c r="I4437" s="87">
        <v>38</v>
      </c>
    </row>
    <row r="4438" spans="1:9" x14ac:dyDescent="0.25">
      <c r="A4438" s="87" t="s">
        <v>92</v>
      </c>
      <c r="B4438" s="87" t="s">
        <v>228</v>
      </c>
      <c r="C4438" s="87">
        <v>1995</v>
      </c>
      <c r="D4438" s="87" t="s">
        <v>15</v>
      </c>
      <c r="E4438" s="116">
        <v>810</v>
      </c>
      <c r="F4438" s="87" t="s">
        <v>508</v>
      </c>
      <c r="G4438" s="87" t="s">
        <v>967</v>
      </c>
      <c r="H4438" s="87" t="s">
        <v>508</v>
      </c>
      <c r="I4438" s="87">
        <v>38</v>
      </c>
    </row>
    <row r="4439" spans="1:9" x14ac:dyDescent="0.25">
      <c r="A4439" s="87" t="s">
        <v>92</v>
      </c>
      <c r="B4439" s="87" t="s">
        <v>228</v>
      </c>
      <c r="C4439" s="87">
        <v>1996</v>
      </c>
      <c r="D4439" s="87" t="s">
        <v>15</v>
      </c>
      <c r="E4439" s="116">
        <v>1569</v>
      </c>
      <c r="F4439" s="87" t="s">
        <v>508</v>
      </c>
      <c r="G4439" s="87" t="s">
        <v>967</v>
      </c>
      <c r="H4439" s="87" t="s">
        <v>508</v>
      </c>
      <c r="I4439" s="87">
        <v>38</v>
      </c>
    </row>
    <row r="4440" spans="1:9" x14ac:dyDescent="0.25">
      <c r="A4440" s="87" t="s">
        <v>92</v>
      </c>
      <c r="B4440" s="87" t="s">
        <v>228</v>
      </c>
      <c r="C4440" s="87">
        <v>1997</v>
      </c>
      <c r="D4440" s="87" t="s">
        <v>15</v>
      </c>
      <c r="E4440" s="116">
        <v>725</v>
      </c>
      <c r="F4440" s="87" t="s">
        <v>967</v>
      </c>
      <c r="G4440" s="87" t="s">
        <v>967</v>
      </c>
      <c r="H4440" s="87" t="s">
        <v>967</v>
      </c>
      <c r="I4440" s="87">
        <v>38</v>
      </c>
    </row>
    <row r="4441" spans="1:9" x14ac:dyDescent="0.25">
      <c r="A4441" s="87" t="s">
        <v>92</v>
      </c>
      <c r="B4441" s="87" t="s">
        <v>228</v>
      </c>
      <c r="C4441" s="87">
        <v>1998</v>
      </c>
      <c r="D4441" s="87" t="s">
        <v>15</v>
      </c>
      <c r="E4441" s="116">
        <v>369</v>
      </c>
      <c r="F4441" s="87" t="s">
        <v>644</v>
      </c>
      <c r="G4441" s="87" t="s">
        <v>274</v>
      </c>
      <c r="H4441" s="87" t="s">
        <v>644</v>
      </c>
      <c r="I4441" s="87">
        <v>38</v>
      </c>
    </row>
    <row r="4442" spans="1:9" x14ac:dyDescent="0.25">
      <c r="A4442" s="87" t="s">
        <v>92</v>
      </c>
      <c r="B4442" s="87" t="s">
        <v>228</v>
      </c>
      <c r="C4442" s="87">
        <v>1999</v>
      </c>
      <c r="D4442" s="87" t="s">
        <v>15</v>
      </c>
      <c r="E4442" s="116">
        <v>524</v>
      </c>
      <c r="F4442" s="87" t="s">
        <v>419</v>
      </c>
      <c r="G4442" s="87" t="s">
        <v>274</v>
      </c>
      <c r="H4442" s="87" t="s">
        <v>419</v>
      </c>
      <c r="I4442" s="87">
        <v>38</v>
      </c>
    </row>
    <row r="4443" spans="1:9" x14ac:dyDescent="0.25">
      <c r="A4443" s="87" t="s">
        <v>92</v>
      </c>
      <c r="B4443" s="87" t="s">
        <v>228</v>
      </c>
      <c r="C4443" s="87">
        <v>2000</v>
      </c>
      <c r="D4443" s="87" t="s">
        <v>15</v>
      </c>
      <c r="E4443" s="116">
        <v>1511</v>
      </c>
      <c r="F4443" s="87" t="s">
        <v>967</v>
      </c>
      <c r="G4443" s="87" t="s">
        <v>274</v>
      </c>
      <c r="H4443" s="87" t="s">
        <v>967</v>
      </c>
      <c r="I4443" s="87">
        <v>38</v>
      </c>
    </row>
    <row r="4444" spans="1:9" x14ac:dyDescent="0.25">
      <c r="A4444" s="87" t="s">
        <v>92</v>
      </c>
      <c r="B4444" s="87" t="s">
        <v>228</v>
      </c>
      <c r="C4444" s="87">
        <v>2001</v>
      </c>
      <c r="D4444" s="87" t="s">
        <v>15</v>
      </c>
      <c r="E4444" s="116">
        <v>1121</v>
      </c>
      <c r="F4444" s="87" t="s">
        <v>967</v>
      </c>
      <c r="G4444" s="87" t="s">
        <v>272</v>
      </c>
      <c r="H4444" s="87" t="s">
        <v>967</v>
      </c>
      <c r="I4444" s="87">
        <v>38</v>
      </c>
    </row>
    <row r="4445" spans="1:9" x14ac:dyDescent="0.25">
      <c r="A4445" s="87" t="s">
        <v>92</v>
      </c>
      <c r="B4445" s="87" t="s">
        <v>228</v>
      </c>
      <c r="C4445" s="87">
        <v>2002</v>
      </c>
      <c r="D4445" s="87" t="s">
        <v>15</v>
      </c>
      <c r="E4445" s="116">
        <v>480</v>
      </c>
      <c r="F4445" s="87" t="s">
        <v>967</v>
      </c>
      <c r="G4445" s="87" t="s">
        <v>274</v>
      </c>
      <c r="H4445" s="87" t="s">
        <v>967</v>
      </c>
      <c r="I4445" s="87">
        <v>38</v>
      </c>
    </row>
    <row r="4446" spans="1:9" x14ac:dyDescent="0.25">
      <c r="A4446" s="87" t="s">
        <v>92</v>
      </c>
      <c r="B4446" s="87" t="s">
        <v>228</v>
      </c>
      <c r="C4446" s="87">
        <v>2003</v>
      </c>
      <c r="D4446" s="87" t="s">
        <v>15</v>
      </c>
      <c r="E4446" s="116">
        <v>45</v>
      </c>
      <c r="F4446" s="87" t="s">
        <v>967</v>
      </c>
      <c r="G4446" s="87" t="s">
        <v>272</v>
      </c>
      <c r="H4446" s="87" t="s">
        <v>967</v>
      </c>
      <c r="I4446" s="87">
        <v>38</v>
      </c>
    </row>
    <row r="4447" spans="1:9" x14ac:dyDescent="0.25">
      <c r="A4447" s="87" t="s">
        <v>92</v>
      </c>
      <c r="B4447" s="87" t="s">
        <v>228</v>
      </c>
      <c r="C4447" s="87">
        <v>2004</v>
      </c>
      <c r="D4447" s="87" t="s">
        <v>15</v>
      </c>
      <c r="E4447" s="116">
        <v>538</v>
      </c>
      <c r="F4447" s="87" t="s">
        <v>967</v>
      </c>
      <c r="G4447" s="87" t="s">
        <v>272</v>
      </c>
      <c r="H4447" s="87" t="s">
        <v>967</v>
      </c>
      <c r="I4447" s="87">
        <v>38</v>
      </c>
    </row>
    <row r="4448" spans="1:9" x14ac:dyDescent="0.25">
      <c r="A4448" s="87" t="s">
        <v>92</v>
      </c>
      <c r="B4448" s="87" t="s">
        <v>228</v>
      </c>
      <c r="C4448" s="87">
        <v>2005</v>
      </c>
      <c r="D4448" s="87" t="s">
        <v>15</v>
      </c>
      <c r="E4448" s="116">
        <v>189</v>
      </c>
      <c r="F4448" s="87" t="s">
        <v>967</v>
      </c>
      <c r="G4448" s="87" t="s">
        <v>272</v>
      </c>
      <c r="H4448" s="87" t="s">
        <v>967</v>
      </c>
      <c r="I4448" s="87">
        <v>38</v>
      </c>
    </row>
    <row r="4449" spans="1:9" x14ac:dyDescent="0.25">
      <c r="A4449" s="87" t="s">
        <v>92</v>
      </c>
      <c r="B4449" s="87" t="s">
        <v>228</v>
      </c>
      <c r="C4449" s="87">
        <v>2006</v>
      </c>
      <c r="D4449" s="87" t="s">
        <v>15</v>
      </c>
      <c r="E4449" s="116">
        <v>198</v>
      </c>
      <c r="F4449" s="87" t="s">
        <v>967</v>
      </c>
      <c r="G4449" s="87" t="s">
        <v>272</v>
      </c>
      <c r="H4449" s="87" t="s">
        <v>967</v>
      </c>
      <c r="I4449" s="87">
        <v>38</v>
      </c>
    </row>
    <row r="4450" spans="1:9" x14ac:dyDescent="0.25">
      <c r="A4450" s="87" t="s">
        <v>92</v>
      </c>
      <c r="B4450" s="87" t="s">
        <v>228</v>
      </c>
      <c r="C4450" s="87">
        <v>2007</v>
      </c>
      <c r="D4450" s="87" t="s">
        <v>15</v>
      </c>
      <c r="E4450" s="116">
        <v>38</v>
      </c>
      <c r="F4450" s="87" t="s">
        <v>967</v>
      </c>
      <c r="G4450" s="87" t="s">
        <v>272</v>
      </c>
      <c r="H4450" s="87" t="s">
        <v>967</v>
      </c>
      <c r="I4450" s="87">
        <v>38</v>
      </c>
    </row>
    <row r="4451" spans="1:9" x14ac:dyDescent="0.25">
      <c r="A4451" s="87" t="s">
        <v>92</v>
      </c>
      <c r="B4451" s="87" t="s">
        <v>228</v>
      </c>
      <c r="C4451" s="87">
        <v>2008</v>
      </c>
      <c r="D4451" s="87" t="s">
        <v>15</v>
      </c>
      <c r="E4451" s="116">
        <v>97</v>
      </c>
      <c r="F4451" s="87" t="s">
        <v>967</v>
      </c>
      <c r="G4451" s="87" t="s">
        <v>272</v>
      </c>
      <c r="H4451" s="87" t="s">
        <v>967</v>
      </c>
      <c r="I4451" s="87">
        <v>38</v>
      </c>
    </row>
    <row r="4452" spans="1:9" x14ac:dyDescent="0.25">
      <c r="A4452" s="87" t="s">
        <v>92</v>
      </c>
      <c r="B4452" s="87" t="s">
        <v>228</v>
      </c>
      <c r="C4452" s="87">
        <v>2009</v>
      </c>
      <c r="D4452" s="87" t="s">
        <v>15</v>
      </c>
      <c r="E4452" s="116">
        <v>91</v>
      </c>
      <c r="F4452" s="87" t="s">
        <v>967</v>
      </c>
      <c r="G4452" s="87" t="s">
        <v>274</v>
      </c>
      <c r="H4452" s="87" t="s">
        <v>967</v>
      </c>
      <c r="I4452" s="87">
        <v>38</v>
      </c>
    </row>
    <row r="4453" spans="1:9" x14ac:dyDescent="0.25">
      <c r="A4453" s="87" t="s">
        <v>92</v>
      </c>
      <c r="B4453" s="87" t="s">
        <v>228</v>
      </c>
      <c r="C4453" s="87">
        <v>2010</v>
      </c>
      <c r="D4453" s="87" t="s">
        <v>15</v>
      </c>
      <c r="E4453" s="116">
        <v>72</v>
      </c>
      <c r="F4453" s="87" t="s">
        <v>967</v>
      </c>
      <c r="G4453" s="87" t="s">
        <v>274</v>
      </c>
      <c r="H4453" s="87" t="s">
        <v>967</v>
      </c>
      <c r="I4453" s="87">
        <v>38</v>
      </c>
    </row>
    <row r="4454" spans="1:9" x14ac:dyDescent="0.25">
      <c r="A4454" s="87" t="s">
        <v>92</v>
      </c>
      <c r="B4454" s="87" t="s">
        <v>228</v>
      </c>
      <c r="C4454" s="87">
        <v>2011</v>
      </c>
      <c r="D4454" s="87" t="s">
        <v>15</v>
      </c>
      <c r="E4454" s="116">
        <v>91</v>
      </c>
      <c r="F4454" s="87" t="s">
        <v>967</v>
      </c>
      <c r="G4454" s="87" t="s">
        <v>274</v>
      </c>
      <c r="H4454" s="87" t="s">
        <v>967</v>
      </c>
      <c r="I4454" s="87">
        <v>38</v>
      </c>
    </row>
    <row r="4455" spans="1:9" x14ac:dyDescent="0.25">
      <c r="A4455" s="87" t="s">
        <v>92</v>
      </c>
      <c r="B4455" s="87" t="s">
        <v>228</v>
      </c>
      <c r="C4455" s="87">
        <v>2012</v>
      </c>
      <c r="D4455" s="87" t="s">
        <v>15</v>
      </c>
      <c r="E4455" s="116">
        <v>91</v>
      </c>
      <c r="F4455" s="87" t="s">
        <v>967</v>
      </c>
      <c r="G4455" s="87" t="s">
        <v>274</v>
      </c>
      <c r="H4455" s="87" t="s">
        <v>967</v>
      </c>
      <c r="I4455" s="87">
        <v>38</v>
      </c>
    </row>
    <row r="4456" spans="1:9" x14ac:dyDescent="0.25">
      <c r="A4456" s="87" t="s">
        <v>92</v>
      </c>
      <c r="B4456" s="87" t="s">
        <v>228</v>
      </c>
      <c r="C4456" s="87">
        <v>2013</v>
      </c>
      <c r="D4456" s="87" t="s">
        <v>15</v>
      </c>
      <c r="E4456" s="116">
        <v>17</v>
      </c>
      <c r="F4456" s="87" t="s">
        <v>967</v>
      </c>
      <c r="G4456" s="87" t="s">
        <v>274</v>
      </c>
      <c r="H4456" s="87" t="s">
        <v>967</v>
      </c>
      <c r="I4456" s="87">
        <v>38</v>
      </c>
    </row>
    <row r="4457" spans="1:9" x14ac:dyDescent="0.25">
      <c r="A4457" s="87" t="s">
        <v>92</v>
      </c>
      <c r="B4457" s="87" t="s">
        <v>228</v>
      </c>
      <c r="C4457" s="87">
        <v>2014</v>
      </c>
      <c r="D4457" s="87" t="s">
        <v>15</v>
      </c>
      <c r="E4457" s="116">
        <v>62</v>
      </c>
      <c r="F4457" s="87" t="s">
        <v>967</v>
      </c>
      <c r="G4457" s="87" t="s">
        <v>274</v>
      </c>
      <c r="H4457" s="87" t="s">
        <v>967</v>
      </c>
      <c r="I4457" s="87">
        <v>38</v>
      </c>
    </row>
    <row r="4458" spans="1:9" x14ac:dyDescent="0.25">
      <c r="A4458" s="87" t="s">
        <v>92</v>
      </c>
      <c r="B4458" s="87" t="s">
        <v>228</v>
      </c>
      <c r="C4458" s="87">
        <v>2015</v>
      </c>
      <c r="D4458" s="87" t="s">
        <v>15</v>
      </c>
      <c r="E4458" s="116">
        <v>58</v>
      </c>
      <c r="F4458" s="87" t="s">
        <v>967</v>
      </c>
      <c r="G4458" s="87" t="s">
        <v>272</v>
      </c>
      <c r="H4458" s="87" t="s">
        <v>645</v>
      </c>
      <c r="I4458" s="87">
        <v>38</v>
      </c>
    </row>
    <row r="4459" spans="1:9" x14ac:dyDescent="0.25">
      <c r="A4459" s="87" t="s">
        <v>92</v>
      </c>
      <c r="B4459" s="87" t="s">
        <v>228</v>
      </c>
      <c r="C4459" s="87">
        <v>2016</v>
      </c>
      <c r="D4459" s="87" t="s">
        <v>15</v>
      </c>
      <c r="E4459" s="116">
        <v>40</v>
      </c>
      <c r="F4459" s="87" t="s">
        <v>967</v>
      </c>
      <c r="G4459" s="87" t="s">
        <v>274</v>
      </c>
      <c r="H4459" s="87" t="s">
        <v>967</v>
      </c>
      <c r="I4459" s="87">
        <v>38</v>
      </c>
    </row>
    <row r="4460" spans="1:9" x14ac:dyDescent="0.25">
      <c r="A4460" s="87" t="s">
        <v>92</v>
      </c>
      <c r="B4460" s="87" t="s">
        <v>228</v>
      </c>
      <c r="C4460" s="87">
        <v>2017</v>
      </c>
      <c r="D4460" s="87" t="s">
        <v>15</v>
      </c>
      <c r="E4460" s="116">
        <v>20</v>
      </c>
      <c r="F4460" s="87" t="s">
        <v>967</v>
      </c>
      <c r="G4460" s="87" t="s">
        <v>274</v>
      </c>
      <c r="H4460" s="87" t="s">
        <v>967</v>
      </c>
      <c r="I4460" s="87">
        <v>38</v>
      </c>
    </row>
    <row r="4461" spans="1:9" x14ac:dyDescent="0.25">
      <c r="A4461" s="87" t="s">
        <v>92</v>
      </c>
      <c r="B4461" s="87" t="s">
        <v>228</v>
      </c>
      <c r="C4461" s="87">
        <v>2018</v>
      </c>
      <c r="D4461" s="87" t="s">
        <v>15</v>
      </c>
      <c r="E4461" s="116">
        <v>9</v>
      </c>
      <c r="F4461" s="87" t="s">
        <v>967</v>
      </c>
      <c r="G4461" s="87" t="s">
        <v>272</v>
      </c>
      <c r="H4461" s="87" t="s">
        <v>967</v>
      </c>
      <c r="I4461" s="87">
        <v>38</v>
      </c>
    </row>
    <row r="4462" spans="1:9" x14ac:dyDescent="0.25">
      <c r="A4462" s="87" t="s">
        <v>92</v>
      </c>
      <c r="B4462" s="87" t="s">
        <v>228</v>
      </c>
      <c r="C4462" s="87">
        <v>2019</v>
      </c>
      <c r="D4462" s="87" t="s">
        <v>15</v>
      </c>
      <c r="E4462" s="116">
        <v>149</v>
      </c>
      <c r="F4462" s="87" t="s">
        <v>967</v>
      </c>
      <c r="G4462" s="87" t="s">
        <v>274</v>
      </c>
      <c r="H4462" s="87" t="s">
        <v>967</v>
      </c>
      <c r="I4462" s="87">
        <v>38</v>
      </c>
    </row>
    <row r="4463" spans="1:9" x14ac:dyDescent="0.25">
      <c r="A4463" s="87" t="s">
        <v>92</v>
      </c>
      <c r="B4463" s="87" t="s">
        <v>228</v>
      </c>
      <c r="C4463" s="87">
        <v>2020</v>
      </c>
      <c r="D4463" s="87" t="s">
        <v>15</v>
      </c>
      <c r="E4463" s="116">
        <v>111</v>
      </c>
      <c r="F4463" s="87" t="s">
        <v>967</v>
      </c>
      <c r="G4463" s="87" t="s">
        <v>272</v>
      </c>
      <c r="H4463" s="87" t="s">
        <v>967</v>
      </c>
      <c r="I4463" s="87">
        <v>38</v>
      </c>
    </row>
    <row r="4464" spans="1:9" x14ac:dyDescent="0.25">
      <c r="A4464" s="87" t="s">
        <v>92</v>
      </c>
      <c r="B4464" s="87" t="s">
        <v>228</v>
      </c>
      <c r="C4464" s="87">
        <v>2021</v>
      </c>
      <c r="D4464" s="87" t="s">
        <v>15</v>
      </c>
      <c r="E4464" s="116">
        <v>32</v>
      </c>
      <c r="F4464" s="87" t="s">
        <v>967</v>
      </c>
      <c r="G4464" s="87" t="s">
        <v>272</v>
      </c>
      <c r="H4464" s="87" t="s">
        <v>967</v>
      </c>
      <c r="I4464" s="87">
        <v>38</v>
      </c>
    </row>
    <row r="4465" spans="1:9" x14ac:dyDescent="0.25">
      <c r="A4465" s="87" t="s">
        <v>92</v>
      </c>
      <c r="B4465" s="87" t="s">
        <v>228</v>
      </c>
      <c r="C4465" s="87">
        <v>2022</v>
      </c>
      <c r="D4465" s="87" t="s">
        <v>15</v>
      </c>
      <c r="E4465" s="116">
        <v>109</v>
      </c>
      <c r="F4465" s="87" t="s">
        <v>967</v>
      </c>
      <c r="G4465" s="87" t="s">
        <v>272</v>
      </c>
      <c r="H4465" s="87" t="s">
        <v>967</v>
      </c>
      <c r="I4465" s="87">
        <v>38</v>
      </c>
    </row>
    <row r="4466" spans="1:9" x14ac:dyDescent="0.25">
      <c r="A4466" s="87" t="s">
        <v>88</v>
      </c>
      <c r="B4466" s="87" t="s">
        <v>420</v>
      </c>
      <c r="C4466" s="87">
        <v>1975</v>
      </c>
      <c r="D4466" s="87" t="s">
        <v>18</v>
      </c>
      <c r="E4466" s="116">
        <v>10</v>
      </c>
      <c r="F4466" s="87" t="s">
        <v>967</v>
      </c>
      <c r="G4466" s="87" t="s">
        <v>967</v>
      </c>
      <c r="H4466" s="87" t="s">
        <v>967</v>
      </c>
      <c r="I4466" s="87">
        <v>40</v>
      </c>
    </row>
    <row r="4467" spans="1:9" x14ac:dyDescent="0.25">
      <c r="A4467" s="87" t="s">
        <v>88</v>
      </c>
      <c r="B4467" s="87" t="s">
        <v>420</v>
      </c>
      <c r="C4467" s="87">
        <v>1976</v>
      </c>
      <c r="D4467" s="87" t="s">
        <v>18</v>
      </c>
      <c r="E4467" s="116">
        <v>75</v>
      </c>
      <c r="F4467" s="87" t="s">
        <v>967</v>
      </c>
      <c r="G4467" s="87" t="s">
        <v>967</v>
      </c>
      <c r="H4467" s="87" t="s">
        <v>967</v>
      </c>
      <c r="I4467" s="87">
        <v>40</v>
      </c>
    </row>
    <row r="4468" spans="1:9" x14ac:dyDescent="0.25">
      <c r="A4468" s="87" t="s">
        <v>88</v>
      </c>
      <c r="B4468" s="87" t="s">
        <v>420</v>
      </c>
      <c r="C4468" s="87">
        <v>1977</v>
      </c>
      <c r="D4468" s="87" t="s">
        <v>18</v>
      </c>
      <c r="E4468" s="116">
        <v>10</v>
      </c>
      <c r="F4468" s="87" t="s">
        <v>967</v>
      </c>
      <c r="G4468" s="87" t="s">
        <v>967</v>
      </c>
      <c r="H4468" s="87" t="s">
        <v>967</v>
      </c>
      <c r="I4468" s="87">
        <v>40</v>
      </c>
    </row>
    <row r="4469" spans="1:9" x14ac:dyDescent="0.25">
      <c r="A4469" s="87" t="s">
        <v>88</v>
      </c>
      <c r="B4469" s="87" t="s">
        <v>420</v>
      </c>
      <c r="C4469" s="87">
        <v>1978</v>
      </c>
      <c r="D4469" s="87" t="s">
        <v>18</v>
      </c>
      <c r="E4469" s="116">
        <v>10</v>
      </c>
      <c r="F4469" s="87" t="s">
        <v>967</v>
      </c>
      <c r="G4469" s="87" t="s">
        <v>967</v>
      </c>
      <c r="H4469" s="87" t="s">
        <v>967</v>
      </c>
      <c r="I4469" s="87">
        <v>40</v>
      </c>
    </row>
    <row r="4470" spans="1:9" x14ac:dyDescent="0.25">
      <c r="A4470" s="87" t="s">
        <v>88</v>
      </c>
      <c r="B4470" s="87" t="s">
        <v>420</v>
      </c>
      <c r="C4470" s="87">
        <v>1979</v>
      </c>
      <c r="D4470" s="87" t="s">
        <v>18</v>
      </c>
      <c r="E4470" s="116">
        <v>15</v>
      </c>
      <c r="F4470" s="87" t="s">
        <v>967</v>
      </c>
      <c r="G4470" s="87" t="s">
        <v>967</v>
      </c>
      <c r="H4470" s="87" t="s">
        <v>967</v>
      </c>
      <c r="I4470" s="87">
        <v>40</v>
      </c>
    </row>
    <row r="4471" spans="1:9" x14ac:dyDescent="0.25">
      <c r="A4471" s="87" t="s">
        <v>88</v>
      </c>
      <c r="B4471" s="87" t="s">
        <v>420</v>
      </c>
      <c r="C4471" s="87">
        <v>1980</v>
      </c>
      <c r="D4471" s="87" t="s">
        <v>18</v>
      </c>
      <c r="E4471" s="116">
        <v>15</v>
      </c>
      <c r="F4471" s="87" t="s">
        <v>967</v>
      </c>
      <c r="G4471" s="87" t="s">
        <v>967</v>
      </c>
      <c r="H4471" s="87" t="s">
        <v>967</v>
      </c>
      <c r="I4471" s="87">
        <v>40</v>
      </c>
    </row>
    <row r="4472" spans="1:9" x14ac:dyDescent="0.25">
      <c r="A4472" s="87" t="s">
        <v>88</v>
      </c>
      <c r="B4472" s="87" t="s">
        <v>420</v>
      </c>
      <c r="C4472" s="87">
        <v>1981</v>
      </c>
      <c r="D4472" s="87" t="s">
        <v>18</v>
      </c>
      <c r="E4472" s="116">
        <v>100</v>
      </c>
      <c r="F4472" s="87" t="s">
        <v>967</v>
      </c>
      <c r="G4472" s="87" t="s">
        <v>967</v>
      </c>
      <c r="H4472" s="87" t="s">
        <v>967</v>
      </c>
      <c r="I4472" s="87">
        <v>40</v>
      </c>
    </row>
    <row r="4473" spans="1:9" x14ac:dyDescent="0.25">
      <c r="A4473" s="87" t="s">
        <v>88</v>
      </c>
      <c r="B4473" s="87" t="s">
        <v>420</v>
      </c>
      <c r="C4473" s="87">
        <v>1982</v>
      </c>
      <c r="D4473" s="87" t="s">
        <v>18</v>
      </c>
      <c r="E4473" s="116">
        <v>0</v>
      </c>
      <c r="F4473" s="87" t="s">
        <v>967</v>
      </c>
      <c r="G4473" s="87" t="s">
        <v>967</v>
      </c>
      <c r="H4473" s="87" t="s">
        <v>967</v>
      </c>
      <c r="I4473" s="87">
        <v>40</v>
      </c>
    </row>
    <row r="4474" spans="1:9" x14ac:dyDescent="0.25">
      <c r="A4474" s="87" t="s">
        <v>88</v>
      </c>
      <c r="B4474" s="87" t="s">
        <v>420</v>
      </c>
      <c r="C4474" s="87">
        <v>1983</v>
      </c>
      <c r="D4474" s="87" t="s">
        <v>18</v>
      </c>
      <c r="E4474" s="116">
        <v>65</v>
      </c>
      <c r="F4474" s="87" t="s">
        <v>967</v>
      </c>
      <c r="G4474" s="87" t="s">
        <v>967</v>
      </c>
      <c r="H4474" s="87" t="s">
        <v>967</v>
      </c>
      <c r="I4474" s="87">
        <v>40</v>
      </c>
    </row>
    <row r="4475" spans="1:9" x14ac:dyDescent="0.25">
      <c r="A4475" s="87" t="s">
        <v>88</v>
      </c>
      <c r="B4475" s="87" t="s">
        <v>420</v>
      </c>
      <c r="C4475" s="87">
        <v>1984</v>
      </c>
      <c r="D4475" s="87" t="s">
        <v>18</v>
      </c>
      <c r="E4475" s="116">
        <v>75</v>
      </c>
      <c r="F4475" s="87" t="s">
        <v>967</v>
      </c>
      <c r="G4475" s="87" t="s">
        <v>967</v>
      </c>
      <c r="H4475" s="87" t="s">
        <v>967</v>
      </c>
      <c r="I4475" s="87">
        <v>40</v>
      </c>
    </row>
    <row r="4476" spans="1:9" x14ac:dyDescent="0.25">
      <c r="A4476" s="87" t="s">
        <v>88</v>
      </c>
      <c r="B4476" s="87" t="s">
        <v>420</v>
      </c>
      <c r="C4476" s="87">
        <v>1985</v>
      </c>
      <c r="D4476" s="87" t="s">
        <v>18</v>
      </c>
      <c r="E4476" s="116">
        <v>50</v>
      </c>
      <c r="F4476" s="87" t="s">
        <v>967</v>
      </c>
      <c r="G4476" s="87" t="s">
        <v>967</v>
      </c>
      <c r="H4476" s="87" t="s">
        <v>967</v>
      </c>
      <c r="I4476" s="87">
        <v>40</v>
      </c>
    </row>
    <row r="4477" spans="1:9" x14ac:dyDescent="0.25">
      <c r="A4477" s="87" t="s">
        <v>88</v>
      </c>
      <c r="B4477" s="87" t="s">
        <v>420</v>
      </c>
      <c r="C4477" s="87">
        <v>1986</v>
      </c>
      <c r="D4477" s="87" t="s">
        <v>18</v>
      </c>
      <c r="E4477" s="116">
        <v>5</v>
      </c>
      <c r="F4477" s="87" t="s">
        <v>967</v>
      </c>
      <c r="G4477" s="87" t="s">
        <v>967</v>
      </c>
      <c r="H4477" s="87" t="s">
        <v>967</v>
      </c>
      <c r="I4477" s="87">
        <v>40</v>
      </c>
    </row>
    <row r="4478" spans="1:9" x14ac:dyDescent="0.25">
      <c r="A4478" s="87" t="s">
        <v>88</v>
      </c>
      <c r="B4478" s="87" t="s">
        <v>420</v>
      </c>
      <c r="C4478" s="87">
        <v>1987</v>
      </c>
      <c r="D4478" s="87" t="s">
        <v>18</v>
      </c>
      <c r="E4478" s="116">
        <v>50</v>
      </c>
      <c r="F4478" s="87" t="s">
        <v>967</v>
      </c>
      <c r="G4478" s="87" t="s">
        <v>967</v>
      </c>
      <c r="H4478" s="87" t="s">
        <v>967</v>
      </c>
      <c r="I4478" s="87">
        <v>40</v>
      </c>
    </row>
    <row r="4479" spans="1:9" x14ac:dyDescent="0.25">
      <c r="A4479" s="87" t="s">
        <v>88</v>
      </c>
      <c r="B4479" s="87" t="s">
        <v>420</v>
      </c>
      <c r="C4479" s="87">
        <v>1988</v>
      </c>
      <c r="D4479" s="87" t="s">
        <v>18</v>
      </c>
      <c r="E4479" s="116">
        <v>100</v>
      </c>
      <c r="F4479" s="87" t="s">
        <v>967</v>
      </c>
      <c r="G4479" s="87" t="s">
        <v>967</v>
      </c>
      <c r="H4479" s="87" t="s">
        <v>967</v>
      </c>
      <c r="I4479" s="87">
        <v>40</v>
      </c>
    </row>
    <row r="4480" spans="1:9" x14ac:dyDescent="0.25">
      <c r="A4480" s="87" t="s">
        <v>88</v>
      </c>
      <c r="B4480" s="87" t="s">
        <v>420</v>
      </c>
      <c r="C4480" s="87">
        <v>1989</v>
      </c>
      <c r="D4480" s="87" t="s">
        <v>18</v>
      </c>
      <c r="E4480" s="116">
        <v>260</v>
      </c>
      <c r="F4480" s="87" t="s">
        <v>967</v>
      </c>
      <c r="G4480" s="87" t="s">
        <v>967</v>
      </c>
      <c r="H4480" s="87" t="s">
        <v>967</v>
      </c>
      <c r="I4480" s="87">
        <v>40</v>
      </c>
    </row>
    <row r="4481" spans="1:9" x14ac:dyDescent="0.25">
      <c r="A4481" s="87" t="s">
        <v>88</v>
      </c>
      <c r="B4481" s="87" t="s">
        <v>420</v>
      </c>
      <c r="C4481" s="87">
        <v>1990</v>
      </c>
      <c r="D4481" s="87" t="s">
        <v>18</v>
      </c>
      <c r="E4481" s="116">
        <v>100</v>
      </c>
      <c r="F4481" s="87" t="s">
        <v>967</v>
      </c>
      <c r="G4481" s="87" t="s">
        <v>967</v>
      </c>
      <c r="H4481" s="87" t="s">
        <v>967</v>
      </c>
      <c r="I4481" s="87">
        <v>40</v>
      </c>
    </row>
    <row r="4482" spans="1:9" x14ac:dyDescent="0.25">
      <c r="A4482" s="87" t="s">
        <v>88</v>
      </c>
      <c r="B4482" s="87" t="s">
        <v>420</v>
      </c>
      <c r="C4482" s="87">
        <v>1991</v>
      </c>
      <c r="D4482" s="87" t="s">
        <v>18</v>
      </c>
      <c r="E4482" s="116">
        <v>50</v>
      </c>
      <c r="F4482" s="87" t="s">
        <v>967</v>
      </c>
      <c r="G4482" s="87" t="s">
        <v>967</v>
      </c>
      <c r="H4482" s="87" t="s">
        <v>967</v>
      </c>
      <c r="I4482" s="87">
        <v>40</v>
      </c>
    </row>
    <row r="4483" spans="1:9" x14ac:dyDescent="0.25">
      <c r="A4483" s="87" t="s">
        <v>88</v>
      </c>
      <c r="B4483" s="87" t="s">
        <v>420</v>
      </c>
      <c r="C4483" s="87">
        <v>1992</v>
      </c>
      <c r="D4483" s="87" t="s">
        <v>18</v>
      </c>
      <c r="E4483" s="116">
        <v>-1</v>
      </c>
      <c r="F4483" s="87" t="s">
        <v>900</v>
      </c>
      <c r="G4483" s="87" t="s">
        <v>272</v>
      </c>
      <c r="H4483" s="87" t="s">
        <v>900</v>
      </c>
      <c r="I4483" s="87">
        <v>40</v>
      </c>
    </row>
    <row r="4484" spans="1:9" x14ac:dyDescent="0.25">
      <c r="A4484" s="87" t="s">
        <v>88</v>
      </c>
      <c r="B4484" s="87" t="s">
        <v>420</v>
      </c>
      <c r="C4484" s="87">
        <v>1993</v>
      </c>
      <c r="D4484" s="87" t="s">
        <v>18</v>
      </c>
      <c r="E4484" s="116">
        <v>50</v>
      </c>
      <c r="F4484" s="87" t="s">
        <v>967</v>
      </c>
      <c r="G4484" s="87" t="s">
        <v>967</v>
      </c>
      <c r="H4484" s="87" t="s">
        <v>967</v>
      </c>
      <c r="I4484" s="87">
        <v>40</v>
      </c>
    </row>
    <row r="4485" spans="1:9" x14ac:dyDescent="0.25">
      <c r="A4485" s="87" t="s">
        <v>88</v>
      </c>
      <c r="B4485" s="87" t="s">
        <v>420</v>
      </c>
      <c r="C4485" s="87">
        <v>1994</v>
      </c>
      <c r="D4485" s="87" t="s">
        <v>18</v>
      </c>
      <c r="E4485" s="116">
        <v>44</v>
      </c>
      <c r="F4485" s="87" t="s">
        <v>967</v>
      </c>
      <c r="G4485" s="87" t="s">
        <v>967</v>
      </c>
      <c r="H4485" s="87" t="s">
        <v>967</v>
      </c>
      <c r="I4485" s="87">
        <v>40</v>
      </c>
    </row>
    <row r="4486" spans="1:9" x14ac:dyDescent="0.25">
      <c r="A4486" s="87" t="s">
        <v>88</v>
      </c>
      <c r="B4486" s="87" t="s">
        <v>420</v>
      </c>
      <c r="C4486" s="87">
        <v>1995</v>
      </c>
      <c r="D4486" s="87" t="s">
        <v>18</v>
      </c>
      <c r="E4486" s="116">
        <v>21</v>
      </c>
      <c r="F4486" s="87" t="s">
        <v>967</v>
      </c>
      <c r="G4486" s="87" t="s">
        <v>332</v>
      </c>
      <c r="H4486" s="87" t="s">
        <v>967</v>
      </c>
      <c r="I4486" s="87">
        <v>40</v>
      </c>
    </row>
    <row r="4487" spans="1:9" x14ac:dyDescent="0.25">
      <c r="A4487" s="87" t="s">
        <v>88</v>
      </c>
      <c r="B4487" s="87" t="s">
        <v>420</v>
      </c>
      <c r="C4487" s="87">
        <v>1996</v>
      </c>
      <c r="D4487" s="87" t="s">
        <v>18</v>
      </c>
      <c r="E4487" s="116">
        <v>5</v>
      </c>
      <c r="F4487" s="87" t="s">
        <v>967</v>
      </c>
      <c r="G4487" s="87" t="s">
        <v>332</v>
      </c>
      <c r="H4487" s="87" t="s">
        <v>967</v>
      </c>
      <c r="I4487" s="87">
        <v>40</v>
      </c>
    </row>
    <row r="4488" spans="1:9" x14ac:dyDescent="0.25">
      <c r="A4488" s="87" t="s">
        <v>88</v>
      </c>
      <c r="B4488" s="87" t="s">
        <v>420</v>
      </c>
      <c r="C4488" s="87">
        <v>1997</v>
      </c>
      <c r="D4488" s="87" t="s">
        <v>18</v>
      </c>
      <c r="E4488" s="116">
        <v>-1</v>
      </c>
      <c r="F4488" s="87" t="s">
        <v>904</v>
      </c>
      <c r="G4488" s="87" t="s">
        <v>272</v>
      </c>
      <c r="H4488" s="87" t="s">
        <v>904</v>
      </c>
      <c r="I4488" s="87">
        <v>40</v>
      </c>
    </row>
    <row r="4489" spans="1:9" x14ac:dyDescent="0.25">
      <c r="A4489" s="87" t="s">
        <v>88</v>
      </c>
      <c r="B4489" s="87" t="s">
        <v>420</v>
      </c>
      <c r="C4489" s="87">
        <v>1998</v>
      </c>
      <c r="D4489" s="87" t="s">
        <v>18</v>
      </c>
      <c r="E4489" s="116">
        <v>-1</v>
      </c>
      <c r="F4489" s="87" t="s">
        <v>904</v>
      </c>
      <c r="G4489" s="87" t="s">
        <v>272</v>
      </c>
      <c r="H4489" s="87" t="s">
        <v>904</v>
      </c>
      <c r="I4489" s="87">
        <v>40</v>
      </c>
    </row>
    <row r="4490" spans="1:9" x14ac:dyDescent="0.25">
      <c r="A4490" s="87" t="s">
        <v>88</v>
      </c>
      <c r="B4490" s="87" t="s">
        <v>420</v>
      </c>
      <c r="C4490" s="87">
        <v>1999</v>
      </c>
      <c r="D4490" s="87" t="s">
        <v>18</v>
      </c>
      <c r="E4490" s="116">
        <v>-1</v>
      </c>
      <c r="F4490" s="87" t="s">
        <v>917</v>
      </c>
      <c r="G4490" s="87" t="s">
        <v>272</v>
      </c>
      <c r="H4490" s="87" t="s">
        <v>917</v>
      </c>
      <c r="I4490" s="87">
        <v>40</v>
      </c>
    </row>
    <row r="4491" spans="1:9" x14ac:dyDescent="0.25">
      <c r="A4491" s="87" t="s">
        <v>88</v>
      </c>
      <c r="B4491" s="87" t="s">
        <v>420</v>
      </c>
      <c r="C4491" s="87">
        <v>2000</v>
      </c>
      <c r="D4491" s="87" t="s">
        <v>18</v>
      </c>
      <c r="E4491" s="116">
        <v>77</v>
      </c>
      <c r="F4491" s="87" t="s">
        <v>967</v>
      </c>
      <c r="G4491" s="87" t="s">
        <v>272</v>
      </c>
      <c r="H4491" s="87" t="s">
        <v>967</v>
      </c>
      <c r="I4491" s="87">
        <v>40</v>
      </c>
    </row>
    <row r="4492" spans="1:9" x14ac:dyDescent="0.25">
      <c r="A4492" s="87" t="s">
        <v>88</v>
      </c>
      <c r="B4492" s="87" t="s">
        <v>420</v>
      </c>
      <c r="C4492" s="87">
        <v>2001</v>
      </c>
      <c r="D4492" s="87" t="s">
        <v>18</v>
      </c>
      <c r="E4492" s="116">
        <v>362</v>
      </c>
      <c r="F4492" s="87" t="s">
        <v>967</v>
      </c>
      <c r="G4492" s="87" t="s">
        <v>272</v>
      </c>
      <c r="H4492" s="87" t="s">
        <v>967</v>
      </c>
      <c r="I4492" s="87">
        <v>40</v>
      </c>
    </row>
    <row r="4493" spans="1:9" x14ac:dyDescent="0.25">
      <c r="A4493" s="87" t="s">
        <v>88</v>
      </c>
      <c r="B4493" s="87" t="s">
        <v>420</v>
      </c>
      <c r="C4493" s="87">
        <v>2002</v>
      </c>
      <c r="D4493" s="87" t="s">
        <v>18</v>
      </c>
      <c r="E4493" s="116">
        <v>377</v>
      </c>
      <c r="F4493" s="87" t="s">
        <v>967</v>
      </c>
      <c r="G4493" s="87" t="s">
        <v>272</v>
      </c>
      <c r="H4493" s="87" t="s">
        <v>513</v>
      </c>
      <c r="I4493" s="87">
        <v>40</v>
      </c>
    </row>
    <row r="4494" spans="1:9" x14ac:dyDescent="0.25">
      <c r="A4494" s="87" t="s">
        <v>88</v>
      </c>
      <c r="B4494" s="87" t="s">
        <v>420</v>
      </c>
      <c r="C4494" s="87">
        <v>2003</v>
      </c>
      <c r="D4494" s="87" t="s">
        <v>18</v>
      </c>
      <c r="E4494" s="116">
        <v>131</v>
      </c>
      <c r="F4494" s="87" t="s">
        <v>967</v>
      </c>
      <c r="G4494" s="87" t="s">
        <v>272</v>
      </c>
      <c r="H4494" s="87" t="s">
        <v>967</v>
      </c>
      <c r="I4494" s="87">
        <v>40</v>
      </c>
    </row>
    <row r="4495" spans="1:9" x14ac:dyDescent="0.25">
      <c r="A4495" s="87" t="s">
        <v>88</v>
      </c>
      <c r="B4495" s="87" t="s">
        <v>420</v>
      </c>
      <c r="C4495" s="87">
        <v>2004</v>
      </c>
      <c r="D4495" s="87" t="s">
        <v>18</v>
      </c>
      <c r="E4495" s="116">
        <v>306</v>
      </c>
      <c r="F4495" s="87" t="s">
        <v>967</v>
      </c>
      <c r="G4495" s="87" t="s">
        <v>272</v>
      </c>
      <c r="H4495" s="87" t="s">
        <v>967</v>
      </c>
      <c r="I4495" s="87">
        <v>40</v>
      </c>
    </row>
    <row r="4496" spans="1:9" x14ac:dyDescent="0.25">
      <c r="A4496" s="87" t="s">
        <v>88</v>
      </c>
      <c r="B4496" s="87" t="s">
        <v>420</v>
      </c>
      <c r="C4496" s="87">
        <v>2005</v>
      </c>
      <c r="D4496" s="87" t="s">
        <v>18</v>
      </c>
      <c r="E4496" s="116">
        <v>220</v>
      </c>
      <c r="F4496" s="87" t="s">
        <v>967</v>
      </c>
      <c r="G4496" s="87" t="s">
        <v>272</v>
      </c>
      <c r="H4496" s="87" t="s">
        <v>514</v>
      </c>
      <c r="I4496" s="87">
        <v>40</v>
      </c>
    </row>
    <row r="4497" spans="1:9" x14ac:dyDescent="0.25">
      <c r="A4497" s="87" t="s">
        <v>88</v>
      </c>
      <c r="B4497" s="87" t="s">
        <v>420</v>
      </c>
      <c r="C4497" s="87">
        <v>2006</v>
      </c>
      <c r="D4497" s="87" t="s">
        <v>18</v>
      </c>
      <c r="E4497" s="116">
        <v>215</v>
      </c>
      <c r="F4497" s="87" t="s">
        <v>967</v>
      </c>
      <c r="G4497" s="87" t="s">
        <v>272</v>
      </c>
      <c r="H4497" s="87" t="s">
        <v>967</v>
      </c>
      <c r="I4497" s="87">
        <v>40</v>
      </c>
    </row>
    <row r="4498" spans="1:9" x14ac:dyDescent="0.25">
      <c r="A4498" s="87" t="s">
        <v>88</v>
      </c>
      <c r="B4498" s="87" t="s">
        <v>420</v>
      </c>
      <c r="C4498" s="87">
        <v>2007</v>
      </c>
      <c r="D4498" s="87" t="s">
        <v>18</v>
      </c>
      <c r="E4498" s="116">
        <v>100</v>
      </c>
      <c r="F4498" s="87" t="s">
        <v>967</v>
      </c>
      <c r="G4498" s="87" t="s">
        <v>272</v>
      </c>
      <c r="H4498" s="87" t="s">
        <v>515</v>
      </c>
      <c r="I4498" s="87">
        <v>40</v>
      </c>
    </row>
    <row r="4499" spans="1:9" x14ac:dyDescent="0.25">
      <c r="A4499" s="87" t="s">
        <v>88</v>
      </c>
      <c r="B4499" s="87" t="s">
        <v>420</v>
      </c>
      <c r="C4499" s="87">
        <v>2008</v>
      </c>
      <c r="D4499" s="87" t="s">
        <v>18</v>
      </c>
      <c r="E4499" s="116">
        <v>101</v>
      </c>
      <c r="F4499" s="87" t="s">
        <v>967</v>
      </c>
      <c r="G4499" s="87" t="s">
        <v>272</v>
      </c>
      <c r="H4499" s="87" t="s">
        <v>516</v>
      </c>
      <c r="I4499" s="87">
        <v>40</v>
      </c>
    </row>
    <row r="4500" spans="1:9" x14ac:dyDescent="0.25">
      <c r="A4500" s="87" t="s">
        <v>88</v>
      </c>
      <c r="B4500" s="87" t="s">
        <v>420</v>
      </c>
      <c r="C4500" s="87">
        <v>2009</v>
      </c>
      <c r="D4500" s="87" t="s">
        <v>18</v>
      </c>
      <c r="E4500" s="116">
        <v>37</v>
      </c>
      <c r="F4500" s="87" t="s">
        <v>967</v>
      </c>
      <c r="G4500" s="87" t="s">
        <v>272</v>
      </c>
      <c r="H4500" s="87" t="s">
        <v>967</v>
      </c>
      <c r="I4500" s="87">
        <v>40</v>
      </c>
    </row>
    <row r="4501" spans="1:9" x14ac:dyDescent="0.25">
      <c r="A4501" s="87" t="s">
        <v>88</v>
      </c>
      <c r="B4501" s="87" t="s">
        <v>420</v>
      </c>
      <c r="C4501" s="87">
        <v>2010</v>
      </c>
      <c r="D4501" s="87" t="s">
        <v>18</v>
      </c>
      <c r="E4501" s="116">
        <v>132</v>
      </c>
      <c r="F4501" s="87" t="s">
        <v>967</v>
      </c>
      <c r="G4501" s="87" t="s">
        <v>272</v>
      </c>
      <c r="H4501" s="87" t="s">
        <v>967</v>
      </c>
      <c r="I4501" s="87">
        <v>40</v>
      </c>
    </row>
    <row r="4502" spans="1:9" x14ac:dyDescent="0.25">
      <c r="A4502" s="87" t="s">
        <v>88</v>
      </c>
      <c r="B4502" s="87" t="s">
        <v>420</v>
      </c>
      <c r="C4502" s="87">
        <v>2011</v>
      </c>
      <c r="D4502" s="87" t="s">
        <v>18</v>
      </c>
      <c r="E4502" s="116">
        <v>112</v>
      </c>
      <c r="F4502" s="87" t="s">
        <v>967</v>
      </c>
      <c r="G4502" s="87" t="s">
        <v>272</v>
      </c>
      <c r="H4502" s="87" t="s">
        <v>967</v>
      </c>
      <c r="I4502" s="87">
        <v>40</v>
      </c>
    </row>
    <row r="4503" spans="1:9" x14ac:dyDescent="0.25">
      <c r="A4503" s="87" t="s">
        <v>88</v>
      </c>
      <c r="B4503" s="87" t="s">
        <v>420</v>
      </c>
      <c r="C4503" s="87">
        <v>2012</v>
      </c>
      <c r="D4503" s="87" t="s">
        <v>18</v>
      </c>
      <c r="E4503" s="116">
        <v>192</v>
      </c>
      <c r="F4503" s="87" t="s">
        <v>967</v>
      </c>
      <c r="G4503" s="87" t="s">
        <v>272</v>
      </c>
      <c r="H4503" s="87" t="s">
        <v>967</v>
      </c>
      <c r="I4503" s="87">
        <v>40</v>
      </c>
    </row>
    <row r="4504" spans="1:9" x14ac:dyDescent="0.25">
      <c r="A4504" s="87" t="s">
        <v>88</v>
      </c>
      <c r="B4504" s="87" t="s">
        <v>420</v>
      </c>
      <c r="C4504" s="87">
        <v>2013</v>
      </c>
      <c r="D4504" s="87" t="s">
        <v>18</v>
      </c>
      <c r="E4504" s="116">
        <v>115</v>
      </c>
      <c r="F4504" s="87" t="s">
        <v>967</v>
      </c>
      <c r="G4504" s="87" t="s">
        <v>272</v>
      </c>
      <c r="H4504" s="87" t="s">
        <v>967</v>
      </c>
      <c r="I4504" s="87">
        <v>40</v>
      </c>
    </row>
    <row r="4505" spans="1:9" x14ac:dyDescent="0.25">
      <c r="A4505" s="87" t="s">
        <v>88</v>
      </c>
      <c r="B4505" s="87" t="s">
        <v>420</v>
      </c>
      <c r="C4505" s="87">
        <v>2014</v>
      </c>
      <c r="D4505" s="87" t="s">
        <v>18</v>
      </c>
      <c r="E4505" s="116">
        <v>132</v>
      </c>
      <c r="F4505" s="87" t="s">
        <v>967</v>
      </c>
      <c r="G4505" s="87" t="s">
        <v>272</v>
      </c>
      <c r="H4505" s="87" t="s">
        <v>967</v>
      </c>
      <c r="I4505" s="87">
        <v>40</v>
      </c>
    </row>
    <row r="4506" spans="1:9" x14ac:dyDescent="0.25">
      <c r="A4506" s="87" t="s">
        <v>88</v>
      </c>
      <c r="B4506" s="87" t="s">
        <v>420</v>
      </c>
      <c r="C4506" s="87">
        <v>2015</v>
      </c>
      <c r="D4506" s="87" t="s">
        <v>18</v>
      </c>
      <c r="E4506" s="116">
        <v>149</v>
      </c>
      <c r="F4506" s="87" t="s">
        <v>967</v>
      </c>
      <c r="G4506" s="87" t="s">
        <v>272</v>
      </c>
      <c r="H4506" s="87" t="s">
        <v>517</v>
      </c>
      <c r="I4506" s="87">
        <v>40</v>
      </c>
    </row>
    <row r="4507" spans="1:9" x14ac:dyDescent="0.25">
      <c r="A4507" s="87" t="s">
        <v>88</v>
      </c>
      <c r="B4507" s="87" t="s">
        <v>420</v>
      </c>
      <c r="C4507" s="87">
        <v>2016</v>
      </c>
      <c r="D4507" s="87" t="s">
        <v>18</v>
      </c>
      <c r="E4507" s="116">
        <v>62</v>
      </c>
      <c r="F4507" s="87" t="s">
        <v>967</v>
      </c>
      <c r="G4507" s="87" t="s">
        <v>272</v>
      </c>
      <c r="H4507" s="87" t="s">
        <v>967</v>
      </c>
      <c r="I4507" s="87">
        <v>40</v>
      </c>
    </row>
    <row r="4508" spans="1:9" x14ac:dyDescent="0.25">
      <c r="A4508" s="87" t="s">
        <v>88</v>
      </c>
      <c r="B4508" s="87" t="s">
        <v>420</v>
      </c>
      <c r="C4508" s="87">
        <v>2017</v>
      </c>
      <c r="D4508" s="87" t="s">
        <v>18</v>
      </c>
      <c r="E4508" s="116">
        <v>11</v>
      </c>
      <c r="F4508" s="87" t="s">
        <v>967</v>
      </c>
      <c r="G4508" s="87" t="s">
        <v>272</v>
      </c>
      <c r="H4508" s="87" t="s">
        <v>967</v>
      </c>
      <c r="I4508" s="87">
        <v>40</v>
      </c>
    </row>
    <row r="4509" spans="1:9" x14ac:dyDescent="0.25">
      <c r="A4509" s="87" t="s">
        <v>88</v>
      </c>
      <c r="B4509" s="87" t="s">
        <v>420</v>
      </c>
      <c r="C4509" s="87">
        <v>2018</v>
      </c>
      <c r="D4509" s="87" t="s">
        <v>18</v>
      </c>
      <c r="E4509" s="116">
        <v>60</v>
      </c>
      <c r="F4509" s="87" t="s">
        <v>967</v>
      </c>
      <c r="G4509" s="87" t="s">
        <v>272</v>
      </c>
      <c r="H4509" s="87" t="s">
        <v>967</v>
      </c>
      <c r="I4509" s="87">
        <v>40</v>
      </c>
    </row>
    <row r="4510" spans="1:9" x14ac:dyDescent="0.25">
      <c r="A4510" s="87" t="s">
        <v>88</v>
      </c>
      <c r="B4510" s="87" t="s">
        <v>420</v>
      </c>
      <c r="C4510" s="87">
        <v>2019</v>
      </c>
      <c r="D4510" s="87" t="s">
        <v>18</v>
      </c>
      <c r="E4510" s="116">
        <v>89</v>
      </c>
      <c r="F4510" s="87" t="s">
        <v>967</v>
      </c>
      <c r="G4510" s="87" t="s">
        <v>272</v>
      </c>
      <c r="H4510" s="87" t="s">
        <v>1005</v>
      </c>
      <c r="I4510" s="87">
        <v>40</v>
      </c>
    </row>
    <row r="4511" spans="1:9" x14ac:dyDescent="0.25">
      <c r="A4511" s="87" t="s">
        <v>88</v>
      </c>
      <c r="B4511" s="87" t="s">
        <v>420</v>
      </c>
      <c r="C4511" s="87">
        <v>2020</v>
      </c>
      <c r="D4511" s="87" t="s">
        <v>18</v>
      </c>
      <c r="E4511" s="116">
        <v>329</v>
      </c>
      <c r="F4511" s="87" t="s">
        <v>967</v>
      </c>
      <c r="G4511" s="87" t="s">
        <v>272</v>
      </c>
      <c r="H4511" s="87" t="s">
        <v>967</v>
      </c>
      <c r="I4511" s="87">
        <v>40</v>
      </c>
    </row>
    <row r="4512" spans="1:9" x14ac:dyDescent="0.25">
      <c r="A4512" s="87" t="s">
        <v>88</v>
      </c>
      <c r="B4512" s="87" t="s">
        <v>420</v>
      </c>
      <c r="C4512" s="87">
        <v>2021</v>
      </c>
      <c r="D4512" s="87" t="s">
        <v>18</v>
      </c>
      <c r="E4512" s="116">
        <v>29</v>
      </c>
      <c r="F4512" s="87" t="s">
        <v>967</v>
      </c>
      <c r="G4512" s="87" t="s">
        <v>272</v>
      </c>
      <c r="H4512" s="87" t="s">
        <v>967</v>
      </c>
      <c r="I4512" s="87">
        <v>40</v>
      </c>
    </row>
    <row r="4513" spans="1:9" x14ac:dyDescent="0.25">
      <c r="A4513" s="87" t="s">
        <v>88</v>
      </c>
      <c r="B4513" s="87" t="s">
        <v>420</v>
      </c>
      <c r="C4513" s="87">
        <v>2022</v>
      </c>
      <c r="D4513" s="87" t="s">
        <v>18</v>
      </c>
      <c r="E4513" s="116">
        <v>309</v>
      </c>
      <c r="F4513" s="87" t="s">
        <v>967</v>
      </c>
      <c r="G4513" s="87" t="s">
        <v>272</v>
      </c>
      <c r="H4513" s="87" t="s">
        <v>967</v>
      </c>
      <c r="I4513" s="87">
        <v>40</v>
      </c>
    </row>
    <row r="4514" spans="1:9" x14ac:dyDescent="0.25">
      <c r="A4514" s="87" t="s">
        <v>88</v>
      </c>
      <c r="B4514" s="87" t="s">
        <v>421</v>
      </c>
      <c r="C4514" s="87">
        <v>1975</v>
      </c>
      <c r="D4514" s="87" t="s">
        <v>18</v>
      </c>
      <c r="E4514" s="116">
        <v>1200</v>
      </c>
      <c r="F4514" s="87" t="s">
        <v>586</v>
      </c>
      <c r="G4514" s="87" t="s">
        <v>967</v>
      </c>
      <c r="H4514" s="87" t="s">
        <v>586</v>
      </c>
      <c r="I4514" s="87">
        <v>37</v>
      </c>
    </row>
    <row r="4515" spans="1:9" x14ac:dyDescent="0.25">
      <c r="A4515" s="87" t="s">
        <v>88</v>
      </c>
      <c r="B4515" s="87" t="s">
        <v>421</v>
      </c>
      <c r="C4515" s="87">
        <v>1976</v>
      </c>
      <c r="D4515" s="87" t="s">
        <v>18</v>
      </c>
      <c r="E4515" s="116">
        <v>1550</v>
      </c>
      <c r="F4515" s="87" t="s">
        <v>586</v>
      </c>
      <c r="G4515" s="87" t="s">
        <v>967</v>
      </c>
      <c r="H4515" s="87" t="s">
        <v>586</v>
      </c>
      <c r="I4515" s="87">
        <v>37</v>
      </c>
    </row>
    <row r="4516" spans="1:9" x14ac:dyDescent="0.25">
      <c r="A4516" s="87" t="s">
        <v>88</v>
      </c>
      <c r="B4516" s="87" t="s">
        <v>421</v>
      </c>
      <c r="C4516" s="87">
        <v>1977</v>
      </c>
      <c r="D4516" s="87" t="s">
        <v>18</v>
      </c>
      <c r="E4516" s="116">
        <v>2750</v>
      </c>
      <c r="F4516" s="87" t="s">
        <v>586</v>
      </c>
      <c r="G4516" s="87" t="s">
        <v>967</v>
      </c>
      <c r="H4516" s="87" t="s">
        <v>586</v>
      </c>
      <c r="I4516" s="87">
        <v>37</v>
      </c>
    </row>
    <row r="4517" spans="1:9" x14ac:dyDescent="0.25">
      <c r="A4517" s="87" t="s">
        <v>88</v>
      </c>
      <c r="B4517" s="87" t="s">
        <v>421</v>
      </c>
      <c r="C4517" s="87">
        <v>1978</v>
      </c>
      <c r="D4517" s="87" t="s">
        <v>18</v>
      </c>
      <c r="E4517" s="116">
        <v>3000</v>
      </c>
      <c r="F4517" s="87" t="s">
        <v>586</v>
      </c>
      <c r="G4517" s="87" t="s">
        <v>967</v>
      </c>
      <c r="H4517" s="87" t="s">
        <v>586</v>
      </c>
      <c r="I4517" s="87">
        <v>37</v>
      </c>
    </row>
    <row r="4518" spans="1:9" x14ac:dyDescent="0.25">
      <c r="A4518" s="87" t="s">
        <v>88</v>
      </c>
      <c r="B4518" s="87" t="s">
        <v>421</v>
      </c>
      <c r="C4518" s="87">
        <v>1979</v>
      </c>
      <c r="D4518" s="87" t="s">
        <v>18</v>
      </c>
      <c r="E4518" s="116">
        <v>1500</v>
      </c>
      <c r="F4518" s="87" t="s">
        <v>586</v>
      </c>
      <c r="G4518" s="87" t="s">
        <v>967</v>
      </c>
      <c r="H4518" s="87" t="s">
        <v>586</v>
      </c>
      <c r="I4518" s="87">
        <v>37</v>
      </c>
    </row>
    <row r="4519" spans="1:9" x14ac:dyDescent="0.25">
      <c r="A4519" s="87" t="s">
        <v>88</v>
      </c>
      <c r="B4519" s="87" t="s">
        <v>421</v>
      </c>
      <c r="C4519" s="87">
        <v>1980</v>
      </c>
      <c r="D4519" s="87" t="s">
        <v>18</v>
      </c>
      <c r="E4519" s="116">
        <v>2500</v>
      </c>
      <c r="F4519" s="87" t="s">
        <v>586</v>
      </c>
      <c r="G4519" s="87" t="s">
        <v>967</v>
      </c>
      <c r="H4519" s="87" t="s">
        <v>586</v>
      </c>
      <c r="I4519" s="87">
        <v>37</v>
      </c>
    </row>
    <row r="4520" spans="1:9" x14ac:dyDescent="0.25">
      <c r="A4520" s="87" t="s">
        <v>88</v>
      </c>
      <c r="B4520" s="87" t="s">
        <v>421</v>
      </c>
      <c r="C4520" s="87">
        <v>1981</v>
      </c>
      <c r="D4520" s="87" t="s">
        <v>18</v>
      </c>
      <c r="E4520" s="116">
        <v>3000</v>
      </c>
      <c r="F4520" s="87" t="s">
        <v>586</v>
      </c>
      <c r="G4520" s="87" t="s">
        <v>967</v>
      </c>
      <c r="H4520" s="87" t="s">
        <v>586</v>
      </c>
      <c r="I4520" s="87">
        <v>37</v>
      </c>
    </row>
    <row r="4521" spans="1:9" x14ac:dyDescent="0.25">
      <c r="A4521" s="87" t="s">
        <v>88</v>
      </c>
      <c r="B4521" s="87" t="s">
        <v>421</v>
      </c>
      <c r="C4521" s="87">
        <v>1982</v>
      </c>
      <c r="D4521" s="87" t="s">
        <v>18</v>
      </c>
      <c r="E4521" s="116">
        <v>3000</v>
      </c>
      <c r="F4521" s="87" t="s">
        <v>586</v>
      </c>
      <c r="G4521" s="87" t="s">
        <v>967</v>
      </c>
      <c r="H4521" s="87" t="s">
        <v>586</v>
      </c>
      <c r="I4521" s="87">
        <v>37</v>
      </c>
    </row>
    <row r="4522" spans="1:9" x14ac:dyDescent="0.25">
      <c r="A4522" s="87" t="s">
        <v>88</v>
      </c>
      <c r="B4522" s="87" t="s">
        <v>421</v>
      </c>
      <c r="C4522" s="87">
        <v>1983</v>
      </c>
      <c r="D4522" s="87" t="s">
        <v>18</v>
      </c>
      <c r="E4522" s="116">
        <v>4000</v>
      </c>
      <c r="F4522" s="87" t="s">
        <v>586</v>
      </c>
      <c r="G4522" s="87" t="s">
        <v>967</v>
      </c>
      <c r="H4522" s="87" t="s">
        <v>586</v>
      </c>
      <c r="I4522" s="87">
        <v>37</v>
      </c>
    </row>
    <row r="4523" spans="1:9" x14ac:dyDescent="0.25">
      <c r="A4523" s="87" t="s">
        <v>88</v>
      </c>
      <c r="B4523" s="87" t="s">
        <v>421</v>
      </c>
      <c r="C4523" s="87">
        <v>1984</v>
      </c>
      <c r="D4523" s="87" t="s">
        <v>18</v>
      </c>
      <c r="E4523" s="116">
        <v>2800</v>
      </c>
      <c r="F4523" s="87" t="s">
        <v>586</v>
      </c>
      <c r="G4523" s="87" t="s">
        <v>967</v>
      </c>
      <c r="H4523" s="87" t="s">
        <v>586</v>
      </c>
      <c r="I4523" s="87">
        <v>37</v>
      </c>
    </row>
    <row r="4524" spans="1:9" x14ac:dyDescent="0.25">
      <c r="A4524" s="87" t="s">
        <v>88</v>
      </c>
      <c r="B4524" s="87" t="s">
        <v>421</v>
      </c>
      <c r="C4524" s="87">
        <v>1985</v>
      </c>
      <c r="D4524" s="87" t="s">
        <v>18</v>
      </c>
      <c r="E4524" s="116">
        <v>3800</v>
      </c>
      <c r="F4524" s="87" t="s">
        <v>586</v>
      </c>
      <c r="G4524" s="87" t="s">
        <v>967</v>
      </c>
      <c r="H4524" s="87" t="s">
        <v>586</v>
      </c>
      <c r="I4524" s="87">
        <v>37</v>
      </c>
    </row>
    <row r="4525" spans="1:9" x14ac:dyDescent="0.25">
      <c r="A4525" s="87" t="s">
        <v>88</v>
      </c>
      <c r="B4525" s="87" t="s">
        <v>421</v>
      </c>
      <c r="C4525" s="87">
        <v>1986</v>
      </c>
      <c r="D4525" s="87" t="s">
        <v>18</v>
      </c>
      <c r="E4525" s="116">
        <v>5500</v>
      </c>
      <c r="F4525" s="87" t="s">
        <v>586</v>
      </c>
      <c r="G4525" s="87" t="s">
        <v>967</v>
      </c>
      <c r="H4525" s="87" t="s">
        <v>586</v>
      </c>
      <c r="I4525" s="87">
        <v>37</v>
      </c>
    </row>
    <row r="4526" spans="1:9" x14ac:dyDescent="0.25">
      <c r="A4526" s="87" t="s">
        <v>88</v>
      </c>
      <c r="B4526" s="87" t="s">
        <v>421</v>
      </c>
      <c r="C4526" s="87">
        <v>1987</v>
      </c>
      <c r="D4526" s="87" t="s">
        <v>18</v>
      </c>
      <c r="E4526" s="116">
        <v>3000</v>
      </c>
      <c r="F4526" s="87" t="s">
        <v>586</v>
      </c>
      <c r="G4526" s="87" t="s">
        <v>967</v>
      </c>
      <c r="H4526" s="87" t="s">
        <v>586</v>
      </c>
      <c r="I4526" s="87">
        <v>37</v>
      </c>
    </row>
    <row r="4527" spans="1:9" x14ac:dyDescent="0.25">
      <c r="A4527" s="87" t="s">
        <v>88</v>
      </c>
      <c r="B4527" s="87" t="s">
        <v>421</v>
      </c>
      <c r="C4527" s="87">
        <v>1988</v>
      </c>
      <c r="D4527" s="87" t="s">
        <v>18</v>
      </c>
      <c r="E4527" s="116">
        <v>6300</v>
      </c>
      <c r="F4527" s="87" t="s">
        <v>586</v>
      </c>
      <c r="G4527" s="87" t="s">
        <v>967</v>
      </c>
      <c r="H4527" s="87" t="s">
        <v>586</v>
      </c>
      <c r="I4527" s="87">
        <v>37</v>
      </c>
    </row>
    <row r="4528" spans="1:9" x14ac:dyDescent="0.25">
      <c r="A4528" s="87" t="s">
        <v>88</v>
      </c>
      <c r="B4528" s="87" t="s">
        <v>421</v>
      </c>
      <c r="C4528" s="87">
        <v>1989</v>
      </c>
      <c r="D4528" s="87" t="s">
        <v>18</v>
      </c>
      <c r="E4528" s="116">
        <v>2200</v>
      </c>
      <c r="F4528" s="87" t="s">
        <v>586</v>
      </c>
      <c r="G4528" s="87" t="s">
        <v>967</v>
      </c>
      <c r="H4528" s="87" t="s">
        <v>586</v>
      </c>
      <c r="I4528" s="87">
        <v>37</v>
      </c>
    </row>
    <row r="4529" spans="1:9" x14ac:dyDescent="0.25">
      <c r="A4529" s="87" t="s">
        <v>88</v>
      </c>
      <c r="B4529" s="87" t="s">
        <v>421</v>
      </c>
      <c r="C4529" s="87">
        <v>1990</v>
      </c>
      <c r="D4529" s="87" t="s">
        <v>18</v>
      </c>
      <c r="E4529" s="116">
        <v>7320</v>
      </c>
      <c r="F4529" s="87" t="s">
        <v>586</v>
      </c>
      <c r="G4529" s="87" t="s">
        <v>967</v>
      </c>
      <c r="H4529" s="87" t="s">
        <v>586</v>
      </c>
      <c r="I4529" s="87">
        <v>37</v>
      </c>
    </row>
    <row r="4530" spans="1:9" x14ac:dyDescent="0.25">
      <c r="A4530" s="87" t="s">
        <v>88</v>
      </c>
      <c r="B4530" s="87" t="s">
        <v>421</v>
      </c>
      <c r="C4530" s="87">
        <v>1991</v>
      </c>
      <c r="D4530" s="87" t="s">
        <v>18</v>
      </c>
      <c r="E4530" s="116">
        <v>2219</v>
      </c>
      <c r="F4530" s="87" t="s">
        <v>586</v>
      </c>
      <c r="G4530" s="87" t="s">
        <v>967</v>
      </c>
      <c r="H4530" s="87" t="s">
        <v>586</v>
      </c>
      <c r="I4530" s="87">
        <v>37</v>
      </c>
    </row>
    <row r="4531" spans="1:9" x14ac:dyDescent="0.25">
      <c r="A4531" s="87" t="s">
        <v>88</v>
      </c>
      <c r="B4531" s="87" t="s">
        <v>421</v>
      </c>
      <c r="C4531" s="87">
        <v>1992</v>
      </c>
      <c r="D4531" s="87" t="s">
        <v>18</v>
      </c>
      <c r="E4531" s="116">
        <v>2370</v>
      </c>
      <c r="F4531" s="87" t="s">
        <v>586</v>
      </c>
      <c r="G4531" s="87" t="s">
        <v>967</v>
      </c>
      <c r="H4531" s="87" t="s">
        <v>586</v>
      </c>
      <c r="I4531" s="87">
        <v>37</v>
      </c>
    </row>
    <row r="4532" spans="1:9" x14ac:dyDescent="0.25">
      <c r="A4532" s="87" t="s">
        <v>88</v>
      </c>
      <c r="B4532" s="87" t="s">
        <v>421</v>
      </c>
      <c r="C4532" s="87">
        <v>1993</v>
      </c>
      <c r="D4532" s="87" t="s">
        <v>18</v>
      </c>
      <c r="E4532" s="116">
        <v>2700</v>
      </c>
      <c r="F4532" s="87" t="s">
        <v>586</v>
      </c>
      <c r="G4532" s="87" t="s">
        <v>967</v>
      </c>
      <c r="H4532" s="87" t="s">
        <v>586</v>
      </c>
      <c r="I4532" s="87">
        <v>37</v>
      </c>
    </row>
    <row r="4533" spans="1:9" x14ac:dyDescent="0.25">
      <c r="A4533" s="87" t="s">
        <v>88</v>
      </c>
      <c r="B4533" s="87" t="s">
        <v>421</v>
      </c>
      <c r="C4533" s="87">
        <v>1994</v>
      </c>
      <c r="D4533" s="87" t="s">
        <v>18</v>
      </c>
      <c r="E4533" s="116">
        <v>5450</v>
      </c>
      <c r="F4533" s="87" t="s">
        <v>586</v>
      </c>
      <c r="G4533" s="87" t="s">
        <v>967</v>
      </c>
      <c r="H4533" s="87" t="s">
        <v>586</v>
      </c>
      <c r="I4533" s="87">
        <v>37</v>
      </c>
    </row>
    <row r="4534" spans="1:9" x14ac:dyDescent="0.25">
      <c r="A4534" s="87" t="s">
        <v>88</v>
      </c>
      <c r="B4534" s="87" t="s">
        <v>421</v>
      </c>
      <c r="C4534" s="87">
        <v>1995</v>
      </c>
      <c r="D4534" s="87" t="s">
        <v>18</v>
      </c>
      <c r="E4534" s="116">
        <v>5100</v>
      </c>
      <c r="F4534" s="87" t="s">
        <v>586</v>
      </c>
      <c r="G4534" s="87" t="s">
        <v>332</v>
      </c>
      <c r="H4534" s="87" t="s">
        <v>586</v>
      </c>
      <c r="I4534" s="87">
        <v>37</v>
      </c>
    </row>
    <row r="4535" spans="1:9" x14ac:dyDescent="0.25">
      <c r="A4535" s="87" t="s">
        <v>88</v>
      </c>
      <c r="B4535" s="87" t="s">
        <v>421</v>
      </c>
      <c r="C4535" s="87">
        <v>1996</v>
      </c>
      <c r="D4535" s="87" t="s">
        <v>18</v>
      </c>
      <c r="E4535" s="116">
        <v>7780</v>
      </c>
      <c r="F4535" s="87" t="s">
        <v>967</v>
      </c>
      <c r="G4535" s="87" t="s">
        <v>272</v>
      </c>
      <c r="H4535" s="87" t="s">
        <v>967</v>
      </c>
      <c r="I4535" s="87">
        <v>37</v>
      </c>
    </row>
    <row r="4536" spans="1:9" x14ac:dyDescent="0.25">
      <c r="A4536" s="87" t="s">
        <v>88</v>
      </c>
      <c r="B4536" s="87" t="s">
        <v>421</v>
      </c>
      <c r="C4536" s="87">
        <v>1997</v>
      </c>
      <c r="D4536" s="87" t="s">
        <v>18</v>
      </c>
      <c r="E4536" s="116">
        <v>7830</v>
      </c>
      <c r="F4536" s="87" t="s">
        <v>967</v>
      </c>
      <c r="G4536" s="87" t="s">
        <v>272</v>
      </c>
      <c r="H4536" s="87" t="s">
        <v>967</v>
      </c>
      <c r="I4536" s="87">
        <v>37</v>
      </c>
    </row>
    <row r="4537" spans="1:9" x14ac:dyDescent="0.25">
      <c r="A4537" s="87" t="s">
        <v>88</v>
      </c>
      <c r="B4537" s="87" t="s">
        <v>421</v>
      </c>
      <c r="C4537" s="87">
        <v>1998</v>
      </c>
      <c r="D4537" s="87" t="s">
        <v>18</v>
      </c>
      <c r="E4537" s="116">
        <v>7007</v>
      </c>
      <c r="F4537" s="87" t="s">
        <v>967</v>
      </c>
      <c r="G4537" s="87" t="s">
        <v>272</v>
      </c>
      <c r="H4537" s="87" t="s">
        <v>967</v>
      </c>
      <c r="I4537" s="87">
        <v>37</v>
      </c>
    </row>
    <row r="4538" spans="1:9" x14ac:dyDescent="0.25">
      <c r="A4538" s="87" t="s">
        <v>88</v>
      </c>
      <c r="B4538" s="87" t="s">
        <v>421</v>
      </c>
      <c r="C4538" s="87">
        <v>1999</v>
      </c>
      <c r="D4538" s="87" t="s">
        <v>18</v>
      </c>
      <c r="E4538" s="116">
        <v>3837</v>
      </c>
      <c r="F4538" s="87" t="s">
        <v>967</v>
      </c>
      <c r="G4538" s="87" t="s">
        <v>272</v>
      </c>
      <c r="H4538" s="87" t="s">
        <v>967</v>
      </c>
      <c r="I4538" s="87">
        <v>37</v>
      </c>
    </row>
    <row r="4539" spans="1:9" x14ac:dyDescent="0.25">
      <c r="A4539" s="87" t="s">
        <v>88</v>
      </c>
      <c r="B4539" s="87" t="s">
        <v>421</v>
      </c>
      <c r="C4539" s="87">
        <v>2000</v>
      </c>
      <c r="D4539" s="87" t="s">
        <v>18</v>
      </c>
      <c r="E4539" s="116">
        <v>4563</v>
      </c>
      <c r="F4539" s="87" t="s">
        <v>967</v>
      </c>
      <c r="G4539" s="87" t="s">
        <v>274</v>
      </c>
      <c r="H4539" s="87" t="s">
        <v>967</v>
      </c>
      <c r="I4539" s="87">
        <v>37</v>
      </c>
    </row>
    <row r="4540" spans="1:9" x14ac:dyDescent="0.25">
      <c r="A4540" s="87" t="s">
        <v>88</v>
      </c>
      <c r="B4540" s="87" t="s">
        <v>421</v>
      </c>
      <c r="C4540" s="87">
        <v>2001</v>
      </c>
      <c r="D4540" s="87" t="s">
        <v>18</v>
      </c>
      <c r="E4540" s="116">
        <v>3588</v>
      </c>
      <c r="F4540" s="87" t="s">
        <v>967</v>
      </c>
      <c r="G4540" s="87" t="s">
        <v>272</v>
      </c>
      <c r="H4540" s="87" t="s">
        <v>967</v>
      </c>
      <c r="I4540" s="87">
        <v>37</v>
      </c>
    </row>
    <row r="4541" spans="1:9" x14ac:dyDescent="0.25">
      <c r="A4541" s="87" t="s">
        <v>88</v>
      </c>
      <c r="B4541" s="87" t="s">
        <v>421</v>
      </c>
      <c r="C4541" s="87">
        <v>2002</v>
      </c>
      <c r="D4541" s="87" t="s">
        <v>18</v>
      </c>
      <c r="E4541" s="116">
        <v>5689</v>
      </c>
      <c r="F4541" s="87" t="s">
        <v>967</v>
      </c>
      <c r="G4541" s="87" t="s">
        <v>272</v>
      </c>
      <c r="H4541" s="87" t="s">
        <v>967</v>
      </c>
      <c r="I4541" s="87">
        <v>37</v>
      </c>
    </row>
    <row r="4542" spans="1:9" x14ac:dyDescent="0.25">
      <c r="A4542" s="87" t="s">
        <v>88</v>
      </c>
      <c r="B4542" s="87" t="s">
        <v>421</v>
      </c>
      <c r="C4542" s="87">
        <v>2003</v>
      </c>
      <c r="D4542" s="87" t="s">
        <v>18</v>
      </c>
      <c r="E4542" s="116">
        <v>6234</v>
      </c>
      <c r="F4542" s="87" t="s">
        <v>967</v>
      </c>
      <c r="G4542" s="87" t="s">
        <v>272</v>
      </c>
      <c r="H4542" s="87" t="s">
        <v>967</v>
      </c>
      <c r="I4542" s="87">
        <v>37</v>
      </c>
    </row>
    <row r="4543" spans="1:9" x14ac:dyDescent="0.25">
      <c r="A4543" s="87" t="s">
        <v>88</v>
      </c>
      <c r="B4543" s="87" t="s">
        <v>421</v>
      </c>
      <c r="C4543" s="87">
        <v>2004</v>
      </c>
      <c r="D4543" s="87" t="s">
        <v>18</v>
      </c>
      <c r="E4543" s="116">
        <v>4622</v>
      </c>
      <c r="F4543" s="87" t="s">
        <v>967</v>
      </c>
      <c r="G4543" s="87" t="s">
        <v>272</v>
      </c>
      <c r="H4543" s="87" t="s">
        <v>967</v>
      </c>
      <c r="I4543" s="87">
        <v>37</v>
      </c>
    </row>
    <row r="4544" spans="1:9" x14ac:dyDescent="0.25">
      <c r="A4544" s="87" t="s">
        <v>88</v>
      </c>
      <c r="B4544" s="87" t="s">
        <v>421</v>
      </c>
      <c r="C4544" s="87">
        <v>2005</v>
      </c>
      <c r="D4544" s="87" t="s">
        <v>18</v>
      </c>
      <c r="E4544" s="116">
        <v>3519</v>
      </c>
      <c r="F4544" s="87" t="s">
        <v>967</v>
      </c>
      <c r="G4544" s="87" t="s">
        <v>272</v>
      </c>
      <c r="H4544" s="87" t="s">
        <v>967</v>
      </c>
      <c r="I4544" s="87">
        <v>37</v>
      </c>
    </row>
    <row r="4545" spans="1:9" x14ac:dyDescent="0.25">
      <c r="A4545" s="87" t="s">
        <v>88</v>
      </c>
      <c r="B4545" s="87" t="s">
        <v>421</v>
      </c>
      <c r="C4545" s="87">
        <v>2006</v>
      </c>
      <c r="D4545" s="87" t="s">
        <v>18</v>
      </c>
      <c r="E4545" s="116">
        <v>3768</v>
      </c>
      <c r="F4545" s="87" t="s">
        <v>967</v>
      </c>
      <c r="G4545" s="87" t="s">
        <v>272</v>
      </c>
      <c r="H4545" s="87" t="s">
        <v>587</v>
      </c>
      <c r="I4545" s="87">
        <v>37</v>
      </c>
    </row>
    <row r="4546" spans="1:9" x14ac:dyDescent="0.25">
      <c r="A4546" s="87" t="s">
        <v>88</v>
      </c>
      <c r="B4546" s="87" t="s">
        <v>421</v>
      </c>
      <c r="C4546" s="87">
        <v>2007</v>
      </c>
      <c r="D4546" s="87" t="s">
        <v>18</v>
      </c>
      <c r="E4546" s="116">
        <v>1895</v>
      </c>
      <c r="F4546" s="87" t="s">
        <v>967</v>
      </c>
      <c r="G4546" s="87" t="s">
        <v>272</v>
      </c>
      <c r="H4546" s="87" t="s">
        <v>967</v>
      </c>
      <c r="I4546" s="87">
        <v>37</v>
      </c>
    </row>
    <row r="4547" spans="1:9" x14ac:dyDescent="0.25">
      <c r="A4547" s="87" t="s">
        <v>88</v>
      </c>
      <c r="B4547" s="87" t="s">
        <v>421</v>
      </c>
      <c r="C4547" s="87">
        <v>2008</v>
      </c>
      <c r="D4547" s="87" t="s">
        <v>18</v>
      </c>
      <c r="E4547" s="116">
        <v>3307</v>
      </c>
      <c r="F4547" s="87" t="s">
        <v>967</v>
      </c>
      <c r="G4547" s="87" t="s">
        <v>272</v>
      </c>
      <c r="H4547" s="87" t="s">
        <v>967</v>
      </c>
      <c r="I4547" s="87">
        <v>37</v>
      </c>
    </row>
    <row r="4548" spans="1:9" x14ac:dyDescent="0.25">
      <c r="A4548" s="87" t="s">
        <v>88</v>
      </c>
      <c r="B4548" s="87" t="s">
        <v>421</v>
      </c>
      <c r="C4548" s="87">
        <v>2009</v>
      </c>
      <c r="D4548" s="87" t="s">
        <v>18</v>
      </c>
      <c r="E4548" s="116">
        <v>5980</v>
      </c>
      <c r="F4548" s="87" t="s">
        <v>967</v>
      </c>
      <c r="G4548" s="87" t="s">
        <v>272</v>
      </c>
      <c r="H4548" s="87" t="s">
        <v>967</v>
      </c>
      <c r="I4548" s="87">
        <v>37</v>
      </c>
    </row>
    <row r="4549" spans="1:9" x14ac:dyDescent="0.25">
      <c r="A4549" s="87" t="s">
        <v>88</v>
      </c>
      <c r="B4549" s="87" t="s">
        <v>421</v>
      </c>
      <c r="C4549" s="87">
        <v>2010</v>
      </c>
      <c r="D4549" s="87" t="s">
        <v>18</v>
      </c>
      <c r="E4549" s="116">
        <v>1102</v>
      </c>
      <c r="F4549" s="87" t="s">
        <v>967</v>
      </c>
      <c r="G4549" s="87" t="s">
        <v>272</v>
      </c>
      <c r="H4549" s="87" t="s">
        <v>588</v>
      </c>
      <c r="I4549" s="87">
        <v>37</v>
      </c>
    </row>
    <row r="4550" spans="1:9" x14ac:dyDescent="0.25">
      <c r="A4550" s="87" t="s">
        <v>88</v>
      </c>
      <c r="B4550" s="87" t="s">
        <v>421</v>
      </c>
      <c r="C4550" s="87">
        <v>2011</v>
      </c>
      <c r="D4550" s="87" t="s">
        <v>18</v>
      </c>
      <c r="E4550" s="116">
        <v>1198</v>
      </c>
      <c r="F4550" s="87" t="s">
        <v>967</v>
      </c>
      <c r="G4550" s="87" t="s">
        <v>272</v>
      </c>
      <c r="H4550" s="87" t="s">
        <v>967</v>
      </c>
      <c r="I4550" s="87">
        <v>37</v>
      </c>
    </row>
    <row r="4551" spans="1:9" x14ac:dyDescent="0.25">
      <c r="A4551" s="87" t="s">
        <v>88</v>
      </c>
      <c r="B4551" s="87" t="s">
        <v>421</v>
      </c>
      <c r="C4551" s="87">
        <v>2012</v>
      </c>
      <c r="D4551" s="87" t="s">
        <v>18</v>
      </c>
      <c r="E4551" s="116">
        <v>1988</v>
      </c>
      <c r="F4551" s="87" t="s">
        <v>967</v>
      </c>
      <c r="G4551" s="87" t="s">
        <v>272</v>
      </c>
      <c r="H4551" s="87" t="s">
        <v>967</v>
      </c>
      <c r="I4551" s="87">
        <v>37</v>
      </c>
    </row>
    <row r="4552" spans="1:9" x14ac:dyDescent="0.25">
      <c r="A4552" s="87" t="s">
        <v>88</v>
      </c>
      <c r="B4552" s="87" t="s">
        <v>421</v>
      </c>
      <c r="C4552" s="87">
        <v>2013</v>
      </c>
      <c r="D4552" s="87" t="s">
        <v>18</v>
      </c>
      <c r="E4552" s="116">
        <v>2163</v>
      </c>
      <c r="F4552" s="87" t="s">
        <v>967</v>
      </c>
      <c r="G4552" s="87" t="s">
        <v>272</v>
      </c>
      <c r="H4552" s="87" t="s">
        <v>967</v>
      </c>
      <c r="I4552" s="87">
        <v>37</v>
      </c>
    </row>
    <row r="4553" spans="1:9" x14ac:dyDescent="0.25">
      <c r="A4553" s="87" t="s">
        <v>88</v>
      </c>
      <c r="B4553" s="87" t="s">
        <v>421</v>
      </c>
      <c r="C4553" s="87">
        <v>2014</v>
      </c>
      <c r="D4553" s="87" t="s">
        <v>18</v>
      </c>
      <c r="E4553" s="116">
        <v>2769</v>
      </c>
      <c r="F4553" s="87" t="s">
        <v>967</v>
      </c>
      <c r="G4553" s="87" t="s">
        <v>272</v>
      </c>
      <c r="H4553" s="87" t="s">
        <v>589</v>
      </c>
      <c r="I4553" s="87">
        <v>37</v>
      </c>
    </row>
    <row r="4554" spans="1:9" x14ac:dyDescent="0.25">
      <c r="A4554" s="87" t="s">
        <v>88</v>
      </c>
      <c r="B4554" s="87" t="s">
        <v>421</v>
      </c>
      <c r="C4554" s="87">
        <v>2015</v>
      </c>
      <c r="D4554" s="87" t="s">
        <v>18</v>
      </c>
      <c r="E4554" s="116">
        <v>5194</v>
      </c>
      <c r="F4554" s="87" t="s">
        <v>967</v>
      </c>
      <c r="G4554" s="87" t="s">
        <v>272</v>
      </c>
      <c r="H4554" s="87" t="s">
        <v>590</v>
      </c>
      <c r="I4554" s="87">
        <v>37</v>
      </c>
    </row>
    <row r="4555" spans="1:9" x14ac:dyDescent="0.25">
      <c r="A4555" s="87" t="s">
        <v>88</v>
      </c>
      <c r="B4555" s="87" t="s">
        <v>421</v>
      </c>
      <c r="C4555" s="87">
        <v>2016</v>
      </c>
      <c r="D4555" s="87" t="s">
        <v>18</v>
      </c>
      <c r="E4555" s="116">
        <v>697</v>
      </c>
      <c r="F4555" s="87" t="s">
        <v>967</v>
      </c>
      <c r="G4555" s="87" t="s">
        <v>272</v>
      </c>
      <c r="H4555" s="87" t="s">
        <v>591</v>
      </c>
      <c r="I4555" s="87">
        <v>37</v>
      </c>
    </row>
    <row r="4556" spans="1:9" x14ac:dyDescent="0.25">
      <c r="A4556" s="87" t="s">
        <v>88</v>
      </c>
      <c r="B4556" s="87" t="s">
        <v>421</v>
      </c>
      <c r="C4556" s="87">
        <v>2017</v>
      </c>
      <c r="D4556" s="87" t="s">
        <v>18</v>
      </c>
      <c r="E4556" s="116">
        <v>1406</v>
      </c>
      <c r="F4556" s="87" t="s">
        <v>967</v>
      </c>
      <c r="G4556" s="87" t="s">
        <v>272</v>
      </c>
      <c r="H4556" s="87" t="s">
        <v>967</v>
      </c>
      <c r="I4556" s="87">
        <v>37</v>
      </c>
    </row>
    <row r="4557" spans="1:9" x14ac:dyDescent="0.25">
      <c r="A4557" s="87" t="s">
        <v>88</v>
      </c>
      <c r="B4557" s="87" t="s">
        <v>421</v>
      </c>
      <c r="C4557" s="87">
        <v>2018</v>
      </c>
      <c r="D4557" s="87" t="s">
        <v>18</v>
      </c>
      <c r="E4557" s="116">
        <v>514</v>
      </c>
      <c r="F4557" s="87" t="s">
        <v>967</v>
      </c>
      <c r="G4557" s="87" t="s">
        <v>272</v>
      </c>
      <c r="H4557" s="87" t="s">
        <v>967</v>
      </c>
      <c r="I4557" s="87">
        <v>37</v>
      </c>
    </row>
    <row r="4558" spans="1:9" x14ac:dyDescent="0.25">
      <c r="A4558" s="87" t="s">
        <v>88</v>
      </c>
      <c r="B4558" s="87" t="s">
        <v>421</v>
      </c>
      <c r="C4558" s="87">
        <v>2019</v>
      </c>
      <c r="D4558" s="87" t="s">
        <v>18</v>
      </c>
      <c r="E4558" s="116">
        <v>783</v>
      </c>
      <c r="F4558" s="87" t="s">
        <v>967</v>
      </c>
      <c r="G4558" s="87" t="s">
        <v>272</v>
      </c>
      <c r="H4558" s="87" t="s">
        <v>1006</v>
      </c>
      <c r="I4558" s="87">
        <v>37</v>
      </c>
    </row>
    <row r="4559" spans="1:9" x14ac:dyDescent="0.25">
      <c r="A4559" s="87" t="s">
        <v>88</v>
      </c>
      <c r="B4559" s="87" t="s">
        <v>421</v>
      </c>
      <c r="C4559" s="87">
        <v>2020</v>
      </c>
      <c r="D4559" s="87" t="s">
        <v>18</v>
      </c>
      <c r="E4559" s="116">
        <v>3532</v>
      </c>
      <c r="F4559" s="87" t="s">
        <v>967</v>
      </c>
      <c r="G4559" s="87" t="s">
        <v>272</v>
      </c>
      <c r="H4559" s="87" t="s">
        <v>967</v>
      </c>
      <c r="I4559" s="87">
        <v>37</v>
      </c>
    </row>
    <row r="4560" spans="1:9" x14ac:dyDescent="0.25">
      <c r="A4560" s="87" t="s">
        <v>88</v>
      </c>
      <c r="B4560" s="87" t="s">
        <v>421</v>
      </c>
      <c r="C4560" s="87">
        <v>2021</v>
      </c>
      <c r="D4560" s="87" t="s">
        <v>18</v>
      </c>
      <c r="E4560" s="116">
        <v>3780</v>
      </c>
      <c r="F4560" s="87" t="s">
        <v>967</v>
      </c>
      <c r="G4560" s="87" t="s">
        <v>272</v>
      </c>
      <c r="H4560" s="87" t="s">
        <v>967</v>
      </c>
      <c r="I4560" s="87">
        <v>37</v>
      </c>
    </row>
    <row r="4561" spans="1:9" x14ac:dyDescent="0.25">
      <c r="A4561" s="87" t="s">
        <v>88</v>
      </c>
      <c r="B4561" s="87" t="s">
        <v>421</v>
      </c>
      <c r="C4561" s="87">
        <v>2022</v>
      </c>
      <c r="D4561" s="87" t="s">
        <v>18</v>
      </c>
      <c r="E4561" s="116">
        <v>5580</v>
      </c>
      <c r="F4561" s="87" t="s">
        <v>967</v>
      </c>
      <c r="G4561" s="87" t="s">
        <v>272</v>
      </c>
      <c r="H4561" s="87" t="s">
        <v>967</v>
      </c>
      <c r="I4561" s="87">
        <v>37</v>
      </c>
    </row>
    <row r="4562" spans="1:9" x14ac:dyDescent="0.25">
      <c r="A4562" s="87" t="s">
        <v>88</v>
      </c>
      <c r="B4562" s="87" t="s">
        <v>422</v>
      </c>
      <c r="C4562" s="87">
        <v>1975</v>
      </c>
      <c r="D4562" s="87" t="s">
        <v>18</v>
      </c>
      <c r="E4562" s="116">
        <v>0</v>
      </c>
      <c r="F4562" s="87" t="s">
        <v>508</v>
      </c>
      <c r="G4562" s="87" t="s">
        <v>967</v>
      </c>
      <c r="H4562" s="87" t="s">
        <v>508</v>
      </c>
      <c r="I4562" s="87">
        <v>64</v>
      </c>
    </row>
    <row r="4563" spans="1:9" x14ac:dyDescent="0.25">
      <c r="A4563" s="87" t="s">
        <v>88</v>
      </c>
      <c r="B4563" s="87" t="s">
        <v>422</v>
      </c>
      <c r="C4563" s="87">
        <v>1976</v>
      </c>
      <c r="D4563" s="87" t="s">
        <v>18</v>
      </c>
      <c r="E4563" s="116">
        <v>25</v>
      </c>
      <c r="F4563" s="87" t="s">
        <v>508</v>
      </c>
      <c r="G4563" s="87" t="s">
        <v>967</v>
      </c>
      <c r="H4563" s="87" t="s">
        <v>508</v>
      </c>
      <c r="I4563" s="87">
        <v>64</v>
      </c>
    </row>
    <row r="4564" spans="1:9" x14ac:dyDescent="0.25">
      <c r="A4564" s="87" t="s">
        <v>88</v>
      </c>
      <c r="B4564" s="87" t="s">
        <v>422</v>
      </c>
      <c r="C4564" s="87">
        <v>1977</v>
      </c>
      <c r="D4564" s="87" t="s">
        <v>18</v>
      </c>
      <c r="E4564" s="116">
        <v>0</v>
      </c>
      <c r="F4564" s="87" t="s">
        <v>508</v>
      </c>
      <c r="G4564" s="87" t="s">
        <v>967</v>
      </c>
      <c r="H4564" s="87" t="s">
        <v>508</v>
      </c>
      <c r="I4564" s="87">
        <v>64</v>
      </c>
    </row>
    <row r="4565" spans="1:9" x14ac:dyDescent="0.25">
      <c r="A4565" s="87" t="s">
        <v>88</v>
      </c>
      <c r="B4565" s="87" t="s">
        <v>422</v>
      </c>
      <c r="C4565" s="87">
        <v>1978</v>
      </c>
      <c r="D4565" s="87" t="s">
        <v>18</v>
      </c>
      <c r="E4565" s="116">
        <v>0</v>
      </c>
      <c r="F4565" s="87" t="s">
        <v>508</v>
      </c>
      <c r="G4565" s="87" t="s">
        <v>967</v>
      </c>
      <c r="H4565" s="87" t="s">
        <v>508</v>
      </c>
      <c r="I4565" s="87">
        <v>64</v>
      </c>
    </row>
    <row r="4566" spans="1:9" x14ac:dyDescent="0.25">
      <c r="A4566" s="87" t="s">
        <v>88</v>
      </c>
      <c r="B4566" s="87" t="s">
        <v>422</v>
      </c>
      <c r="C4566" s="87">
        <v>1979</v>
      </c>
      <c r="D4566" s="87" t="s">
        <v>18</v>
      </c>
      <c r="E4566" s="116">
        <v>0</v>
      </c>
      <c r="F4566" s="87" t="s">
        <v>508</v>
      </c>
      <c r="G4566" s="87" t="s">
        <v>967</v>
      </c>
      <c r="H4566" s="87" t="s">
        <v>508</v>
      </c>
      <c r="I4566" s="87">
        <v>64</v>
      </c>
    </row>
    <row r="4567" spans="1:9" x14ac:dyDescent="0.25">
      <c r="A4567" s="87" t="s">
        <v>88</v>
      </c>
      <c r="B4567" s="87" t="s">
        <v>422</v>
      </c>
      <c r="C4567" s="87">
        <v>1980</v>
      </c>
      <c r="D4567" s="87" t="s">
        <v>18</v>
      </c>
      <c r="E4567" s="116">
        <v>10</v>
      </c>
      <c r="F4567" s="87" t="s">
        <v>508</v>
      </c>
      <c r="G4567" s="87" t="s">
        <v>967</v>
      </c>
      <c r="H4567" s="87" t="s">
        <v>508</v>
      </c>
      <c r="I4567" s="87">
        <v>64</v>
      </c>
    </row>
    <row r="4568" spans="1:9" x14ac:dyDescent="0.25">
      <c r="A4568" s="87" t="s">
        <v>88</v>
      </c>
      <c r="B4568" s="87" t="s">
        <v>422</v>
      </c>
      <c r="C4568" s="87">
        <v>1981</v>
      </c>
      <c r="D4568" s="87" t="s">
        <v>18</v>
      </c>
      <c r="E4568" s="116">
        <v>15</v>
      </c>
      <c r="F4568" s="87" t="s">
        <v>508</v>
      </c>
      <c r="G4568" s="87" t="s">
        <v>967</v>
      </c>
      <c r="H4568" s="87" t="s">
        <v>508</v>
      </c>
      <c r="I4568" s="87">
        <v>64</v>
      </c>
    </row>
    <row r="4569" spans="1:9" x14ac:dyDescent="0.25">
      <c r="A4569" s="87" t="s">
        <v>88</v>
      </c>
      <c r="B4569" s="87" t="s">
        <v>422</v>
      </c>
      <c r="C4569" s="87">
        <v>1982</v>
      </c>
      <c r="D4569" s="87" t="s">
        <v>18</v>
      </c>
      <c r="E4569" s="116">
        <v>5</v>
      </c>
      <c r="F4569" s="87" t="s">
        <v>508</v>
      </c>
      <c r="G4569" s="87" t="s">
        <v>967</v>
      </c>
      <c r="H4569" s="87" t="s">
        <v>508</v>
      </c>
      <c r="I4569" s="87">
        <v>64</v>
      </c>
    </row>
    <row r="4570" spans="1:9" x14ac:dyDescent="0.25">
      <c r="A4570" s="87" t="s">
        <v>88</v>
      </c>
      <c r="B4570" s="87" t="s">
        <v>422</v>
      </c>
      <c r="C4570" s="87">
        <v>1983</v>
      </c>
      <c r="D4570" s="87" t="s">
        <v>18</v>
      </c>
      <c r="E4570" s="116">
        <v>10</v>
      </c>
      <c r="F4570" s="87" t="s">
        <v>508</v>
      </c>
      <c r="G4570" s="87" t="s">
        <v>967</v>
      </c>
      <c r="H4570" s="87" t="s">
        <v>508</v>
      </c>
      <c r="I4570" s="87">
        <v>64</v>
      </c>
    </row>
    <row r="4571" spans="1:9" x14ac:dyDescent="0.25">
      <c r="A4571" s="87" t="s">
        <v>88</v>
      </c>
      <c r="B4571" s="87" t="s">
        <v>422</v>
      </c>
      <c r="C4571" s="87">
        <v>1984</v>
      </c>
      <c r="D4571" s="87" t="s">
        <v>18</v>
      </c>
      <c r="E4571" s="116">
        <v>11</v>
      </c>
      <c r="F4571" s="87" t="s">
        <v>508</v>
      </c>
      <c r="G4571" s="87" t="s">
        <v>967</v>
      </c>
      <c r="H4571" s="87" t="s">
        <v>508</v>
      </c>
      <c r="I4571" s="87">
        <v>64</v>
      </c>
    </row>
    <row r="4572" spans="1:9" x14ac:dyDescent="0.25">
      <c r="A4572" s="87" t="s">
        <v>88</v>
      </c>
      <c r="B4572" s="87" t="s">
        <v>422</v>
      </c>
      <c r="C4572" s="87">
        <v>1985</v>
      </c>
      <c r="D4572" s="87" t="s">
        <v>18</v>
      </c>
      <c r="E4572" s="116">
        <v>25</v>
      </c>
      <c r="F4572" s="87" t="s">
        <v>508</v>
      </c>
      <c r="G4572" s="87" t="s">
        <v>967</v>
      </c>
      <c r="H4572" s="87" t="s">
        <v>508</v>
      </c>
      <c r="I4572" s="87">
        <v>64</v>
      </c>
    </row>
    <row r="4573" spans="1:9" x14ac:dyDescent="0.25">
      <c r="A4573" s="87" t="s">
        <v>88</v>
      </c>
      <c r="B4573" s="87" t="s">
        <v>422</v>
      </c>
      <c r="C4573" s="87">
        <v>1986</v>
      </c>
      <c r="D4573" s="87" t="s">
        <v>18</v>
      </c>
      <c r="E4573" s="116">
        <v>25</v>
      </c>
      <c r="F4573" s="87" t="s">
        <v>508</v>
      </c>
      <c r="G4573" s="87" t="s">
        <v>967</v>
      </c>
      <c r="H4573" s="87" t="s">
        <v>508</v>
      </c>
      <c r="I4573" s="87">
        <v>64</v>
      </c>
    </row>
    <row r="4574" spans="1:9" x14ac:dyDescent="0.25">
      <c r="A4574" s="87" t="s">
        <v>88</v>
      </c>
      <c r="B4574" s="87" t="s">
        <v>422</v>
      </c>
      <c r="C4574" s="87">
        <v>1987</v>
      </c>
      <c r="D4574" s="87" t="s">
        <v>18</v>
      </c>
      <c r="E4574" s="116">
        <v>0</v>
      </c>
      <c r="F4574" s="87" t="s">
        <v>508</v>
      </c>
      <c r="G4574" s="87" t="s">
        <v>967</v>
      </c>
      <c r="H4574" s="87" t="s">
        <v>508</v>
      </c>
      <c r="I4574" s="87">
        <v>64</v>
      </c>
    </row>
    <row r="4575" spans="1:9" x14ac:dyDescent="0.25">
      <c r="A4575" s="87" t="s">
        <v>88</v>
      </c>
      <c r="B4575" s="87" t="s">
        <v>422</v>
      </c>
      <c r="C4575" s="87">
        <v>1988</v>
      </c>
      <c r="D4575" s="87" t="s">
        <v>18</v>
      </c>
      <c r="E4575" s="116">
        <v>10</v>
      </c>
      <c r="F4575" s="87" t="s">
        <v>508</v>
      </c>
      <c r="G4575" s="87" t="s">
        <v>967</v>
      </c>
      <c r="H4575" s="87" t="s">
        <v>508</v>
      </c>
      <c r="I4575" s="87">
        <v>64</v>
      </c>
    </row>
    <row r="4576" spans="1:9" x14ac:dyDescent="0.25">
      <c r="A4576" s="87" t="s">
        <v>88</v>
      </c>
      <c r="B4576" s="87" t="s">
        <v>422</v>
      </c>
      <c r="C4576" s="87">
        <v>1989</v>
      </c>
      <c r="D4576" s="87" t="s">
        <v>18</v>
      </c>
      <c r="E4576" s="116">
        <v>10</v>
      </c>
      <c r="F4576" s="87" t="s">
        <v>508</v>
      </c>
      <c r="G4576" s="87" t="s">
        <v>967</v>
      </c>
      <c r="H4576" s="87" t="s">
        <v>508</v>
      </c>
      <c r="I4576" s="87">
        <v>64</v>
      </c>
    </row>
    <row r="4577" spans="1:9" x14ac:dyDescent="0.25">
      <c r="A4577" s="87" t="s">
        <v>88</v>
      </c>
      <c r="B4577" s="87" t="s">
        <v>422</v>
      </c>
      <c r="C4577" s="87">
        <v>1990</v>
      </c>
      <c r="D4577" s="87" t="s">
        <v>18</v>
      </c>
      <c r="E4577" s="116">
        <v>0</v>
      </c>
      <c r="F4577" s="87" t="s">
        <v>508</v>
      </c>
      <c r="G4577" s="87" t="s">
        <v>967</v>
      </c>
      <c r="H4577" s="87" t="s">
        <v>508</v>
      </c>
      <c r="I4577" s="87">
        <v>64</v>
      </c>
    </row>
    <row r="4578" spans="1:9" x14ac:dyDescent="0.25">
      <c r="A4578" s="87" t="s">
        <v>88</v>
      </c>
      <c r="B4578" s="87" t="s">
        <v>422</v>
      </c>
      <c r="C4578" s="87">
        <v>1991</v>
      </c>
      <c r="D4578" s="87" t="s">
        <v>18</v>
      </c>
      <c r="E4578" s="116">
        <v>0</v>
      </c>
      <c r="F4578" s="87" t="s">
        <v>508</v>
      </c>
      <c r="G4578" s="87" t="s">
        <v>967</v>
      </c>
      <c r="H4578" s="87" t="s">
        <v>508</v>
      </c>
      <c r="I4578" s="87">
        <v>64</v>
      </c>
    </row>
    <row r="4579" spans="1:9" x14ac:dyDescent="0.25">
      <c r="A4579" s="87" t="s">
        <v>88</v>
      </c>
      <c r="B4579" s="87" t="s">
        <v>422</v>
      </c>
      <c r="C4579" s="87">
        <v>1992</v>
      </c>
      <c r="D4579" s="87" t="s">
        <v>18</v>
      </c>
      <c r="E4579" s="116">
        <v>-1</v>
      </c>
      <c r="F4579" s="87" t="s">
        <v>508</v>
      </c>
      <c r="G4579" s="87" t="s">
        <v>967</v>
      </c>
      <c r="H4579" s="87" t="s">
        <v>508</v>
      </c>
      <c r="I4579" s="87">
        <v>64</v>
      </c>
    </row>
    <row r="4580" spans="1:9" x14ac:dyDescent="0.25">
      <c r="A4580" s="87" t="s">
        <v>88</v>
      </c>
      <c r="B4580" s="87" t="s">
        <v>422</v>
      </c>
      <c r="C4580" s="87">
        <v>1993</v>
      </c>
      <c r="D4580" s="87" t="s">
        <v>18</v>
      </c>
      <c r="E4580" s="116">
        <v>4</v>
      </c>
      <c r="F4580" s="87" t="s">
        <v>508</v>
      </c>
      <c r="G4580" s="87" t="s">
        <v>967</v>
      </c>
      <c r="H4580" s="87" t="s">
        <v>508</v>
      </c>
      <c r="I4580" s="87">
        <v>64</v>
      </c>
    </row>
    <row r="4581" spans="1:9" x14ac:dyDescent="0.25">
      <c r="A4581" s="87" t="s">
        <v>88</v>
      </c>
      <c r="B4581" s="87" t="s">
        <v>422</v>
      </c>
      <c r="C4581" s="87">
        <v>1994</v>
      </c>
      <c r="D4581" s="87" t="s">
        <v>18</v>
      </c>
      <c r="E4581" s="116">
        <v>4</v>
      </c>
      <c r="F4581" s="87" t="s">
        <v>508</v>
      </c>
      <c r="G4581" s="87" t="s">
        <v>967</v>
      </c>
      <c r="H4581" s="87" t="s">
        <v>508</v>
      </c>
      <c r="I4581" s="87">
        <v>64</v>
      </c>
    </row>
    <row r="4582" spans="1:9" x14ac:dyDescent="0.25">
      <c r="A4582" s="87" t="s">
        <v>88</v>
      </c>
      <c r="B4582" s="87" t="s">
        <v>422</v>
      </c>
      <c r="C4582" s="87">
        <v>1995</v>
      </c>
      <c r="D4582" s="87" t="s">
        <v>18</v>
      </c>
      <c r="E4582" s="116">
        <v>-1</v>
      </c>
      <c r="F4582" s="87" t="s">
        <v>508</v>
      </c>
      <c r="G4582" s="87" t="s">
        <v>967</v>
      </c>
      <c r="H4582" s="87" t="s">
        <v>508</v>
      </c>
      <c r="I4582" s="87">
        <v>64</v>
      </c>
    </row>
    <row r="4583" spans="1:9" x14ac:dyDescent="0.25">
      <c r="A4583" s="87" t="s">
        <v>88</v>
      </c>
      <c r="B4583" s="87" t="s">
        <v>422</v>
      </c>
      <c r="C4583" s="87">
        <v>1996</v>
      </c>
      <c r="D4583" s="87" t="s">
        <v>18</v>
      </c>
      <c r="E4583" s="116">
        <v>17</v>
      </c>
      <c r="F4583" s="87" t="s">
        <v>508</v>
      </c>
      <c r="G4583" s="87" t="s">
        <v>967</v>
      </c>
      <c r="H4583" s="87" t="s">
        <v>508</v>
      </c>
      <c r="I4583" s="87">
        <v>64</v>
      </c>
    </row>
    <row r="4584" spans="1:9" x14ac:dyDescent="0.25">
      <c r="A4584" s="87" t="s">
        <v>88</v>
      </c>
      <c r="B4584" s="87" t="s">
        <v>422</v>
      </c>
      <c r="C4584" s="87">
        <v>1997</v>
      </c>
      <c r="D4584" s="87" t="s">
        <v>18</v>
      </c>
      <c r="E4584" s="116">
        <v>-1</v>
      </c>
      <c r="F4584" s="87" t="s">
        <v>967</v>
      </c>
      <c r="G4584" s="87" t="s">
        <v>967</v>
      </c>
      <c r="H4584" s="87" t="s">
        <v>508</v>
      </c>
      <c r="I4584" s="87">
        <v>64</v>
      </c>
    </row>
    <row r="4585" spans="1:9" x14ac:dyDescent="0.25">
      <c r="A4585" s="87" t="s">
        <v>88</v>
      </c>
      <c r="B4585" s="87" t="s">
        <v>422</v>
      </c>
      <c r="C4585" s="87">
        <v>1998</v>
      </c>
      <c r="D4585" s="87" t="s">
        <v>18</v>
      </c>
      <c r="E4585" s="116">
        <v>-1</v>
      </c>
      <c r="F4585" s="87" t="s">
        <v>967</v>
      </c>
      <c r="G4585" s="87" t="s">
        <v>967</v>
      </c>
      <c r="H4585" s="87" t="s">
        <v>967</v>
      </c>
      <c r="I4585" s="87">
        <v>64</v>
      </c>
    </row>
    <row r="4586" spans="1:9" x14ac:dyDescent="0.25">
      <c r="A4586" s="87" t="s">
        <v>88</v>
      </c>
      <c r="B4586" s="87" t="s">
        <v>422</v>
      </c>
      <c r="C4586" s="87">
        <v>1999</v>
      </c>
      <c r="D4586" s="87" t="s">
        <v>18</v>
      </c>
      <c r="E4586" s="116">
        <v>198</v>
      </c>
      <c r="F4586" s="87" t="s">
        <v>423</v>
      </c>
      <c r="G4586" s="87" t="s">
        <v>274</v>
      </c>
      <c r="H4586" s="87" t="s">
        <v>967</v>
      </c>
      <c r="I4586" s="87">
        <v>64</v>
      </c>
    </row>
    <row r="4587" spans="1:9" x14ac:dyDescent="0.25">
      <c r="A4587" s="87" t="s">
        <v>88</v>
      </c>
      <c r="B4587" s="87" t="s">
        <v>422</v>
      </c>
      <c r="C4587" s="87">
        <v>2000</v>
      </c>
      <c r="D4587" s="87" t="s">
        <v>18</v>
      </c>
      <c r="E4587" s="116">
        <v>115</v>
      </c>
      <c r="F4587" s="87" t="s">
        <v>967</v>
      </c>
      <c r="G4587" s="87" t="s">
        <v>967</v>
      </c>
      <c r="H4587" s="87" t="s">
        <v>967</v>
      </c>
      <c r="I4587" s="87">
        <v>64</v>
      </c>
    </row>
    <row r="4588" spans="1:9" x14ac:dyDescent="0.25">
      <c r="A4588" s="87" t="s">
        <v>88</v>
      </c>
      <c r="B4588" s="87" t="s">
        <v>422</v>
      </c>
      <c r="C4588" s="87">
        <v>2001</v>
      </c>
      <c r="D4588" s="87" t="s">
        <v>18</v>
      </c>
      <c r="E4588" s="116">
        <v>117</v>
      </c>
      <c r="F4588" s="87" t="s">
        <v>967</v>
      </c>
      <c r="G4588" s="87" t="s">
        <v>272</v>
      </c>
      <c r="H4588" s="87" t="s">
        <v>967</v>
      </c>
      <c r="I4588" s="87">
        <v>64</v>
      </c>
    </row>
    <row r="4589" spans="1:9" x14ac:dyDescent="0.25">
      <c r="A4589" s="87" t="s">
        <v>88</v>
      </c>
      <c r="B4589" s="87" t="s">
        <v>422</v>
      </c>
      <c r="C4589" s="87">
        <v>2002</v>
      </c>
      <c r="D4589" s="87" t="s">
        <v>18</v>
      </c>
      <c r="E4589" s="116">
        <v>155</v>
      </c>
      <c r="F4589" s="87" t="s">
        <v>967</v>
      </c>
      <c r="G4589" s="87" t="s">
        <v>274</v>
      </c>
      <c r="H4589" s="87" t="s">
        <v>967</v>
      </c>
      <c r="I4589" s="87">
        <v>64</v>
      </c>
    </row>
    <row r="4590" spans="1:9" x14ac:dyDescent="0.25">
      <c r="A4590" s="87" t="s">
        <v>88</v>
      </c>
      <c r="B4590" s="87" t="s">
        <v>422</v>
      </c>
      <c r="C4590" s="87">
        <v>2003</v>
      </c>
      <c r="D4590" s="87" t="s">
        <v>18</v>
      </c>
      <c r="E4590" s="116">
        <v>0</v>
      </c>
      <c r="F4590" s="87" t="s">
        <v>967</v>
      </c>
      <c r="G4590" s="87" t="s">
        <v>272</v>
      </c>
      <c r="H4590" s="87" t="s">
        <v>967</v>
      </c>
      <c r="I4590" s="87">
        <v>64</v>
      </c>
    </row>
    <row r="4591" spans="1:9" x14ac:dyDescent="0.25">
      <c r="A4591" s="87" t="s">
        <v>88</v>
      </c>
      <c r="B4591" s="87" t="s">
        <v>422</v>
      </c>
      <c r="C4591" s="87">
        <v>2004</v>
      </c>
      <c r="D4591" s="87" t="s">
        <v>18</v>
      </c>
      <c r="E4591" s="116">
        <v>194</v>
      </c>
      <c r="F4591" s="87" t="s">
        <v>967</v>
      </c>
      <c r="G4591" s="87" t="s">
        <v>272</v>
      </c>
      <c r="H4591" s="87" t="s">
        <v>967</v>
      </c>
      <c r="I4591" s="87">
        <v>64</v>
      </c>
    </row>
    <row r="4592" spans="1:9" x14ac:dyDescent="0.25">
      <c r="A4592" s="87" t="s">
        <v>88</v>
      </c>
      <c r="B4592" s="87" t="s">
        <v>422</v>
      </c>
      <c r="C4592" s="87">
        <v>2005</v>
      </c>
      <c r="D4592" s="87" t="s">
        <v>18</v>
      </c>
      <c r="E4592" s="116">
        <v>42</v>
      </c>
      <c r="F4592" s="87" t="s">
        <v>967</v>
      </c>
      <c r="G4592" s="87" t="s">
        <v>272</v>
      </c>
      <c r="H4592" s="87" t="s">
        <v>967</v>
      </c>
      <c r="I4592" s="87">
        <v>64</v>
      </c>
    </row>
    <row r="4593" spans="1:9" x14ac:dyDescent="0.25">
      <c r="A4593" s="87" t="s">
        <v>88</v>
      </c>
      <c r="B4593" s="87" t="s">
        <v>422</v>
      </c>
      <c r="C4593" s="87">
        <v>2006</v>
      </c>
      <c r="D4593" s="87" t="s">
        <v>18</v>
      </c>
      <c r="E4593" s="116">
        <v>45</v>
      </c>
      <c r="F4593" s="87" t="s">
        <v>967</v>
      </c>
      <c r="G4593" s="87" t="s">
        <v>272</v>
      </c>
      <c r="H4593" s="87" t="s">
        <v>967</v>
      </c>
      <c r="I4593" s="87">
        <v>64</v>
      </c>
    </row>
    <row r="4594" spans="1:9" x14ac:dyDescent="0.25">
      <c r="A4594" s="87" t="s">
        <v>88</v>
      </c>
      <c r="B4594" s="87" t="s">
        <v>422</v>
      </c>
      <c r="C4594" s="87">
        <v>2007</v>
      </c>
      <c r="D4594" s="87" t="s">
        <v>18</v>
      </c>
      <c r="E4594" s="116">
        <v>5</v>
      </c>
      <c r="F4594" s="87" t="s">
        <v>967</v>
      </c>
      <c r="G4594" s="87" t="s">
        <v>272</v>
      </c>
      <c r="H4594" s="87" t="s">
        <v>967</v>
      </c>
      <c r="I4594" s="87">
        <v>64</v>
      </c>
    </row>
    <row r="4595" spans="1:9" x14ac:dyDescent="0.25">
      <c r="A4595" s="87" t="s">
        <v>88</v>
      </c>
      <c r="B4595" s="87" t="s">
        <v>422</v>
      </c>
      <c r="C4595" s="87">
        <v>2008</v>
      </c>
      <c r="D4595" s="87" t="s">
        <v>18</v>
      </c>
      <c r="E4595" s="116">
        <v>54</v>
      </c>
      <c r="F4595" s="87" t="s">
        <v>967</v>
      </c>
      <c r="G4595" s="87" t="s">
        <v>272</v>
      </c>
      <c r="H4595" s="87" t="s">
        <v>967</v>
      </c>
      <c r="I4595" s="87">
        <v>64</v>
      </c>
    </row>
    <row r="4596" spans="1:9" x14ac:dyDescent="0.25">
      <c r="A4596" s="87" t="s">
        <v>88</v>
      </c>
      <c r="B4596" s="87" t="s">
        <v>422</v>
      </c>
      <c r="C4596" s="87">
        <v>2009</v>
      </c>
      <c r="D4596" s="87" t="s">
        <v>18</v>
      </c>
      <c r="E4596" s="116">
        <v>17</v>
      </c>
      <c r="F4596" s="87" t="s">
        <v>967</v>
      </c>
      <c r="G4596" s="87" t="s">
        <v>272</v>
      </c>
      <c r="H4596" s="87" t="s">
        <v>967</v>
      </c>
      <c r="I4596" s="87">
        <v>64</v>
      </c>
    </row>
    <row r="4597" spans="1:9" x14ac:dyDescent="0.25">
      <c r="A4597" s="87" t="s">
        <v>88</v>
      </c>
      <c r="B4597" s="87" t="s">
        <v>422</v>
      </c>
      <c r="C4597" s="87">
        <v>2010</v>
      </c>
      <c r="D4597" s="87" t="s">
        <v>18</v>
      </c>
      <c r="E4597" s="116">
        <v>34</v>
      </c>
      <c r="F4597" s="87" t="s">
        <v>967</v>
      </c>
      <c r="G4597" s="87" t="s">
        <v>272</v>
      </c>
      <c r="H4597" s="87" t="s">
        <v>967</v>
      </c>
      <c r="I4597" s="87">
        <v>64</v>
      </c>
    </row>
    <row r="4598" spans="1:9" x14ac:dyDescent="0.25">
      <c r="A4598" s="87" t="s">
        <v>88</v>
      </c>
      <c r="B4598" s="87" t="s">
        <v>422</v>
      </c>
      <c r="C4598" s="87">
        <v>2011</v>
      </c>
      <c r="D4598" s="87" t="s">
        <v>18</v>
      </c>
      <c r="E4598" s="116">
        <v>0</v>
      </c>
      <c r="F4598" s="87" t="s">
        <v>967</v>
      </c>
      <c r="G4598" s="87" t="s">
        <v>272</v>
      </c>
      <c r="H4598" s="87" t="s">
        <v>967</v>
      </c>
      <c r="I4598" s="87">
        <v>64</v>
      </c>
    </row>
    <row r="4599" spans="1:9" x14ac:dyDescent="0.25">
      <c r="A4599" s="87" t="s">
        <v>88</v>
      </c>
      <c r="B4599" s="87" t="s">
        <v>422</v>
      </c>
      <c r="C4599" s="87">
        <v>2012</v>
      </c>
      <c r="D4599" s="87" t="s">
        <v>18</v>
      </c>
      <c r="E4599" s="116">
        <v>22</v>
      </c>
      <c r="F4599" s="87" t="s">
        <v>967</v>
      </c>
      <c r="G4599" s="87" t="s">
        <v>272</v>
      </c>
      <c r="H4599" s="87" t="s">
        <v>967</v>
      </c>
      <c r="I4599" s="87">
        <v>64</v>
      </c>
    </row>
    <row r="4600" spans="1:9" x14ac:dyDescent="0.25">
      <c r="A4600" s="87" t="s">
        <v>88</v>
      </c>
      <c r="B4600" s="87" t="s">
        <v>422</v>
      </c>
      <c r="C4600" s="87">
        <v>2013</v>
      </c>
      <c r="D4600" s="87" t="s">
        <v>18</v>
      </c>
      <c r="E4600" s="116">
        <v>29</v>
      </c>
      <c r="F4600" s="87" t="s">
        <v>967</v>
      </c>
      <c r="G4600" s="87" t="s">
        <v>272</v>
      </c>
      <c r="H4600" s="87" t="s">
        <v>967</v>
      </c>
      <c r="I4600" s="87">
        <v>64</v>
      </c>
    </row>
    <row r="4601" spans="1:9" x14ac:dyDescent="0.25">
      <c r="A4601" s="87" t="s">
        <v>88</v>
      </c>
      <c r="B4601" s="87" t="s">
        <v>422</v>
      </c>
      <c r="C4601" s="87">
        <v>2014</v>
      </c>
      <c r="D4601" s="87" t="s">
        <v>18</v>
      </c>
      <c r="E4601" s="116">
        <v>54</v>
      </c>
      <c r="F4601" s="87" t="s">
        <v>967</v>
      </c>
      <c r="G4601" s="87" t="s">
        <v>274</v>
      </c>
      <c r="H4601" s="87" t="s">
        <v>967</v>
      </c>
      <c r="I4601" s="87">
        <v>64</v>
      </c>
    </row>
    <row r="4602" spans="1:9" x14ac:dyDescent="0.25">
      <c r="A4602" s="87" t="s">
        <v>88</v>
      </c>
      <c r="B4602" s="87" t="s">
        <v>422</v>
      </c>
      <c r="C4602" s="87">
        <v>2015</v>
      </c>
      <c r="D4602" s="87" t="s">
        <v>18</v>
      </c>
      <c r="E4602" s="116">
        <v>5</v>
      </c>
      <c r="F4602" s="87" t="s">
        <v>967</v>
      </c>
      <c r="G4602" s="87" t="s">
        <v>274</v>
      </c>
      <c r="H4602" s="87" t="s">
        <v>691</v>
      </c>
      <c r="I4602" s="87">
        <v>64</v>
      </c>
    </row>
    <row r="4603" spans="1:9" x14ac:dyDescent="0.25">
      <c r="A4603" s="87" t="s">
        <v>88</v>
      </c>
      <c r="B4603" s="87" t="s">
        <v>422</v>
      </c>
      <c r="C4603" s="87">
        <v>2016</v>
      </c>
      <c r="D4603" s="87" t="s">
        <v>18</v>
      </c>
      <c r="E4603" s="116">
        <v>8</v>
      </c>
      <c r="F4603" s="87" t="s">
        <v>967</v>
      </c>
      <c r="G4603" s="87" t="s">
        <v>274</v>
      </c>
      <c r="H4603" s="87" t="s">
        <v>967</v>
      </c>
      <c r="I4603" s="87">
        <v>64</v>
      </c>
    </row>
    <row r="4604" spans="1:9" x14ac:dyDescent="0.25">
      <c r="A4604" s="87" t="s">
        <v>88</v>
      </c>
      <c r="B4604" s="87" t="s">
        <v>422</v>
      </c>
      <c r="C4604" s="87">
        <v>2017</v>
      </c>
      <c r="D4604" s="87" t="s">
        <v>18</v>
      </c>
      <c r="E4604" s="116">
        <v>5</v>
      </c>
      <c r="F4604" s="87" t="s">
        <v>967</v>
      </c>
      <c r="G4604" s="87" t="s">
        <v>272</v>
      </c>
      <c r="H4604" s="87" t="s">
        <v>967</v>
      </c>
      <c r="I4604" s="87">
        <v>64</v>
      </c>
    </row>
    <row r="4605" spans="1:9" x14ac:dyDescent="0.25">
      <c r="A4605" s="87" t="s">
        <v>88</v>
      </c>
      <c r="B4605" s="87" t="s">
        <v>422</v>
      </c>
      <c r="C4605" s="87">
        <v>2018</v>
      </c>
      <c r="D4605" s="87" t="s">
        <v>18</v>
      </c>
      <c r="E4605" s="116">
        <v>5</v>
      </c>
      <c r="F4605" s="87" t="s">
        <v>967</v>
      </c>
      <c r="G4605" s="87" t="s">
        <v>274</v>
      </c>
      <c r="H4605" s="87" t="s">
        <v>949</v>
      </c>
      <c r="I4605" s="87">
        <v>64</v>
      </c>
    </row>
    <row r="4606" spans="1:9" x14ac:dyDescent="0.25">
      <c r="A4606" s="87" t="s">
        <v>88</v>
      </c>
      <c r="B4606" s="87" t="s">
        <v>422</v>
      </c>
      <c r="C4606" s="87">
        <v>2019</v>
      </c>
      <c r="D4606" s="87" t="s">
        <v>18</v>
      </c>
      <c r="E4606" s="116">
        <v>11</v>
      </c>
      <c r="F4606" s="87" t="s">
        <v>967</v>
      </c>
      <c r="G4606" s="87" t="s">
        <v>274</v>
      </c>
      <c r="H4606" s="87" t="s">
        <v>1007</v>
      </c>
      <c r="I4606" s="87">
        <v>64</v>
      </c>
    </row>
    <row r="4607" spans="1:9" x14ac:dyDescent="0.25">
      <c r="A4607" s="87" t="s">
        <v>88</v>
      </c>
      <c r="B4607" s="87" t="s">
        <v>422</v>
      </c>
      <c r="C4607" s="87">
        <v>2020</v>
      </c>
      <c r="D4607" s="87" t="s">
        <v>18</v>
      </c>
      <c r="E4607" s="116">
        <v>2</v>
      </c>
      <c r="F4607" s="87" t="s">
        <v>967</v>
      </c>
      <c r="G4607" s="87" t="s">
        <v>274</v>
      </c>
      <c r="H4607" s="87" t="s">
        <v>967</v>
      </c>
      <c r="I4607" s="87">
        <v>64</v>
      </c>
    </row>
    <row r="4608" spans="1:9" x14ac:dyDescent="0.25">
      <c r="A4608" s="87" t="s">
        <v>88</v>
      </c>
      <c r="B4608" s="87" t="s">
        <v>422</v>
      </c>
      <c r="C4608" s="87">
        <v>2021</v>
      </c>
      <c r="D4608" s="87" t="s">
        <v>18</v>
      </c>
      <c r="E4608" s="116">
        <v>11</v>
      </c>
      <c r="F4608" s="87" t="s">
        <v>967</v>
      </c>
      <c r="G4608" s="87" t="s">
        <v>272</v>
      </c>
      <c r="H4608" s="87" t="s">
        <v>967</v>
      </c>
      <c r="I4608" s="87">
        <v>64</v>
      </c>
    </row>
    <row r="4609" spans="1:9" x14ac:dyDescent="0.25">
      <c r="A4609" s="87" t="s">
        <v>88</v>
      </c>
      <c r="B4609" s="87" t="s">
        <v>422</v>
      </c>
      <c r="C4609" s="87">
        <v>2022</v>
      </c>
      <c r="D4609" s="87" t="s">
        <v>18</v>
      </c>
      <c r="E4609" s="116">
        <v>23</v>
      </c>
      <c r="F4609" s="87" t="s">
        <v>967</v>
      </c>
      <c r="G4609" s="87" t="s">
        <v>274</v>
      </c>
      <c r="H4609" s="87" t="s">
        <v>967</v>
      </c>
      <c r="I4609" s="87">
        <v>64</v>
      </c>
    </row>
    <row r="4610" spans="1:9" x14ac:dyDescent="0.25">
      <c r="A4610" s="87" t="s">
        <v>88</v>
      </c>
      <c r="B4610" s="87" t="s">
        <v>424</v>
      </c>
      <c r="C4610" s="87">
        <v>1975</v>
      </c>
      <c r="D4610" s="87" t="s">
        <v>18</v>
      </c>
      <c r="E4610" s="116">
        <v>179</v>
      </c>
      <c r="F4610" s="87" t="s">
        <v>508</v>
      </c>
      <c r="G4610" s="87" t="s">
        <v>967</v>
      </c>
      <c r="H4610" s="87" t="s">
        <v>508</v>
      </c>
      <c r="I4610" s="87">
        <v>36</v>
      </c>
    </row>
    <row r="4611" spans="1:9" x14ac:dyDescent="0.25">
      <c r="A4611" s="87" t="s">
        <v>88</v>
      </c>
      <c r="B4611" s="87" t="s">
        <v>424</v>
      </c>
      <c r="C4611" s="87">
        <v>1976</v>
      </c>
      <c r="D4611" s="87" t="s">
        <v>18</v>
      </c>
      <c r="E4611" s="116">
        <v>200</v>
      </c>
      <c r="F4611" s="87" t="s">
        <v>508</v>
      </c>
      <c r="G4611" s="87" t="s">
        <v>967</v>
      </c>
      <c r="H4611" s="87" t="s">
        <v>508</v>
      </c>
      <c r="I4611" s="87">
        <v>36</v>
      </c>
    </row>
    <row r="4612" spans="1:9" x14ac:dyDescent="0.25">
      <c r="A4612" s="87" t="s">
        <v>88</v>
      </c>
      <c r="B4612" s="87" t="s">
        <v>424</v>
      </c>
      <c r="C4612" s="87">
        <v>1977</v>
      </c>
      <c r="D4612" s="87" t="s">
        <v>18</v>
      </c>
      <c r="E4612" s="116">
        <v>425</v>
      </c>
      <c r="F4612" s="87" t="s">
        <v>508</v>
      </c>
      <c r="G4612" s="87" t="s">
        <v>967</v>
      </c>
      <c r="H4612" s="87" t="s">
        <v>508</v>
      </c>
      <c r="I4612" s="87">
        <v>36</v>
      </c>
    </row>
    <row r="4613" spans="1:9" x14ac:dyDescent="0.25">
      <c r="A4613" s="87" t="s">
        <v>88</v>
      </c>
      <c r="B4613" s="87" t="s">
        <v>424</v>
      </c>
      <c r="C4613" s="87">
        <v>1978</v>
      </c>
      <c r="D4613" s="87" t="s">
        <v>18</v>
      </c>
      <c r="E4613" s="116">
        <v>450</v>
      </c>
      <c r="F4613" s="87" t="s">
        <v>508</v>
      </c>
      <c r="G4613" s="87" t="s">
        <v>967</v>
      </c>
      <c r="H4613" s="87" t="s">
        <v>508</v>
      </c>
      <c r="I4613" s="87">
        <v>36</v>
      </c>
    </row>
    <row r="4614" spans="1:9" x14ac:dyDescent="0.25">
      <c r="A4614" s="87" t="s">
        <v>88</v>
      </c>
      <c r="B4614" s="87" t="s">
        <v>424</v>
      </c>
      <c r="C4614" s="87">
        <v>1979</v>
      </c>
      <c r="D4614" s="87" t="s">
        <v>18</v>
      </c>
      <c r="E4614" s="116">
        <v>260</v>
      </c>
      <c r="F4614" s="87" t="s">
        <v>508</v>
      </c>
      <c r="G4614" s="87" t="s">
        <v>967</v>
      </c>
      <c r="H4614" s="87" t="s">
        <v>508</v>
      </c>
      <c r="I4614" s="87">
        <v>36</v>
      </c>
    </row>
    <row r="4615" spans="1:9" x14ac:dyDescent="0.25">
      <c r="A4615" s="87" t="s">
        <v>88</v>
      </c>
      <c r="B4615" s="87" t="s">
        <v>424</v>
      </c>
      <c r="C4615" s="87">
        <v>1980</v>
      </c>
      <c r="D4615" s="87" t="s">
        <v>18</v>
      </c>
      <c r="E4615" s="116">
        <v>150</v>
      </c>
      <c r="F4615" s="87" t="s">
        <v>508</v>
      </c>
      <c r="G4615" s="87" t="s">
        <v>967</v>
      </c>
      <c r="H4615" s="87" t="s">
        <v>508</v>
      </c>
      <c r="I4615" s="87">
        <v>36</v>
      </c>
    </row>
    <row r="4616" spans="1:9" x14ac:dyDescent="0.25">
      <c r="A4616" s="87" t="s">
        <v>88</v>
      </c>
      <c r="B4616" s="87" t="s">
        <v>424</v>
      </c>
      <c r="C4616" s="87">
        <v>1981</v>
      </c>
      <c r="D4616" s="87" t="s">
        <v>18</v>
      </c>
      <c r="E4616" s="116">
        <v>200</v>
      </c>
      <c r="F4616" s="87" t="s">
        <v>508</v>
      </c>
      <c r="G4616" s="87" t="s">
        <v>967</v>
      </c>
      <c r="H4616" s="87" t="s">
        <v>508</v>
      </c>
      <c r="I4616" s="87">
        <v>36</v>
      </c>
    </row>
    <row r="4617" spans="1:9" x14ac:dyDescent="0.25">
      <c r="A4617" s="87" t="s">
        <v>88</v>
      </c>
      <c r="B4617" s="87" t="s">
        <v>424</v>
      </c>
      <c r="C4617" s="87">
        <v>1982</v>
      </c>
      <c r="D4617" s="87" t="s">
        <v>18</v>
      </c>
      <c r="E4617" s="116">
        <v>250</v>
      </c>
      <c r="F4617" s="87" t="s">
        <v>508</v>
      </c>
      <c r="G4617" s="87" t="s">
        <v>967</v>
      </c>
      <c r="H4617" s="87" t="s">
        <v>508</v>
      </c>
      <c r="I4617" s="87">
        <v>36</v>
      </c>
    </row>
    <row r="4618" spans="1:9" x14ac:dyDescent="0.25">
      <c r="A4618" s="87" t="s">
        <v>88</v>
      </c>
      <c r="B4618" s="87" t="s">
        <v>424</v>
      </c>
      <c r="C4618" s="87">
        <v>1983</v>
      </c>
      <c r="D4618" s="87" t="s">
        <v>18</v>
      </c>
      <c r="E4618" s="116">
        <v>300</v>
      </c>
      <c r="F4618" s="87" t="s">
        <v>508</v>
      </c>
      <c r="G4618" s="87" t="s">
        <v>967</v>
      </c>
      <c r="H4618" s="87" t="s">
        <v>508</v>
      </c>
      <c r="I4618" s="87">
        <v>36</v>
      </c>
    </row>
    <row r="4619" spans="1:9" x14ac:dyDescent="0.25">
      <c r="A4619" s="87" t="s">
        <v>88</v>
      </c>
      <c r="B4619" s="87" t="s">
        <v>424</v>
      </c>
      <c r="C4619" s="87">
        <v>1984</v>
      </c>
      <c r="D4619" s="87" t="s">
        <v>18</v>
      </c>
      <c r="E4619" s="116">
        <v>400</v>
      </c>
      <c r="F4619" s="87" t="s">
        <v>508</v>
      </c>
      <c r="G4619" s="87" t="s">
        <v>967</v>
      </c>
      <c r="H4619" s="87" t="s">
        <v>508</v>
      </c>
      <c r="I4619" s="87">
        <v>36</v>
      </c>
    </row>
    <row r="4620" spans="1:9" x14ac:dyDescent="0.25">
      <c r="A4620" s="87" t="s">
        <v>88</v>
      </c>
      <c r="B4620" s="87" t="s">
        <v>424</v>
      </c>
      <c r="C4620" s="87">
        <v>1985</v>
      </c>
      <c r="D4620" s="87" t="s">
        <v>18</v>
      </c>
      <c r="E4620" s="116">
        <v>250</v>
      </c>
      <c r="F4620" s="87" t="s">
        <v>508</v>
      </c>
      <c r="G4620" s="87" t="s">
        <v>967</v>
      </c>
      <c r="H4620" s="87" t="s">
        <v>508</v>
      </c>
      <c r="I4620" s="87">
        <v>36</v>
      </c>
    </row>
    <row r="4621" spans="1:9" x14ac:dyDescent="0.25">
      <c r="A4621" s="87" t="s">
        <v>88</v>
      </c>
      <c r="B4621" s="87" t="s">
        <v>424</v>
      </c>
      <c r="C4621" s="87">
        <v>1986</v>
      </c>
      <c r="D4621" s="87" t="s">
        <v>18</v>
      </c>
      <c r="E4621" s="116">
        <v>500</v>
      </c>
      <c r="F4621" s="87" t="s">
        <v>508</v>
      </c>
      <c r="G4621" s="87" t="s">
        <v>967</v>
      </c>
      <c r="H4621" s="87" t="s">
        <v>508</v>
      </c>
      <c r="I4621" s="87">
        <v>36</v>
      </c>
    </row>
    <row r="4622" spans="1:9" x14ac:dyDescent="0.25">
      <c r="A4622" s="87" t="s">
        <v>88</v>
      </c>
      <c r="B4622" s="87" t="s">
        <v>424</v>
      </c>
      <c r="C4622" s="87">
        <v>1987</v>
      </c>
      <c r="D4622" s="87" t="s">
        <v>18</v>
      </c>
      <c r="E4622" s="116">
        <v>300</v>
      </c>
      <c r="F4622" s="87" t="s">
        <v>508</v>
      </c>
      <c r="G4622" s="87" t="s">
        <v>967</v>
      </c>
      <c r="H4622" s="87" t="s">
        <v>508</v>
      </c>
      <c r="I4622" s="87">
        <v>36</v>
      </c>
    </row>
    <row r="4623" spans="1:9" x14ac:dyDescent="0.25">
      <c r="A4623" s="87" t="s">
        <v>88</v>
      </c>
      <c r="B4623" s="87" t="s">
        <v>424</v>
      </c>
      <c r="C4623" s="87">
        <v>1988</v>
      </c>
      <c r="D4623" s="87" t="s">
        <v>18</v>
      </c>
      <c r="E4623" s="116">
        <v>700</v>
      </c>
      <c r="F4623" s="87" t="s">
        <v>508</v>
      </c>
      <c r="G4623" s="87" t="s">
        <v>967</v>
      </c>
      <c r="H4623" s="87" t="s">
        <v>508</v>
      </c>
      <c r="I4623" s="87">
        <v>36</v>
      </c>
    </row>
    <row r="4624" spans="1:9" x14ac:dyDescent="0.25">
      <c r="A4624" s="87" t="s">
        <v>88</v>
      </c>
      <c r="B4624" s="87" t="s">
        <v>424</v>
      </c>
      <c r="C4624" s="87">
        <v>1989</v>
      </c>
      <c r="D4624" s="87" t="s">
        <v>18</v>
      </c>
      <c r="E4624" s="116">
        <v>180</v>
      </c>
      <c r="F4624" s="87" t="s">
        <v>508</v>
      </c>
      <c r="G4624" s="87" t="s">
        <v>967</v>
      </c>
      <c r="H4624" s="87" t="s">
        <v>508</v>
      </c>
      <c r="I4624" s="87">
        <v>36</v>
      </c>
    </row>
    <row r="4625" spans="1:9" x14ac:dyDescent="0.25">
      <c r="A4625" s="87" t="s">
        <v>88</v>
      </c>
      <c r="B4625" s="87" t="s">
        <v>424</v>
      </c>
      <c r="C4625" s="87">
        <v>1990</v>
      </c>
      <c r="D4625" s="87" t="s">
        <v>18</v>
      </c>
      <c r="E4625" s="116">
        <v>500</v>
      </c>
      <c r="F4625" s="87" t="s">
        <v>508</v>
      </c>
      <c r="G4625" s="87" t="s">
        <v>967</v>
      </c>
      <c r="H4625" s="87" t="s">
        <v>508</v>
      </c>
      <c r="I4625" s="87">
        <v>36</v>
      </c>
    </row>
    <row r="4626" spans="1:9" x14ac:dyDescent="0.25">
      <c r="A4626" s="87" t="s">
        <v>88</v>
      </c>
      <c r="B4626" s="87" t="s">
        <v>424</v>
      </c>
      <c r="C4626" s="87">
        <v>1991</v>
      </c>
      <c r="D4626" s="87" t="s">
        <v>18</v>
      </c>
      <c r="E4626" s="116">
        <v>20</v>
      </c>
      <c r="F4626" s="87" t="s">
        <v>508</v>
      </c>
      <c r="G4626" s="87" t="s">
        <v>967</v>
      </c>
      <c r="H4626" s="87" t="s">
        <v>508</v>
      </c>
      <c r="I4626" s="87">
        <v>36</v>
      </c>
    </row>
    <row r="4627" spans="1:9" x14ac:dyDescent="0.25">
      <c r="A4627" s="87" t="s">
        <v>88</v>
      </c>
      <c r="B4627" s="87" t="s">
        <v>424</v>
      </c>
      <c r="C4627" s="87">
        <v>1992</v>
      </c>
      <c r="D4627" s="87" t="s">
        <v>18</v>
      </c>
      <c r="E4627" s="116">
        <v>250</v>
      </c>
      <c r="F4627" s="87" t="s">
        <v>508</v>
      </c>
      <c r="G4627" s="87" t="s">
        <v>967</v>
      </c>
      <c r="H4627" s="87" t="s">
        <v>508</v>
      </c>
      <c r="I4627" s="87">
        <v>36</v>
      </c>
    </row>
    <row r="4628" spans="1:9" x14ac:dyDescent="0.25">
      <c r="A4628" s="87" t="s">
        <v>88</v>
      </c>
      <c r="B4628" s="87" t="s">
        <v>424</v>
      </c>
      <c r="C4628" s="87">
        <v>1993</v>
      </c>
      <c r="D4628" s="87" t="s">
        <v>18</v>
      </c>
      <c r="E4628" s="116">
        <v>100</v>
      </c>
      <c r="F4628" s="87" t="s">
        <v>508</v>
      </c>
      <c r="G4628" s="87" t="s">
        <v>967</v>
      </c>
      <c r="H4628" s="87" t="s">
        <v>508</v>
      </c>
      <c r="I4628" s="87">
        <v>36</v>
      </c>
    </row>
    <row r="4629" spans="1:9" x14ac:dyDescent="0.25">
      <c r="A4629" s="87" t="s">
        <v>88</v>
      </c>
      <c r="B4629" s="87" t="s">
        <v>424</v>
      </c>
      <c r="C4629" s="87">
        <v>1994</v>
      </c>
      <c r="D4629" s="87" t="s">
        <v>18</v>
      </c>
      <c r="E4629" s="116">
        <v>180</v>
      </c>
      <c r="F4629" s="87" t="s">
        <v>508</v>
      </c>
      <c r="G4629" s="87" t="s">
        <v>967</v>
      </c>
      <c r="H4629" s="87" t="s">
        <v>508</v>
      </c>
      <c r="I4629" s="87">
        <v>36</v>
      </c>
    </row>
    <row r="4630" spans="1:9" x14ac:dyDescent="0.25">
      <c r="A4630" s="87" t="s">
        <v>88</v>
      </c>
      <c r="B4630" s="87" t="s">
        <v>424</v>
      </c>
      <c r="C4630" s="87">
        <v>1995</v>
      </c>
      <c r="D4630" s="87" t="s">
        <v>18</v>
      </c>
      <c r="E4630" s="116">
        <v>130</v>
      </c>
      <c r="F4630" s="87" t="s">
        <v>967</v>
      </c>
      <c r="G4630" s="87" t="s">
        <v>967</v>
      </c>
      <c r="H4630" s="87" t="s">
        <v>967</v>
      </c>
      <c r="I4630" s="87">
        <v>36</v>
      </c>
    </row>
    <row r="4631" spans="1:9" x14ac:dyDescent="0.25">
      <c r="A4631" s="87" t="s">
        <v>88</v>
      </c>
      <c r="B4631" s="87" t="s">
        <v>424</v>
      </c>
      <c r="C4631" s="87">
        <v>1996</v>
      </c>
      <c r="D4631" s="87" t="s">
        <v>18</v>
      </c>
      <c r="E4631" s="116">
        <v>415</v>
      </c>
      <c r="F4631" s="87" t="s">
        <v>967</v>
      </c>
      <c r="G4631" s="87" t="s">
        <v>967</v>
      </c>
      <c r="H4631" s="87" t="s">
        <v>967</v>
      </c>
      <c r="I4631" s="87">
        <v>36</v>
      </c>
    </row>
    <row r="4632" spans="1:9" x14ac:dyDescent="0.25">
      <c r="A4632" s="87" t="s">
        <v>88</v>
      </c>
      <c r="B4632" s="87" t="s">
        <v>424</v>
      </c>
      <c r="C4632" s="87">
        <v>1997</v>
      </c>
      <c r="D4632" s="87" t="s">
        <v>18</v>
      </c>
      <c r="E4632" s="116">
        <v>260</v>
      </c>
      <c r="F4632" s="87" t="s">
        <v>586</v>
      </c>
      <c r="G4632" s="87" t="s">
        <v>967</v>
      </c>
      <c r="H4632" s="87" t="s">
        <v>967</v>
      </c>
      <c r="I4632" s="87">
        <v>36</v>
      </c>
    </row>
    <row r="4633" spans="1:9" x14ac:dyDescent="0.25">
      <c r="A4633" s="87" t="s">
        <v>88</v>
      </c>
      <c r="B4633" s="87" t="s">
        <v>424</v>
      </c>
      <c r="C4633" s="87">
        <v>1998</v>
      </c>
      <c r="D4633" s="87" t="s">
        <v>18</v>
      </c>
      <c r="E4633" s="116">
        <v>341</v>
      </c>
      <c r="F4633" s="87" t="s">
        <v>967</v>
      </c>
      <c r="G4633" s="87" t="s">
        <v>272</v>
      </c>
      <c r="H4633" s="87" t="s">
        <v>967</v>
      </c>
      <c r="I4633" s="87">
        <v>36</v>
      </c>
    </row>
    <row r="4634" spans="1:9" x14ac:dyDescent="0.25">
      <c r="A4634" s="87" t="s">
        <v>88</v>
      </c>
      <c r="B4634" s="87" t="s">
        <v>424</v>
      </c>
      <c r="C4634" s="87">
        <v>1999</v>
      </c>
      <c r="D4634" s="87" t="s">
        <v>18</v>
      </c>
      <c r="E4634" s="116">
        <v>91</v>
      </c>
      <c r="F4634" s="87" t="s">
        <v>967</v>
      </c>
      <c r="G4634" s="87" t="s">
        <v>272</v>
      </c>
      <c r="H4634" s="87" t="s">
        <v>967</v>
      </c>
      <c r="I4634" s="87">
        <v>36</v>
      </c>
    </row>
    <row r="4635" spans="1:9" x14ac:dyDescent="0.25">
      <c r="A4635" s="87" t="s">
        <v>88</v>
      </c>
      <c r="B4635" s="87" t="s">
        <v>424</v>
      </c>
      <c r="C4635" s="87">
        <v>2000</v>
      </c>
      <c r="D4635" s="87" t="s">
        <v>18</v>
      </c>
      <c r="E4635" s="116">
        <v>245</v>
      </c>
      <c r="F4635" s="87" t="s">
        <v>967</v>
      </c>
      <c r="G4635" s="87" t="s">
        <v>274</v>
      </c>
      <c r="H4635" s="87" t="s">
        <v>967</v>
      </c>
      <c r="I4635" s="87">
        <v>36</v>
      </c>
    </row>
    <row r="4636" spans="1:9" x14ac:dyDescent="0.25">
      <c r="A4636" s="87" t="s">
        <v>88</v>
      </c>
      <c r="B4636" s="87" t="s">
        <v>424</v>
      </c>
      <c r="C4636" s="87">
        <v>2001</v>
      </c>
      <c r="D4636" s="87" t="s">
        <v>18</v>
      </c>
      <c r="E4636" s="116">
        <v>172</v>
      </c>
      <c r="F4636" s="87" t="s">
        <v>967</v>
      </c>
      <c r="G4636" s="87" t="s">
        <v>272</v>
      </c>
      <c r="H4636" s="87" t="s">
        <v>967</v>
      </c>
      <c r="I4636" s="87">
        <v>36</v>
      </c>
    </row>
    <row r="4637" spans="1:9" x14ac:dyDescent="0.25">
      <c r="A4637" s="87" t="s">
        <v>88</v>
      </c>
      <c r="B4637" s="87" t="s">
        <v>424</v>
      </c>
      <c r="C4637" s="87">
        <v>2002</v>
      </c>
      <c r="D4637" s="87" t="s">
        <v>18</v>
      </c>
      <c r="E4637" s="116">
        <v>166</v>
      </c>
      <c r="F4637" s="87" t="s">
        <v>425</v>
      </c>
      <c r="G4637" s="87" t="s">
        <v>272</v>
      </c>
      <c r="H4637" s="87" t="s">
        <v>967</v>
      </c>
      <c r="I4637" s="87">
        <v>36</v>
      </c>
    </row>
    <row r="4638" spans="1:9" x14ac:dyDescent="0.25">
      <c r="A4638" s="87" t="s">
        <v>88</v>
      </c>
      <c r="B4638" s="87" t="s">
        <v>424</v>
      </c>
      <c r="C4638" s="87">
        <v>2003</v>
      </c>
      <c r="D4638" s="87" t="s">
        <v>18</v>
      </c>
      <c r="E4638" s="116">
        <v>929</v>
      </c>
      <c r="F4638" s="87" t="s">
        <v>967</v>
      </c>
      <c r="G4638" s="87" t="s">
        <v>272</v>
      </c>
      <c r="H4638" s="87" t="s">
        <v>967</v>
      </c>
      <c r="I4638" s="87">
        <v>36</v>
      </c>
    </row>
    <row r="4639" spans="1:9" x14ac:dyDescent="0.25">
      <c r="A4639" s="87" t="s">
        <v>88</v>
      </c>
      <c r="B4639" s="87" t="s">
        <v>424</v>
      </c>
      <c r="C4639" s="87">
        <v>2004</v>
      </c>
      <c r="D4639" s="87" t="s">
        <v>18</v>
      </c>
      <c r="E4639" s="116">
        <v>317</v>
      </c>
      <c r="F4639" s="87" t="s">
        <v>967</v>
      </c>
      <c r="G4639" s="87" t="s">
        <v>272</v>
      </c>
      <c r="H4639" s="87" t="s">
        <v>967</v>
      </c>
      <c r="I4639" s="87">
        <v>36</v>
      </c>
    </row>
    <row r="4640" spans="1:9" x14ac:dyDescent="0.25">
      <c r="A4640" s="87" t="s">
        <v>88</v>
      </c>
      <c r="B4640" s="87" t="s">
        <v>424</v>
      </c>
      <c r="C4640" s="87">
        <v>2005</v>
      </c>
      <c r="D4640" s="87" t="s">
        <v>18</v>
      </c>
      <c r="E4640" s="116">
        <v>269</v>
      </c>
      <c r="F4640" s="87" t="s">
        <v>967</v>
      </c>
      <c r="G4640" s="87" t="s">
        <v>272</v>
      </c>
      <c r="H4640" s="87" t="s">
        <v>967</v>
      </c>
      <c r="I4640" s="87">
        <v>36</v>
      </c>
    </row>
    <row r="4641" spans="1:9" x14ac:dyDescent="0.25">
      <c r="A4641" s="87" t="s">
        <v>88</v>
      </c>
      <c r="B4641" s="87" t="s">
        <v>424</v>
      </c>
      <c r="C4641" s="87">
        <v>2006</v>
      </c>
      <c r="D4641" s="87" t="s">
        <v>18</v>
      </c>
      <c r="E4641" s="116">
        <v>217</v>
      </c>
      <c r="F4641" s="87" t="s">
        <v>967</v>
      </c>
      <c r="G4641" s="87" t="s">
        <v>272</v>
      </c>
      <c r="H4641" s="87" t="s">
        <v>967</v>
      </c>
      <c r="I4641" s="87">
        <v>36</v>
      </c>
    </row>
    <row r="4642" spans="1:9" x14ac:dyDescent="0.25">
      <c r="A4642" s="87" t="s">
        <v>88</v>
      </c>
      <c r="B4642" s="87" t="s">
        <v>424</v>
      </c>
      <c r="C4642" s="87">
        <v>2007</v>
      </c>
      <c r="D4642" s="87" t="s">
        <v>18</v>
      </c>
      <c r="E4642" s="116">
        <v>74</v>
      </c>
      <c r="F4642" s="87" t="s">
        <v>967</v>
      </c>
      <c r="G4642" s="87" t="s">
        <v>272</v>
      </c>
      <c r="H4642" s="87" t="s">
        <v>704</v>
      </c>
      <c r="I4642" s="87">
        <v>36</v>
      </c>
    </row>
    <row r="4643" spans="1:9" x14ac:dyDescent="0.25">
      <c r="A4643" s="87" t="s">
        <v>88</v>
      </c>
      <c r="B4643" s="87" t="s">
        <v>424</v>
      </c>
      <c r="C4643" s="87">
        <v>2008</v>
      </c>
      <c r="D4643" s="87" t="s">
        <v>18</v>
      </c>
      <c r="E4643" s="116">
        <v>52</v>
      </c>
      <c r="F4643" s="87" t="s">
        <v>967</v>
      </c>
      <c r="G4643" s="87" t="s">
        <v>272</v>
      </c>
      <c r="H4643" s="87" t="s">
        <v>967</v>
      </c>
      <c r="I4643" s="87">
        <v>36</v>
      </c>
    </row>
    <row r="4644" spans="1:9" x14ac:dyDescent="0.25">
      <c r="A4644" s="87" t="s">
        <v>88</v>
      </c>
      <c r="B4644" s="87" t="s">
        <v>424</v>
      </c>
      <c r="C4644" s="87">
        <v>2009</v>
      </c>
      <c r="D4644" s="87" t="s">
        <v>18</v>
      </c>
      <c r="E4644" s="116">
        <v>214</v>
      </c>
      <c r="F4644" s="87" t="s">
        <v>967</v>
      </c>
      <c r="G4644" s="87" t="s">
        <v>272</v>
      </c>
      <c r="H4644" s="87" t="s">
        <v>967</v>
      </c>
      <c r="I4644" s="87">
        <v>36</v>
      </c>
    </row>
    <row r="4645" spans="1:9" x14ac:dyDescent="0.25">
      <c r="A4645" s="87" t="s">
        <v>88</v>
      </c>
      <c r="B4645" s="87" t="s">
        <v>424</v>
      </c>
      <c r="C4645" s="87">
        <v>2010</v>
      </c>
      <c r="D4645" s="87" t="s">
        <v>18</v>
      </c>
      <c r="E4645" s="116">
        <v>6</v>
      </c>
      <c r="F4645" s="87" t="s">
        <v>967</v>
      </c>
      <c r="G4645" s="87" t="s">
        <v>272</v>
      </c>
      <c r="H4645" s="87" t="s">
        <v>967</v>
      </c>
      <c r="I4645" s="87">
        <v>36</v>
      </c>
    </row>
    <row r="4646" spans="1:9" x14ac:dyDescent="0.25">
      <c r="A4646" s="87" t="s">
        <v>88</v>
      </c>
      <c r="B4646" s="87" t="s">
        <v>424</v>
      </c>
      <c r="C4646" s="87">
        <v>2011</v>
      </c>
      <c r="D4646" s="87" t="s">
        <v>18</v>
      </c>
      <c r="E4646" s="116">
        <v>65</v>
      </c>
      <c r="F4646" s="87" t="s">
        <v>967</v>
      </c>
      <c r="G4646" s="87" t="s">
        <v>272</v>
      </c>
      <c r="H4646" s="87" t="s">
        <v>967</v>
      </c>
      <c r="I4646" s="87">
        <v>36</v>
      </c>
    </row>
    <row r="4647" spans="1:9" x14ac:dyDescent="0.25">
      <c r="A4647" s="87" t="s">
        <v>88</v>
      </c>
      <c r="B4647" s="87" t="s">
        <v>424</v>
      </c>
      <c r="C4647" s="87">
        <v>2012</v>
      </c>
      <c r="D4647" s="87" t="s">
        <v>18</v>
      </c>
      <c r="E4647" s="116">
        <v>46</v>
      </c>
      <c r="F4647" s="87" t="s">
        <v>967</v>
      </c>
      <c r="G4647" s="87" t="s">
        <v>272</v>
      </c>
      <c r="H4647" s="87" t="s">
        <v>967</v>
      </c>
      <c r="I4647" s="87">
        <v>36</v>
      </c>
    </row>
    <row r="4648" spans="1:9" x14ac:dyDescent="0.25">
      <c r="A4648" s="87" t="s">
        <v>88</v>
      </c>
      <c r="B4648" s="87" t="s">
        <v>424</v>
      </c>
      <c r="C4648" s="87">
        <v>2013</v>
      </c>
      <c r="D4648" s="87" t="s">
        <v>18</v>
      </c>
      <c r="E4648" s="116">
        <v>38</v>
      </c>
      <c r="F4648" s="87" t="s">
        <v>967</v>
      </c>
      <c r="G4648" s="87" t="s">
        <v>272</v>
      </c>
      <c r="H4648" s="87" t="s">
        <v>967</v>
      </c>
      <c r="I4648" s="87">
        <v>36</v>
      </c>
    </row>
    <row r="4649" spans="1:9" x14ac:dyDescent="0.25">
      <c r="A4649" s="87" t="s">
        <v>88</v>
      </c>
      <c r="B4649" s="87" t="s">
        <v>424</v>
      </c>
      <c r="C4649" s="87">
        <v>2014</v>
      </c>
      <c r="D4649" s="87" t="s">
        <v>18</v>
      </c>
      <c r="E4649" s="116">
        <v>62</v>
      </c>
      <c r="F4649" s="87" t="s">
        <v>967</v>
      </c>
      <c r="G4649" s="87" t="s">
        <v>272</v>
      </c>
      <c r="H4649" s="87" t="s">
        <v>967</v>
      </c>
      <c r="I4649" s="87">
        <v>36</v>
      </c>
    </row>
    <row r="4650" spans="1:9" x14ac:dyDescent="0.25">
      <c r="A4650" s="87" t="s">
        <v>88</v>
      </c>
      <c r="B4650" s="87" t="s">
        <v>424</v>
      </c>
      <c r="C4650" s="87">
        <v>2015</v>
      </c>
      <c r="D4650" s="87" t="s">
        <v>18</v>
      </c>
      <c r="E4650" s="116">
        <v>105</v>
      </c>
      <c r="F4650" s="87" t="s">
        <v>967</v>
      </c>
      <c r="G4650" s="87" t="s">
        <v>272</v>
      </c>
      <c r="H4650" s="87" t="s">
        <v>705</v>
      </c>
      <c r="I4650" s="87">
        <v>36</v>
      </c>
    </row>
    <row r="4651" spans="1:9" x14ac:dyDescent="0.25">
      <c r="A4651" s="87" t="s">
        <v>88</v>
      </c>
      <c r="B4651" s="87" t="s">
        <v>424</v>
      </c>
      <c r="C4651" s="87">
        <v>2016</v>
      </c>
      <c r="D4651" s="87" t="s">
        <v>18</v>
      </c>
      <c r="E4651" s="116">
        <v>2</v>
      </c>
      <c r="F4651" s="87" t="s">
        <v>967</v>
      </c>
      <c r="G4651" s="87" t="s">
        <v>272</v>
      </c>
      <c r="H4651" s="87" t="s">
        <v>706</v>
      </c>
      <c r="I4651" s="87">
        <v>36</v>
      </c>
    </row>
    <row r="4652" spans="1:9" x14ac:dyDescent="0.25">
      <c r="A4652" s="87" t="s">
        <v>88</v>
      </c>
      <c r="B4652" s="87" t="s">
        <v>424</v>
      </c>
      <c r="C4652" s="87">
        <v>2017</v>
      </c>
      <c r="D4652" s="87" t="s">
        <v>18</v>
      </c>
      <c r="E4652" s="116">
        <v>2</v>
      </c>
      <c r="F4652" s="87" t="s">
        <v>967</v>
      </c>
      <c r="G4652" s="87" t="s">
        <v>272</v>
      </c>
      <c r="H4652" s="87" t="s">
        <v>967</v>
      </c>
      <c r="I4652" s="87">
        <v>36</v>
      </c>
    </row>
    <row r="4653" spans="1:9" x14ac:dyDescent="0.25">
      <c r="A4653" s="87" t="s">
        <v>88</v>
      </c>
      <c r="B4653" s="87" t="s">
        <v>424</v>
      </c>
      <c r="C4653" s="87">
        <v>2018</v>
      </c>
      <c r="D4653" s="87" t="s">
        <v>18</v>
      </c>
      <c r="E4653" s="116">
        <v>0</v>
      </c>
      <c r="F4653" s="87" t="s">
        <v>967</v>
      </c>
      <c r="G4653" s="87" t="s">
        <v>272</v>
      </c>
      <c r="H4653" s="87" t="s">
        <v>967</v>
      </c>
      <c r="I4653" s="87">
        <v>36</v>
      </c>
    </row>
    <row r="4654" spans="1:9" x14ac:dyDescent="0.25">
      <c r="A4654" s="87" t="s">
        <v>88</v>
      </c>
      <c r="B4654" s="87" t="s">
        <v>424</v>
      </c>
      <c r="C4654" s="87">
        <v>2019</v>
      </c>
      <c r="D4654" s="87" t="s">
        <v>18</v>
      </c>
      <c r="E4654" s="116">
        <v>26</v>
      </c>
      <c r="F4654" s="87" t="s">
        <v>967</v>
      </c>
      <c r="G4654" s="87" t="s">
        <v>272</v>
      </c>
      <c r="H4654" s="87" t="s">
        <v>967</v>
      </c>
      <c r="I4654" s="87">
        <v>36</v>
      </c>
    </row>
    <row r="4655" spans="1:9" x14ac:dyDescent="0.25">
      <c r="A4655" s="87" t="s">
        <v>88</v>
      </c>
      <c r="B4655" s="87" t="s">
        <v>424</v>
      </c>
      <c r="C4655" s="87">
        <v>2020</v>
      </c>
      <c r="D4655" s="87" t="s">
        <v>18</v>
      </c>
      <c r="E4655" s="116">
        <v>17</v>
      </c>
      <c r="F4655" s="87" t="s">
        <v>967</v>
      </c>
      <c r="G4655" s="87" t="s">
        <v>272</v>
      </c>
      <c r="H4655" s="87" t="s">
        <v>967</v>
      </c>
      <c r="I4655" s="87">
        <v>36</v>
      </c>
    </row>
    <row r="4656" spans="1:9" x14ac:dyDescent="0.25">
      <c r="A4656" s="87" t="s">
        <v>88</v>
      </c>
      <c r="B4656" s="87" t="s">
        <v>424</v>
      </c>
      <c r="C4656" s="87">
        <v>2021</v>
      </c>
      <c r="D4656" s="87" t="s">
        <v>18</v>
      </c>
      <c r="E4656" s="116">
        <v>35</v>
      </c>
      <c r="F4656" s="87" t="s">
        <v>967</v>
      </c>
      <c r="G4656" s="87" t="s">
        <v>272</v>
      </c>
      <c r="H4656" s="87" t="s">
        <v>967</v>
      </c>
      <c r="I4656" s="87">
        <v>36</v>
      </c>
    </row>
    <row r="4657" spans="1:9" x14ac:dyDescent="0.25">
      <c r="A4657" s="87" t="s">
        <v>88</v>
      </c>
      <c r="B4657" s="87" t="s">
        <v>424</v>
      </c>
      <c r="C4657" s="87">
        <v>2022</v>
      </c>
      <c r="D4657" s="87" t="s">
        <v>18</v>
      </c>
      <c r="E4657" s="116">
        <v>18</v>
      </c>
      <c r="F4657" s="87" t="s">
        <v>967</v>
      </c>
      <c r="G4657" s="87" t="s">
        <v>272</v>
      </c>
      <c r="H4657" s="87" t="s">
        <v>967</v>
      </c>
      <c r="I4657" s="87">
        <v>36</v>
      </c>
    </row>
    <row r="4658" spans="1:9" x14ac:dyDescent="0.25">
      <c r="A4658" s="87" t="s">
        <v>88</v>
      </c>
      <c r="B4658" s="87" t="s">
        <v>426</v>
      </c>
      <c r="C4658" s="87">
        <v>1975</v>
      </c>
      <c r="D4658" s="87" t="s">
        <v>18</v>
      </c>
      <c r="E4658" s="116">
        <v>750</v>
      </c>
      <c r="F4658" s="87" t="s">
        <v>508</v>
      </c>
      <c r="G4658" s="87" t="s">
        <v>967</v>
      </c>
      <c r="H4658" s="87" t="s">
        <v>508</v>
      </c>
      <c r="I4658" s="87">
        <v>42</v>
      </c>
    </row>
    <row r="4659" spans="1:9" x14ac:dyDescent="0.25">
      <c r="A4659" s="87" t="s">
        <v>88</v>
      </c>
      <c r="B4659" s="87" t="s">
        <v>426</v>
      </c>
      <c r="C4659" s="87">
        <v>1976</v>
      </c>
      <c r="D4659" s="87" t="s">
        <v>18</v>
      </c>
      <c r="E4659" s="116">
        <v>2500</v>
      </c>
      <c r="F4659" s="87" t="s">
        <v>508</v>
      </c>
      <c r="G4659" s="87" t="s">
        <v>967</v>
      </c>
      <c r="H4659" s="87" t="s">
        <v>508</v>
      </c>
      <c r="I4659" s="87">
        <v>42</v>
      </c>
    </row>
    <row r="4660" spans="1:9" x14ac:dyDescent="0.25">
      <c r="A4660" s="87" t="s">
        <v>88</v>
      </c>
      <c r="B4660" s="87" t="s">
        <v>426</v>
      </c>
      <c r="C4660" s="87">
        <v>1977</v>
      </c>
      <c r="D4660" s="87" t="s">
        <v>18</v>
      </c>
      <c r="E4660" s="116">
        <v>2250</v>
      </c>
      <c r="F4660" s="87" t="s">
        <v>508</v>
      </c>
      <c r="G4660" s="87" t="s">
        <v>967</v>
      </c>
      <c r="H4660" s="87" t="s">
        <v>508</v>
      </c>
      <c r="I4660" s="87">
        <v>42</v>
      </c>
    </row>
    <row r="4661" spans="1:9" x14ac:dyDescent="0.25">
      <c r="A4661" s="87" t="s">
        <v>88</v>
      </c>
      <c r="B4661" s="87" t="s">
        <v>426</v>
      </c>
      <c r="C4661" s="87">
        <v>1978</v>
      </c>
      <c r="D4661" s="87" t="s">
        <v>18</v>
      </c>
      <c r="E4661" s="116">
        <v>2500</v>
      </c>
      <c r="F4661" s="87" t="s">
        <v>508</v>
      </c>
      <c r="G4661" s="87" t="s">
        <v>967</v>
      </c>
      <c r="H4661" s="87" t="s">
        <v>508</v>
      </c>
      <c r="I4661" s="87">
        <v>42</v>
      </c>
    </row>
    <row r="4662" spans="1:9" x14ac:dyDescent="0.25">
      <c r="A4662" s="87" t="s">
        <v>88</v>
      </c>
      <c r="B4662" s="87" t="s">
        <v>426</v>
      </c>
      <c r="C4662" s="87">
        <v>1979</v>
      </c>
      <c r="D4662" s="87" t="s">
        <v>18</v>
      </c>
      <c r="E4662" s="116">
        <v>1200</v>
      </c>
      <c r="F4662" s="87" t="s">
        <v>508</v>
      </c>
      <c r="G4662" s="87" t="s">
        <v>967</v>
      </c>
      <c r="H4662" s="87" t="s">
        <v>508</v>
      </c>
      <c r="I4662" s="87">
        <v>42</v>
      </c>
    </row>
    <row r="4663" spans="1:9" x14ac:dyDescent="0.25">
      <c r="A4663" s="87" t="s">
        <v>88</v>
      </c>
      <c r="B4663" s="87" t="s">
        <v>426</v>
      </c>
      <c r="C4663" s="87">
        <v>1980</v>
      </c>
      <c r="D4663" s="87" t="s">
        <v>18</v>
      </c>
      <c r="E4663" s="116">
        <v>750</v>
      </c>
      <c r="F4663" s="87" t="s">
        <v>508</v>
      </c>
      <c r="G4663" s="87" t="s">
        <v>967</v>
      </c>
      <c r="H4663" s="87" t="s">
        <v>508</v>
      </c>
      <c r="I4663" s="87">
        <v>42</v>
      </c>
    </row>
    <row r="4664" spans="1:9" x14ac:dyDescent="0.25">
      <c r="A4664" s="87" t="s">
        <v>88</v>
      </c>
      <c r="B4664" s="87" t="s">
        <v>426</v>
      </c>
      <c r="C4664" s="87">
        <v>1981</v>
      </c>
      <c r="D4664" s="87" t="s">
        <v>18</v>
      </c>
      <c r="E4664" s="116">
        <v>2250</v>
      </c>
      <c r="F4664" s="87" t="s">
        <v>508</v>
      </c>
      <c r="G4664" s="87" t="s">
        <v>967</v>
      </c>
      <c r="H4664" s="87" t="s">
        <v>508</v>
      </c>
      <c r="I4664" s="87">
        <v>42</v>
      </c>
    </row>
    <row r="4665" spans="1:9" x14ac:dyDescent="0.25">
      <c r="A4665" s="87" t="s">
        <v>88</v>
      </c>
      <c r="B4665" s="87" t="s">
        <v>426</v>
      </c>
      <c r="C4665" s="87">
        <v>1982</v>
      </c>
      <c r="D4665" s="87" t="s">
        <v>18</v>
      </c>
      <c r="E4665" s="116">
        <v>2500</v>
      </c>
      <c r="F4665" s="87" t="s">
        <v>508</v>
      </c>
      <c r="G4665" s="87" t="s">
        <v>967</v>
      </c>
      <c r="H4665" s="87" t="s">
        <v>508</v>
      </c>
      <c r="I4665" s="87">
        <v>42</v>
      </c>
    </row>
    <row r="4666" spans="1:9" x14ac:dyDescent="0.25">
      <c r="A4666" s="87" t="s">
        <v>88</v>
      </c>
      <c r="B4666" s="87" t="s">
        <v>426</v>
      </c>
      <c r="C4666" s="87">
        <v>1983</v>
      </c>
      <c r="D4666" s="87" t="s">
        <v>18</v>
      </c>
      <c r="E4666" s="116">
        <v>2500</v>
      </c>
      <c r="F4666" s="87" t="s">
        <v>508</v>
      </c>
      <c r="G4666" s="87" t="s">
        <v>967</v>
      </c>
      <c r="H4666" s="87" t="s">
        <v>508</v>
      </c>
      <c r="I4666" s="87">
        <v>42</v>
      </c>
    </row>
    <row r="4667" spans="1:9" x14ac:dyDescent="0.25">
      <c r="A4667" s="87" t="s">
        <v>88</v>
      </c>
      <c r="B4667" s="87" t="s">
        <v>426</v>
      </c>
      <c r="C4667" s="87">
        <v>1984</v>
      </c>
      <c r="D4667" s="87" t="s">
        <v>18</v>
      </c>
      <c r="E4667" s="116">
        <v>1200</v>
      </c>
      <c r="F4667" s="87" t="s">
        <v>508</v>
      </c>
      <c r="G4667" s="87" t="s">
        <v>967</v>
      </c>
      <c r="H4667" s="87" t="s">
        <v>508</v>
      </c>
      <c r="I4667" s="87">
        <v>42</v>
      </c>
    </row>
    <row r="4668" spans="1:9" x14ac:dyDescent="0.25">
      <c r="A4668" s="87" t="s">
        <v>88</v>
      </c>
      <c r="B4668" s="87" t="s">
        <v>426</v>
      </c>
      <c r="C4668" s="87">
        <v>1985</v>
      </c>
      <c r="D4668" s="87" t="s">
        <v>18</v>
      </c>
      <c r="E4668" s="116">
        <v>1500</v>
      </c>
      <c r="F4668" s="87" t="s">
        <v>508</v>
      </c>
      <c r="G4668" s="87" t="s">
        <v>967</v>
      </c>
      <c r="H4668" s="87" t="s">
        <v>508</v>
      </c>
      <c r="I4668" s="87">
        <v>42</v>
      </c>
    </row>
    <row r="4669" spans="1:9" x14ac:dyDescent="0.25">
      <c r="A4669" s="87" t="s">
        <v>88</v>
      </c>
      <c r="B4669" s="87" t="s">
        <v>426</v>
      </c>
      <c r="C4669" s="87">
        <v>1986</v>
      </c>
      <c r="D4669" s="87" t="s">
        <v>18</v>
      </c>
      <c r="E4669" s="116">
        <v>2500</v>
      </c>
      <c r="F4669" s="87" t="s">
        <v>508</v>
      </c>
      <c r="G4669" s="87" t="s">
        <v>967</v>
      </c>
      <c r="H4669" s="87" t="s">
        <v>508</v>
      </c>
      <c r="I4669" s="87">
        <v>42</v>
      </c>
    </row>
    <row r="4670" spans="1:9" x14ac:dyDescent="0.25">
      <c r="A4670" s="87" t="s">
        <v>88</v>
      </c>
      <c r="B4670" s="87" t="s">
        <v>426</v>
      </c>
      <c r="C4670" s="87">
        <v>1987</v>
      </c>
      <c r="D4670" s="87" t="s">
        <v>18</v>
      </c>
      <c r="E4670" s="116">
        <v>2500</v>
      </c>
      <c r="F4670" s="87" t="s">
        <v>508</v>
      </c>
      <c r="G4670" s="87" t="s">
        <v>967</v>
      </c>
      <c r="H4670" s="87" t="s">
        <v>508</v>
      </c>
      <c r="I4670" s="87">
        <v>42</v>
      </c>
    </row>
    <row r="4671" spans="1:9" x14ac:dyDescent="0.25">
      <c r="A4671" s="87" t="s">
        <v>88</v>
      </c>
      <c r="B4671" s="87" t="s">
        <v>426</v>
      </c>
      <c r="C4671" s="87">
        <v>1988</v>
      </c>
      <c r="D4671" s="87" t="s">
        <v>18</v>
      </c>
      <c r="E4671" s="116">
        <v>2000</v>
      </c>
      <c r="F4671" s="87" t="s">
        <v>508</v>
      </c>
      <c r="G4671" s="87" t="s">
        <v>967</v>
      </c>
      <c r="H4671" s="87" t="s">
        <v>508</v>
      </c>
      <c r="I4671" s="87">
        <v>42</v>
      </c>
    </row>
    <row r="4672" spans="1:9" x14ac:dyDescent="0.25">
      <c r="A4672" s="87" t="s">
        <v>88</v>
      </c>
      <c r="B4672" s="87" t="s">
        <v>426</v>
      </c>
      <c r="C4672" s="87">
        <v>1989</v>
      </c>
      <c r="D4672" s="87" t="s">
        <v>18</v>
      </c>
      <c r="E4672" s="116">
        <v>1000</v>
      </c>
      <c r="F4672" s="87" t="s">
        <v>508</v>
      </c>
      <c r="G4672" s="87" t="s">
        <v>967</v>
      </c>
      <c r="H4672" s="87" t="s">
        <v>508</v>
      </c>
      <c r="I4672" s="87">
        <v>42</v>
      </c>
    </row>
    <row r="4673" spans="1:9" x14ac:dyDescent="0.25">
      <c r="A4673" s="87" t="s">
        <v>88</v>
      </c>
      <c r="B4673" s="87" t="s">
        <v>426</v>
      </c>
      <c r="C4673" s="87">
        <v>1990</v>
      </c>
      <c r="D4673" s="87" t="s">
        <v>18</v>
      </c>
      <c r="E4673" s="116">
        <v>1500</v>
      </c>
      <c r="F4673" s="87" t="s">
        <v>508</v>
      </c>
      <c r="G4673" s="87" t="s">
        <v>967</v>
      </c>
      <c r="H4673" s="87" t="s">
        <v>508</v>
      </c>
      <c r="I4673" s="87">
        <v>42</v>
      </c>
    </row>
    <row r="4674" spans="1:9" x14ac:dyDescent="0.25">
      <c r="A4674" s="87" t="s">
        <v>88</v>
      </c>
      <c r="B4674" s="87" t="s">
        <v>426</v>
      </c>
      <c r="C4674" s="87">
        <v>1991</v>
      </c>
      <c r="D4674" s="87" t="s">
        <v>18</v>
      </c>
      <c r="E4674" s="116">
        <v>2183</v>
      </c>
      <c r="F4674" s="87" t="s">
        <v>508</v>
      </c>
      <c r="G4674" s="87" t="s">
        <v>967</v>
      </c>
      <c r="H4674" s="87" t="s">
        <v>508</v>
      </c>
      <c r="I4674" s="87">
        <v>42</v>
      </c>
    </row>
    <row r="4675" spans="1:9" x14ac:dyDescent="0.25">
      <c r="A4675" s="87" t="s">
        <v>88</v>
      </c>
      <c r="B4675" s="87" t="s">
        <v>426</v>
      </c>
      <c r="C4675" s="87">
        <v>1992</v>
      </c>
      <c r="D4675" s="87" t="s">
        <v>18</v>
      </c>
      <c r="E4675" s="116">
        <v>2020</v>
      </c>
      <c r="F4675" s="87" t="s">
        <v>508</v>
      </c>
      <c r="G4675" s="87" t="s">
        <v>967</v>
      </c>
      <c r="H4675" s="87" t="s">
        <v>508</v>
      </c>
      <c r="I4675" s="87">
        <v>42</v>
      </c>
    </row>
    <row r="4676" spans="1:9" x14ac:dyDescent="0.25">
      <c r="A4676" s="87" t="s">
        <v>88</v>
      </c>
      <c r="B4676" s="87" t="s">
        <v>426</v>
      </c>
      <c r="C4676" s="87">
        <v>1993</v>
      </c>
      <c r="D4676" s="87" t="s">
        <v>18</v>
      </c>
      <c r="E4676" s="116">
        <v>2400</v>
      </c>
      <c r="F4676" s="87" t="s">
        <v>508</v>
      </c>
      <c r="G4676" s="87" t="s">
        <v>967</v>
      </c>
      <c r="H4676" s="87" t="s">
        <v>508</v>
      </c>
      <c r="I4676" s="87">
        <v>42</v>
      </c>
    </row>
    <row r="4677" spans="1:9" x14ac:dyDescent="0.25">
      <c r="A4677" s="87" t="s">
        <v>88</v>
      </c>
      <c r="B4677" s="87" t="s">
        <v>426</v>
      </c>
      <c r="C4677" s="87">
        <v>1994</v>
      </c>
      <c r="D4677" s="87" t="s">
        <v>18</v>
      </c>
      <c r="E4677" s="116">
        <v>4164</v>
      </c>
      <c r="F4677" s="87" t="s">
        <v>508</v>
      </c>
      <c r="G4677" s="87" t="s">
        <v>967</v>
      </c>
      <c r="H4677" s="87" t="s">
        <v>508</v>
      </c>
      <c r="I4677" s="87">
        <v>42</v>
      </c>
    </row>
    <row r="4678" spans="1:9" x14ac:dyDescent="0.25">
      <c r="A4678" s="87" t="s">
        <v>88</v>
      </c>
      <c r="B4678" s="87" t="s">
        <v>426</v>
      </c>
      <c r="C4678" s="87">
        <v>1995</v>
      </c>
      <c r="D4678" s="87" t="s">
        <v>18</v>
      </c>
      <c r="E4678" s="116">
        <v>-1</v>
      </c>
      <c r="F4678" s="87" t="s">
        <v>586</v>
      </c>
      <c r="G4678" s="87" t="s">
        <v>967</v>
      </c>
      <c r="H4678" s="87" t="s">
        <v>586</v>
      </c>
      <c r="I4678" s="87">
        <v>42</v>
      </c>
    </row>
    <row r="4679" spans="1:9" x14ac:dyDescent="0.25">
      <c r="A4679" s="87" t="s">
        <v>88</v>
      </c>
      <c r="B4679" s="87" t="s">
        <v>426</v>
      </c>
      <c r="C4679" s="87">
        <v>1996</v>
      </c>
      <c r="D4679" s="87" t="s">
        <v>18</v>
      </c>
      <c r="E4679" s="116">
        <v>2375</v>
      </c>
      <c r="F4679" s="87" t="s">
        <v>967</v>
      </c>
      <c r="G4679" s="87" t="s">
        <v>967</v>
      </c>
      <c r="H4679" s="87" t="s">
        <v>967</v>
      </c>
      <c r="I4679" s="87">
        <v>42</v>
      </c>
    </row>
    <row r="4680" spans="1:9" x14ac:dyDescent="0.25">
      <c r="A4680" s="87" t="s">
        <v>88</v>
      </c>
      <c r="B4680" s="87" t="s">
        <v>426</v>
      </c>
      <c r="C4680" s="87">
        <v>1997</v>
      </c>
      <c r="D4680" s="87" t="s">
        <v>18</v>
      </c>
      <c r="E4680" s="116">
        <v>2130</v>
      </c>
      <c r="F4680" s="87" t="s">
        <v>967</v>
      </c>
      <c r="G4680" s="87" t="s">
        <v>967</v>
      </c>
      <c r="H4680" s="87" t="s">
        <v>967</v>
      </c>
      <c r="I4680" s="87">
        <v>42</v>
      </c>
    </row>
    <row r="4681" spans="1:9" x14ac:dyDescent="0.25">
      <c r="A4681" s="87" t="s">
        <v>88</v>
      </c>
      <c r="B4681" s="87" t="s">
        <v>426</v>
      </c>
      <c r="C4681" s="87">
        <v>1998</v>
      </c>
      <c r="D4681" s="87" t="s">
        <v>18</v>
      </c>
      <c r="E4681" s="116">
        <v>2156</v>
      </c>
      <c r="F4681" s="87" t="s">
        <v>967</v>
      </c>
      <c r="G4681" s="87" t="s">
        <v>272</v>
      </c>
      <c r="H4681" s="87" t="s">
        <v>737</v>
      </c>
      <c r="I4681" s="87">
        <v>42</v>
      </c>
    </row>
    <row r="4682" spans="1:9" x14ac:dyDescent="0.25">
      <c r="A4682" s="87" t="s">
        <v>88</v>
      </c>
      <c r="B4682" s="87" t="s">
        <v>426</v>
      </c>
      <c r="C4682" s="87">
        <v>1999</v>
      </c>
      <c r="D4682" s="87" t="s">
        <v>18</v>
      </c>
      <c r="E4682" s="116">
        <v>3375</v>
      </c>
      <c r="F4682" s="87" t="s">
        <v>967</v>
      </c>
      <c r="G4682" s="87" t="s">
        <v>967</v>
      </c>
      <c r="H4682" s="87" t="s">
        <v>738</v>
      </c>
      <c r="I4682" s="87">
        <v>42</v>
      </c>
    </row>
    <row r="4683" spans="1:9" x14ac:dyDescent="0.25">
      <c r="A4683" s="87" t="s">
        <v>88</v>
      </c>
      <c r="B4683" s="87" t="s">
        <v>426</v>
      </c>
      <c r="C4683" s="87">
        <v>2000</v>
      </c>
      <c r="D4683" s="87" t="s">
        <v>18</v>
      </c>
      <c r="E4683" s="116">
        <v>11678</v>
      </c>
      <c r="F4683" s="87" t="s">
        <v>918</v>
      </c>
      <c r="G4683" s="87" t="s">
        <v>967</v>
      </c>
      <c r="H4683" s="87" t="s">
        <v>950</v>
      </c>
      <c r="I4683" s="87">
        <v>42</v>
      </c>
    </row>
    <row r="4684" spans="1:9" x14ac:dyDescent="0.25">
      <c r="A4684" s="87" t="s">
        <v>88</v>
      </c>
      <c r="B4684" s="87" t="s">
        <v>426</v>
      </c>
      <c r="C4684" s="87">
        <v>2001</v>
      </c>
      <c r="D4684" s="87" t="s">
        <v>18</v>
      </c>
      <c r="E4684" s="116">
        <v>11959</v>
      </c>
      <c r="F4684" s="87" t="s">
        <v>918</v>
      </c>
      <c r="G4684" s="87" t="s">
        <v>967</v>
      </c>
      <c r="H4684" s="87" t="s">
        <v>950</v>
      </c>
      <c r="I4684" s="87">
        <v>42</v>
      </c>
    </row>
    <row r="4685" spans="1:9" x14ac:dyDescent="0.25">
      <c r="A4685" s="87" t="s">
        <v>88</v>
      </c>
      <c r="B4685" s="87" t="s">
        <v>426</v>
      </c>
      <c r="C4685" s="87">
        <v>2002</v>
      </c>
      <c r="D4685" s="87" t="s">
        <v>18</v>
      </c>
      <c r="E4685" s="116">
        <v>2669</v>
      </c>
      <c r="F4685" s="87" t="s">
        <v>967</v>
      </c>
      <c r="G4685" s="87" t="s">
        <v>967</v>
      </c>
      <c r="H4685" s="87" t="s">
        <v>739</v>
      </c>
      <c r="I4685" s="87">
        <v>42</v>
      </c>
    </row>
    <row r="4686" spans="1:9" x14ac:dyDescent="0.25">
      <c r="A4686" s="87" t="s">
        <v>88</v>
      </c>
      <c r="B4686" s="87" t="s">
        <v>426</v>
      </c>
      <c r="C4686" s="87">
        <v>2003</v>
      </c>
      <c r="D4686" s="87" t="s">
        <v>18</v>
      </c>
      <c r="E4686" s="116">
        <v>1989</v>
      </c>
      <c r="F4686" s="87" t="s">
        <v>967</v>
      </c>
      <c r="G4686" s="87" t="s">
        <v>272</v>
      </c>
      <c r="H4686" s="87" t="s">
        <v>967</v>
      </c>
      <c r="I4686" s="87">
        <v>42</v>
      </c>
    </row>
    <row r="4687" spans="1:9" x14ac:dyDescent="0.25">
      <c r="A4687" s="87" t="s">
        <v>88</v>
      </c>
      <c r="B4687" s="87" t="s">
        <v>426</v>
      </c>
      <c r="C4687" s="87">
        <v>2004</v>
      </c>
      <c r="D4687" s="87" t="s">
        <v>18</v>
      </c>
      <c r="E4687" s="116">
        <v>2040</v>
      </c>
      <c r="F4687" s="87" t="s">
        <v>967</v>
      </c>
      <c r="G4687" s="87" t="s">
        <v>967</v>
      </c>
      <c r="H4687" s="87" t="s">
        <v>967</v>
      </c>
      <c r="I4687" s="87">
        <v>42</v>
      </c>
    </row>
    <row r="4688" spans="1:9" x14ac:dyDescent="0.25">
      <c r="A4688" s="87" t="s">
        <v>88</v>
      </c>
      <c r="B4688" s="87" t="s">
        <v>426</v>
      </c>
      <c r="C4688" s="87">
        <v>2005</v>
      </c>
      <c r="D4688" s="87" t="s">
        <v>18</v>
      </c>
      <c r="E4688" s="116">
        <v>990</v>
      </c>
      <c r="F4688" s="87" t="s">
        <v>967</v>
      </c>
      <c r="G4688" s="87" t="s">
        <v>967</v>
      </c>
      <c r="H4688" s="87" t="s">
        <v>967</v>
      </c>
      <c r="I4688" s="87">
        <v>42</v>
      </c>
    </row>
    <row r="4689" spans="1:9" x14ac:dyDescent="0.25">
      <c r="A4689" s="87" t="s">
        <v>88</v>
      </c>
      <c r="B4689" s="87" t="s">
        <v>426</v>
      </c>
      <c r="C4689" s="87">
        <v>2006</v>
      </c>
      <c r="D4689" s="87" t="s">
        <v>18</v>
      </c>
      <c r="E4689" s="116">
        <v>8088</v>
      </c>
      <c r="F4689" s="87" t="s">
        <v>918</v>
      </c>
      <c r="G4689" s="87" t="s">
        <v>967</v>
      </c>
      <c r="H4689" s="87" t="s">
        <v>950</v>
      </c>
      <c r="I4689" s="87">
        <v>42</v>
      </c>
    </row>
    <row r="4690" spans="1:9" x14ac:dyDescent="0.25">
      <c r="A4690" s="87" t="s">
        <v>88</v>
      </c>
      <c r="B4690" s="87" t="s">
        <v>426</v>
      </c>
      <c r="C4690" s="87">
        <v>2007</v>
      </c>
      <c r="D4690" s="87" t="s">
        <v>18</v>
      </c>
      <c r="E4690" s="116">
        <v>-1</v>
      </c>
      <c r="F4690" s="87" t="s">
        <v>967</v>
      </c>
      <c r="G4690" s="87" t="s">
        <v>967</v>
      </c>
      <c r="H4690" s="87" t="s">
        <v>967</v>
      </c>
      <c r="I4690" s="87">
        <v>42</v>
      </c>
    </row>
    <row r="4691" spans="1:9" x14ac:dyDescent="0.25">
      <c r="A4691" s="87" t="s">
        <v>88</v>
      </c>
      <c r="B4691" s="87" t="s">
        <v>426</v>
      </c>
      <c r="C4691" s="87">
        <v>2008</v>
      </c>
      <c r="D4691" s="87" t="s">
        <v>18</v>
      </c>
      <c r="E4691" s="116">
        <v>1304</v>
      </c>
      <c r="F4691" s="87" t="s">
        <v>918</v>
      </c>
      <c r="G4691" s="87" t="s">
        <v>967</v>
      </c>
      <c r="H4691" s="87" t="s">
        <v>950</v>
      </c>
      <c r="I4691" s="87">
        <v>42</v>
      </c>
    </row>
    <row r="4692" spans="1:9" x14ac:dyDescent="0.25">
      <c r="A4692" s="87" t="s">
        <v>88</v>
      </c>
      <c r="B4692" s="87" t="s">
        <v>426</v>
      </c>
      <c r="C4692" s="87">
        <v>2009</v>
      </c>
      <c r="D4692" s="87" t="s">
        <v>18</v>
      </c>
      <c r="E4692" s="116">
        <v>-1</v>
      </c>
      <c r="F4692" s="87" t="s">
        <v>967</v>
      </c>
      <c r="G4692" s="87" t="s">
        <v>967</v>
      </c>
      <c r="H4692" s="87" t="s">
        <v>967</v>
      </c>
      <c r="I4692" s="87">
        <v>42</v>
      </c>
    </row>
    <row r="4693" spans="1:9" x14ac:dyDescent="0.25">
      <c r="A4693" s="87" t="s">
        <v>88</v>
      </c>
      <c r="B4693" s="87" t="s">
        <v>426</v>
      </c>
      <c r="C4693" s="87">
        <v>2010</v>
      </c>
      <c r="D4693" s="87" t="s">
        <v>18</v>
      </c>
      <c r="E4693" s="116">
        <v>406</v>
      </c>
      <c r="F4693" s="87" t="s">
        <v>918</v>
      </c>
      <c r="G4693" s="87" t="s">
        <v>967</v>
      </c>
      <c r="H4693" s="87" t="s">
        <v>950</v>
      </c>
      <c r="I4693" s="87">
        <v>42</v>
      </c>
    </row>
    <row r="4694" spans="1:9" x14ac:dyDescent="0.25">
      <c r="A4694" s="87" t="s">
        <v>88</v>
      </c>
      <c r="B4694" s="87" t="s">
        <v>426</v>
      </c>
      <c r="C4694" s="87">
        <v>2011</v>
      </c>
      <c r="D4694" s="87" t="s">
        <v>18</v>
      </c>
      <c r="E4694" s="116">
        <v>803</v>
      </c>
      <c r="F4694" s="87" t="s">
        <v>918</v>
      </c>
      <c r="G4694" s="87" t="s">
        <v>967</v>
      </c>
      <c r="H4694" s="87" t="s">
        <v>950</v>
      </c>
      <c r="I4694" s="87">
        <v>42</v>
      </c>
    </row>
    <row r="4695" spans="1:9" x14ac:dyDescent="0.25">
      <c r="A4695" s="87" t="s">
        <v>88</v>
      </c>
      <c r="B4695" s="87" t="s">
        <v>426</v>
      </c>
      <c r="C4695" s="87">
        <v>2012</v>
      </c>
      <c r="D4695" s="87" t="s">
        <v>18</v>
      </c>
      <c r="E4695" s="116">
        <v>238</v>
      </c>
      <c r="F4695" s="87" t="s">
        <v>918</v>
      </c>
      <c r="G4695" s="87" t="s">
        <v>967</v>
      </c>
      <c r="H4695" s="87" t="s">
        <v>950</v>
      </c>
      <c r="I4695" s="87">
        <v>42</v>
      </c>
    </row>
    <row r="4696" spans="1:9" x14ac:dyDescent="0.25">
      <c r="A4696" s="87" t="s">
        <v>88</v>
      </c>
      <c r="B4696" s="87" t="s">
        <v>426</v>
      </c>
      <c r="C4696" s="87">
        <v>2013</v>
      </c>
      <c r="D4696" s="87" t="s">
        <v>18</v>
      </c>
      <c r="E4696" s="116">
        <v>770</v>
      </c>
      <c r="F4696" s="87" t="s">
        <v>918</v>
      </c>
      <c r="G4696" s="87" t="s">
        <v>967</v>
      </c>
      <c r="H4696" s="87" t="s">
        <v>950</v>
      </c>
      <c r="I4696" s="87">
        <v>42</v>
      </c>
    </row>
    <row r="4697" spans="1:9" x14ac:dyDescent="0.25">
      <c r="A4697" s="87" t="s">
        <v>88</v>
      </c>
      <c r="B4697" s="87" t="s">
        <v>426</v>
      </c>
      <c r="C4697" s="87">
        <v>2014</v>
      </c>
      <c r="D4697" s="87" t="s">
        <v>18</v>
      </c>
      <c r="E4697" s="116">
        <v>412</v>
      </c>
      <c r="F4697" s="87" t="s">
        <v>918</v>
      </c>
      <c r="G4697" s="87" t="s">
        <v>967</v>
      </c>
      <c r="H4697" s="87" t="s">
        <v>950</v>
      </c>
      <c r="I4697" s="87">
        <v>42</v>
      </c>
    </row>
    <row r="4698" spans="1:9" x14ac:dyDescent="0.25">
      <c r="A4698" s="87" t="s">
        <v>88</v>
      </c>
      <c r="B4698" s="87" t="s">
        <v>426</v>
      </c>
      <c r="C4698" s="87">
        <v>2015</v>
      </c>
      <c r="D4698" s="87" t="s">
        <v>18</v>
      </c>
      <c r="E4698" s="116">
        <v>4659</v>
      </c>
      <c r="F4698" s="87" t="s">
        <v>918</v>
      </c>
      <c r="G4698" s="87" t="s">
        <v>967</v>
      </c>
      <c r="H4698" s="87" t="s">
        <v>950</v>
      </c>
      <c r="I4698" s="87">
        <v>42</v>
      </c>
    </row>
    <row r="4699" spans="1:9" x14ac:dyDescent="0.25">
      <c r="A4699" s="87" t="s">
        <v>88</v>
      </c>
      <c r="B4699" s="87" t="s">
        <v>426</v>
      </c>
      <c r="C4699" s="87">
        <v>2016</v>
      </c>
      <c r="D4699" s="87" t="s">
        <v>18</v>
      </c>
      <c r="E4699" s="116">
        <v>340</v>
      </c>
      <c r="F4699" s="87" t="s">
        <v>918</v>
      </c>
      <c r="G4699" s="87" t="s">
        <v>967</v>
      </c>
      <c r="H4699" s="87" t="s">
        <v>950</v>
      </c>
      <c r="I4699" s="87">
        <v>42</v>
      </c>
    </row>
    <row r="4700" spans="1:9" x14ac:dyDescent="0.25">
      <c r="A4700" s="87" t="s">
        <v>88</v>
      </c>
      <c r="B4700" s="87" t="s">
        <v>426</v>
      </c>
      <c r="C4700" s="87">
        <v>2017</v>
      </c>
      <c r="D4700" s="87" t="s">
        <v>18</v>
      </c>
      <c r="E4700" s="116">
        <v>383</v>
      </c>
      <c r="F4700" s="87" t="s">
        <v>918</v>
      </c>
      <c r="G4700" s="87" t="s">
        <v>967</v>
      </c>
      <c r="H4700" s="87" t="s">
        <v>950</v>
      </c>
      <c r="I4700" s="87">
        <v>42</v>
      </c>
    </row>
    <row r="4701" spans="1:9" x14ac:dyDescent="0.25">
      <c r="A4701" s="87" t="s">
        <v>88</v>
      </c>
      <c r="B4701" s="87" t="s">
        <v>426</v>
      </c>
      <c r="C4701" s="87">
        <v>2018</v>
      </c>
      <c r="D4701" s="87" t="s">
        <v>18</v>
      </c>
      <c r="E4701" s="116">
        <v>164</v>
      </c>
      <c r="F4701" s="87" t="s">
        <v>967</v>
      </c>
      <c r="G4701" s="87" t="s">
        <v>967</v>
      </c>
      <c r="H4701" s="87" t="s">
        <v>951</v>
      </c>
      <c r="I4701" s="87">
        <v>42</v>
      </c>
    </row>
    <row r="4702" spans="1:9" x14ac:dyDescent="0.25">
      <c r="A4702" s="87" t="s">
        <v>88</v>
      </c>
      <c r="B4702" s="87" t="s">
        <v>426</v>
      </c>
      <c r="C4702" s="87">
        <v>2019</v>
      </c>
      <c r="D4702" s="87" t="s">
        <v>18</v>
      </c>
      <c r="E4702" s="116">
        <v>211</v>
      </c>
      <c r="F4702" s="87" t="s">
        <v>967</v>
      </c>
      <c r="G4702" s="87" t="s">
        <v>967</v>
      </c>
      <c r="H4702" s="87" t="s">
        <v>967</v>
      </c>
      <c r="I4702" s="87">
        <v>42</v>
      </c>
    </row>
    <row r="4703" spans="1:9" x14ac:dyDescent="0.25">
      <c r="A4703" s="87" t="s">
        <v>88</v>
      </c>
      <c r="B4703" s="87" t="s">
        <v>426</v>
      </c>
      <c r="C4703" s="87">
        <v>2020</v>
      </c>
      <c r="D4703" s="87" t="s">
        <v>18</v>
      </c>
      <c r="E4703" s="116">
        <v>1307</v>
      </c>
      <c r="F4703" s="87" t="s">
        <v>967</v>
      </c>
      <c r="G4703" s="87" t="s">
        <v>967</v>
      </c>
      <c r="H4703" s="87" t="s">
        <v>1049</v>
      </c>
      <c r="I4703" s="87">
        <v>42</v>
      </c>
    </row>
    <row r="4704" spans="1:9" x14ac:dyDescent="0.25">
      <c r="A4704" s="87" t="s">
        <v>88</v>
      </c>
      <c r="B4704" s="87" t="s">
        <v>426</v>
      </c>
      <c r="C4704" s="87">
        <v>2021</v>
      </c>
      <c r="D4704" s="87" t="s">
        <v>18</v>
      </c>
      <c r="E4704" s="116">
        <v>-6</v>
      </c>
      <c r="F4704" s="87" t="s">
        <v>967</v>
      </c>
      <c r="G4704" s="87" t="s">
        <v>372</v>
      </c>
      <c r="H4704" s="87" t="s">
        <v>967</v>
      </c>
      <c r="I4704" s="87">
        <v>42</v>
      </c>
    </row>
    <row r="4705" spans="1:9" x14ac:dyDescent="0.25">
      <c r="A4705" s="87" t="s">
        <v>88</v>
      </c>
      <c r="B4705" s="87" t="s">
        <v>426</v>
      </c>
      <c r="C4705" s="87">
        <v>2022</v>
      </c>
      <c r="D4705" s="87" t="s">
        <v>18</v>
      </c>
      <c r="E4705" s="116">
        <v>-6</v>
      </c>
      <c r="F4705" s="87" t="s">
        <v>967</v>
      </c>
      <c r="G4705" s="87" t="s">
        <v>372</v>
      </c>
      <c r="H4705" s="87" t="s">
        <v>967</v>
      </c>
      <c r="I4705" s="87">
        <v>42</v>
      </c>
    </row>
    <row r="4706" spans="1:9" x14ac:dyDescent="0.25">
      <c r="A4706" s="87" t="s">
        <v>88</v>
      </c>
      <c r="B4706" s="87" t="s">
        <v>237</v>
      </c>
      <c r="C4706" s="87">
        <v>1975</v>
      </c>
      <c r="D4706" s="87" t="s">
        <v>18</v>
      </c>
      <c r="E4706" s="116">
        <v>121</v>
      </c>
      <c r="F4706" s="87" t="s">
        <v>508</v>
      </c>
      <c r="G4706" s="87" t="s">
        <v>967</v>
      </c>
      <c r="H4706" s="87" t="s">
        <v>508</v>
      </c>
      <c r="I4706" s="87">
        <v>39</v>
      </c>
    </row>
    <row r="4707" spans="1:9" x14ac:dyDescent="0.25">
      <c r="A4707" s="87" t="s">
        <v>88</v>
      </c>
      <c r="B4707" s="87" t="s">
        <v>237</v>
      </c>
      <c r="C4707" s="87">
        <v>1976</v>
      </c>
      <c r="D4707" s="87" t="s">
        <v>18</v>
      </c>
      <c r="E4707" s="116">
        <v>250</v>
      </c>
      <c r="F4707" s="87" t="s">
        <v>508</v>
      </c>
      <c r="G4707" s="87" t="s">
        <v>967</v>
      </c>
      <c r="H4707" s="87" t="s">
        <v>508</v>
      </c>
      <c r="I4707" s="87">
        <v>39</v>
      </c>
    </row>
    <row r="4708" spans="1:9" x14ac:dyDescent="0.25">
      <c r="A4708" s="87" t="s">
        <v>88</v>
      </c>
      <c r="B4708" s="87" t="s">
        <v>237</v>
      </c>
      <c r="C4708" s="87">
        <v>1977</v>
      </c>
      <c r="D4708" s="87" t="s">
        <v>18</v>
      </c>
      <c r="E4708" s="116">
        <v>230</v>
      </c>
      <c r="F4708" s="87" t="s">
        <v>508</v>
      </c>
      <c r="G4708" s="87" t="s">
        <v>967</v>
      </c>
      <c r="H4708" s="87" t="s">
        <v>508</v>
      </c>
      <c r="I4708" s="87">
        <v>39</v>
      </c>
    </row>
    <row r="4709" spans="1:9" x14ac:dyDescent="0.25">
      <c r="A4709" s="87" t="s">
        <v>88</v>
      </c>
      <c r="B4709" s="87" t="s">
        <v>237</v>
      </c>
      <c r="C4709" s="87">
        <v>1978</v>
      </c>
      <c r="D4709" s="87" t="s">
        <v>18</v>
      </c>
      <c r="E4709" s="116">
        <v>200</v>
      </c>
      <c r="F4709" s="87" t="s">
        <v>508</v>
      </c>
      <c r="G4709" s="87" t="s">
        <v>967</v>
      </c>
      <c r="H4709" s="87" t="s">
        <v>508</v>
      </c>
      <c r="I4709" s="87">
        <v>39</v>
      </c>
    </row>
    <row r="4710" spans="1:9" x14ac:dyDescent="0.25">
      <c r="A4710" s="87" t="s">
        <v>88</v>
      </c>
      <c r="B4710" s="87" t="s">
        <v>237</v>
      </c>
      <c r="C4710" s="87">
        <v>1979</v>
      </c>
      <c r="D4710" s="87" t="s">
        <v>18</v>
      </c>
      <c r="E4710" s="116">
        <v>175</v>
      </c>
      <c r="F4710" s="87" t="s">
        <v>508</v>
      </c>
      <c r="G4710" s="87" t="s">
        <v>967</v>
      </c>
      <c r="H4710" s="87" t="s">
        <v>508</v>
      </c>
      <c r="I4710" s="87">
        <v>39</v>
      </c>
    </row>
    <row r="4711" spans="1:9" x14ac:dyDescent="0.25">
      <c r="A4711" s="87" t="s">
        <v>88</v>
      </c>
      <c r="B4711" s="87" t="s">
        <v>237</v>
      </c>
      <c r="C4711" s="87">
        <v>1980</v>
      </c>
      <c r="D4711" s="87" t="s">
        <v>18</v>
      </c>
      <c r="E4711" s="116">
        <v>200</v>
      </c>
      <c r="F4711" s="87" t="s">
        <v>508</v>
      </c>
      <c r="G4711" s="87" t="s">
        <v>967</v>
      </c>
      <c r="H4711" s="87" t="s">
        <v>508</v>
      </c>
      <c r="I4711" s="87">
        <v>39</v>
      </c>
    </row>
    <row r="4712" spans="1:9" x14ac:dyDescent="0.25">
      <c r="A4712" s="87" t="s">
        <v>88</v>
      </c>
      <c r="B4712" s="87" t="s">
        <v>237</v>
      </c>
      <c r="C4712" s="87">
        <v>1981</v>
      </c>
      <c r="D4712" s="87" t="s">
        <v>18</v>
      </c>
      <c r="E4712" s="116">
        <v>200</v>
      </c>
      <c r="F4712" s="87" t="s">
        <v>508</v>
      </c>
      <c r="G4712" s="87" t="s">
        <v>967</v>
      </c>
      <c r="H4712" s="87" t="s">
        <v>508</v>
      </c>
      <c r="I4712" s="87">
        <v>39</v>
      </c>
    </row>
    <row r="4713" spans="1:9" x14ac:dyDescent="0.25">
      <c r="A4713" s="87" t="s">
        <v>88</v>
      </c>
      <c r="B4713" s="87" t="s">
        <v>237</v>
      </c>
      <c r="C4713" s="87">
        <v>1982</v>
      </c>
      <c r="D4713" s="87" t="s">
        <v>18</v>
      </c>
      <c r="E4713" s="116">
        <v>375</v>
      </c>
      <c r="F4713" s="87" t="s">
        <v>508</v>
      </c>
      <c r="G4713" s="87" t="s">
        <v>967</v>
      </c>
      <c r="H4713" s="87" t="s">
        <v>508</v>
      </c>
      <c r="I4713" s="87">
        <v>39</v>
      </c>
    </row>
    <row r="4714" spans="1:9" x14ac:dyDescent="0.25">
      <c r="A4714" s="87" t="s">
        <v>88</v>
      </c>
      <c r="B4714" s="87" t="s">
        <v>237</v>
      </c>
      <c r="C4714" s="87">
        <v>1983</v>
      </c>
      <c r="D4714" s="87" t="s">
        <v>18</v>
      </c>
      <c r="E4714" s="116">
        <v>175</v>
      </c>
      <c r="F4714" s="87" t="s">
        <v>508</v>
      </c>
      <c r="G4714" s="87" t="s">
        <v>967</v>
      </c>
      <c r="H4714" s="87" t="s">
        <v>508</v>
      </c>
      <c r="I4714" s="87">
        <v>39</v>
      </c>
    </row>
    <row r="4715" spans="1:9" x14ac:dyDescent="0.25">
      <c r="A4715" s="87" t="s">
        <v>88</v>
      </c>
      <c r="B4715" s="87" t="s">
        <v>237</v>
      </c>
      <c r="C4715" s="87">
        <v>1984</v>
      </c>
      <c r="D4715" s="87" t="s">
        <v>18</v>
      </c>
      <c r="E4715" s="116">
        <v>500</v>
      </c>
      <c r="F4715" s="87" t="s">
        <v>508</v>
      </c>
      <c r="G4715" s="87" t="s">
        <v>967</v>
      </c>
      <c r="H4715" s="87" t="s">
        <v>508</v>
      </c>
      <c r="I4715" s="87">
        <v>39</v>
      </c>
    </row>
    <row r="4716" spans="1:9" x14ac:dyDescent="0.25">
      <c r="A4716" s="87" t="s">
        <v>88</v>
      </c>
      <c r="B4716" s="87" t="s">
        <v>237</v>
      </c>
      <c r="C4716" s="87">
        <v>1985</v>
      </c>
      <c r="D4716" s="87" t="s">
        <v>18</v>
      </c>
      <c r="E4716" s="116">
        <v>525</v>
      </c>
      <c r="F4716" s="87" t="s">
        <v>508</v>
      </c>
      <c r="G4716" s="87" t="s">
        <v>967</v>
      </c>
      <c r="H4716" s="87" t="s">
        <v>508</v>
      </c>
      <c r="I4716" s="87">
        <v>39</v>
      </c>
    </row>
    <row r="4717" spans="1:9" x14ac:dyDescent="0.25">
      <c r="A4717" s="87" t="s">
        <v>88</v>
      </c>
      <c r="B4717" s="87" t="s">
        <v>237</v>
      </c>
      <c r="C4717" s="87">
        <v>1986</v>
      </c>
      <c r="D4717" s="87" t="s">
        <v>18</v>
      </c>
      <c r="E4717" s="116">
        <v>700</v>
      </c>
      <c r="F4717" s="87" t="s">
        <v>508</v>
      </c>
      <c r="G4717" s="87" t="s">
        <v>967</v>
      </c>
      <c r="H4717" s="87" t="s">
        <v>508</v>
      </c>
      <c r="I4717" s="87">
        <v>39</v>
      </c>
    </row>
    <row r="4718" spans="1:9" x14ac:dyDescent="0.25">
      <c r="A4718" s="87" t="s">
        <v>88</v>
      </c>
      <c r="B4718" s="87" t="s">
        <v>237</v>
      </c>
      <c r="C4718" s="87">
        <v>1987</v>
      </c>
      <c r="D4718" s="87" t="s">
        <v>18</v>
      </c>
      <c r="E4718" s="116">
        <v>650</v>
      </c>
      <c r="F4718" s="87" t="s">
        <v>508</v>
      </c>
      <c r="G4718" s="87" t="s">
        <v>967</v>
      </c>
      <c r="H4718" s="87" t="s">
        <v>508</v>
      </c>
      <c r="I4718" s="87">
        <v>39</v>
      </c>
    </row>
    <row r="4719" spans="1:9" x14ac:dyDescent="0.25">
      <c r="A4719" s="87" t="s">
        <v>88</v>
      </c>
      <c r="B4719" s="87" t="s">
        <v>237</v>
      </c>
      <c r="C4719" s="87">
        <v>1988</v>
      </c>
      <c r="D4719" s="87" t="s">
        <v>18</v>
      </c>
      <c r="E4719" s="116">
        <v>800</v>
      </c>
      <c r="F4719" s="87" t="s">
        <v>508</v>
      </c>
      <c r="G4719" s="87" t="s">
        <v>967</v>
      </c>
      <c r="H4719" s="87" t="s">
        <v>508</v>
      </c>
      <c r="I4719" s="87">
        <v>39</v>
      </c>
    </row>
    <row r="4720" spans="1:9" x14ac:dyDescent="0.25">
      <c r="A4720" s="87" t="s">
        <v>88</v>
      </c>
      <c r="B4720" s="87" t="s">
        <v>237</v>
      </c>
      <c r="C4720" s="87">
        <v>1989</v>
      </c>
      <c r="D4720" s="87" t="s">
        <v>18</v>
      </c>
      <c r="E4720" s="116">
        <v>700</v>
      </c>
      <c r="F4720" s="87" t="s">
        <v>508</v>
      </c>
      <c r="G4720" s="87" t="s">
        <v>967</v>
      </c>
      <c r="H4720" s="87" t="s">
        <v>508</v>
      </c>
      <c r="I4720" s="87">
        <v>39</v>
      </c>
    </row>
    <row r="4721" spans="1:9" x14ac:dyDescent="0.25">
      <c r="A4721" s="87" t="s">
        <v>88</v>
      </c>
      <c r="B4721" s="87" t="s">
        <v>237</v>
      </c>
      <c r="C4721" s="87">
        <v>1990</v>
      </c>
      <c r="D4721" s="87" t="s">
        <v>18</v>
      </c>
      <c r="E4721" s="116">
        <v>550</v>
      </c>
      <c r="F4721" s="87" t="s">
        <v>508</v>
      </c>
      <c r="G4721" s="87" t="s">
        <v>967</v>
      </c>
      <c r="H4721" s="87" t="s">
        <v>508</v>
      </c>
      <c r="I4721" s="87">
        <v>39</v>
      </c>
    </row>
    <row r="4722" spans="1:9" x14ac:dyDescent="0.25">
      <c r="A4722" s="87" t="s">
        <v>88</v>
      </c>
      <c r="B4722" s="87" t="s">
        <v>237</v>
      </c>
      <c r="C4722" s="87">
        <v>1991</v>
      </c>
      <c r="D4722" s="87" t="s">
        <v>18</v>
      </c>
      <c r="E4722" s="116">
        <v>355</v>
      </c>
      <c r="F4722" s="87" t="s">
        <v>508</v>
      </c>
      <c r="G4722" s="87" t="s">
        <v>967</v>
      </c>
      <c r="H4722" s="87" t="s">
        <v>508</v>
      </c>
      <c r="I4722" s="87">
        <v>39</v>
      </c>
    </row>
    <row r="4723" spans="1:9" x14ac:dyDescent="0.25">
      <c r="A4723" s="87" t="s">
        <v>88</v>
      </c>
      <c r="B4723" s="87" t="s">
        <v>237</v>
      </c>
      <c r="C4723" s="87">
        <v>1992</v>
      </c>
      <c r="D4723" s="87" t="s">
        <v>18</v>
      </c>
      <c r="E4723" s="116">
        <v>280</v>
      </c>
      <c r="F4723" s="87" t="s">
        <v>508</v>
      </c>
      <c r="G4723" s="87" t="s">
        <v>967</v>
      </c>
      <c r="H4723" s="87" t="s">
        <v>508</v>
      </c>
      <c r="I4723" s="87">
        <v>39</v>
      </c>
    </row>
    <row r="4724" spans="1:9" x14ac:dyDescent="0.25">
      <c r="A4724" s="87" t="s">
        <v>88</v>
      </c>
      <c r="B4724" s="87" t="s">
        <v>237</v>
      </c>
      <c r="C4724" s="87">
        <v>1993</v>
      </c>
      <c r="D4724" s="87" t="s">
        <v>18</v>
      </c>
      <c r="E4724" s="116">
        <v>190</v>
      </c>
      <c r="F4724" s="87" t="s">
        <v>508</v>
      </c>
      <c r="G4724" s="87" t="s">
        <v>967</v>
      </c>
      <c r="H4724" s="87" t="s">
        <v>508</v>
      </c>
      <c r="I4724" s="87">
        <v>39</v>
      </c>
    </row>
    <row r="4725" spans="1:9" x14ac:dyDescent="0.25">
      <c r="A4725" s="87" t="s">
        <v>88</v>
      </c>
      <c r="B4725" s="87" t="s">
        <v>237</v>
      </c>
      <c r="C4725" s="87">
        <v>1994</v>
      </c>
      <c r="D4725" s="87" t="s">
        <v>18</v>
      </c>
      <c r="E4725" s="116">
        <v>935</v>
      </c>
      <c r="F4725" s="87" t="s">
        <v>508</v>
      </c>
      <c r="G4725" s="87" t="s">
        <v>967</v>
      </c>
      <c r="H4725" s="87" t="s">
        <v>508</v>
      </c>
      <c r="I4725" s="87">
        <v>39</v>
      </c>
    </row>
    <row r="4726" spans="1:9" x14ac:dyDescent="0.25">
      <c r="A4726" s="87" t="s">
        <v>88</v>
      </c>
      <c r="B4726" s="87" t="s">
        <v>237</v>
      </c>
      <c r="C4726" s="87">
        <v>1995</v>
      </c>
      <c r="D4726" s="87" t="s">
        <v>18</v>
      </c>
      <c r="E4726" s="116">
        <v>1371</v>
      </c>
      <c r="F4726" s="87" t="s">
        <v>508</v>
      </c>
      <c r="G4726" s="87" t="s">
        <v>967</v>
      </c>
      <c r="H4726" s="87" t="s">
        <v>508</v>
      </c>
      <c r="I4726" s="87">
        <v>39</v>
      </c>
    </row>
    <row r="4727" spans="1:9" x14ac:dyDescent="0.25">
      <c r="A4727" s="87" t="s">
        <v>88</v>
      </c>
      <c r="B4727" s="87" t="s">
        <v>237</v>
      </c>
      <c r="C4727" s="87">
        <v>1996</v>
      </c>
      <c r="D4727" s="87" t="s">
        <v>18</v>
      </c>
      <c r="E4727" s="116">
        <v>870</v>
      </c>
      <c r="F4727" s="87" t="s">
        <v>508</v>
      </c>
      <c r="G4727" s="87" t="s">
        <v>967</v>
      </c>
      <c r="H4727" s="87" t="s">
        <v>508</v>
      </c>
      <c r="I4727" s="87">
        <v>39</v>
      </c>
    </row>
    <row r="4728" spans="1:9" x14ac:dyDescent="0.25">
      <c r="A4728" s="87" t="s">
        <v>88</v>
      </c>
      <c r="B4728" s="87" t="s">
        <v>237</v>
      </c>
      <c r="C4728" s="87">
        <v>1997</v>
      </c>
      <c r="D4728" s="87" t="s">
        <v>18</v>
      </c>
      <c r="E4728" s="116">
        <v>1230</v>
      </c>
      <c r="F4728" s="87" t="s">
        <v>508</v>
      </c>
      <c r="G4728" s="87" t="s">
        <v>967</v>
      </c>
      <c r="H4728" s="87" t="s">
        <v>508</v>
      </c>
      <c r="I4728" s="87">
        <v>39</v>
      </c>
    </row>
    <row r="4729" spans="1:9" x14ac:dyDescent="0.25">
      <c r="A4729" s="87" t="s">
        <v>88</v>
      </c>
      <c r="B4729" s="87" t="s">
        <v>237</v>
      </c>
      <c r="C4729" s="87">
        <v>1998</v>
      </c>
      <c r="D4729" s="87" t="s">
        <v>18</v>
      </c>
      <c r="E4729" s="116">
        <v>405</v>
      </c>
      <c r="F4729" s="87" t="s">
        <v>967</v>
      </c>
      <c r="G4729" s="87" t="s">
        <v>274</v>
      </c>
      <c r="H4729" s="87" t="s">
        <v>967</v>
      </c>
      <c r="I4729" s="87">
        <v>39</v>
      </c>
    </row>
    <row r="4730" spans="1:9" x14ac:dyDescent="0.25">
      <c r="A4730" s="87" t="s">
        <v>88</v>
      </c>
      <c r="B4730" s="87" t="s">
        <v>237</v>
      </c>
      <c r="C4730" s="87">
        <v>1999</v>
      </c>
      <c r="D4730" s="87" t="s">
        <v>18</v>
      </c>
      <c r="E4730" s="116">
        <v>1095</v>
      </c>
      <c r="F4730" s="87" t="s">
        <v>427</v>
      </c>
      <c r="G4730" s="87" t="s">
        <v>274</v>
      </c>
      <c r="H4730" s="87" t="s">
        <v>427</v>
      </c>
      <c r="I4730" s="87">
        <v>39</v>
      </c>
    </row>
    <row r="4731" spans="1:9" x14ac:dyDescent="0.25">
      <c r="A4731" s="87" t="s">
        <v>88</v>
      </c>
      <c r="B4731" s="87" t="s">
        <v>237</v>
      </c>
      <c r="C4731" s="87">
        <v>2000</v>
      </c>
      <c r="D4731" s="87" t="s">
        <v>18</v>
      </c>
      <c r="E4731" s="116">
        <v>936</v>
      </c>
      <c r="F4731" s="87" t="s">
        <v>967</v>
      </c>
      <c r="G4731" s="87" t="s">
        <v>274</v>
      </c>
      <c r="H4731" s="87" t="s">
        <v>967</v>
      </c>
      <c r="I4731" s="87">
        <v>39</v>
      </c>
    </row>
    <row r="4732" spans="1:9" x14ac:dyDescent="0.25">
      <c r="A4732" s="87" t="s">
        <v>88</v>
      </c>
      <c r="B4732" s="87" t="s">
        <v>237</v>
      </c>
      <c r="C4732" s="87">
        <v>2001</v>
      </c>
      <c r="D4732" s="87" t="s">
        <v>18</v>
      </c>
      <c r="E4732" s="116">
        <v>237</v>
      </c>
      <c r="F4732" s="87" t="s">
        <v>967</v>
      </c>
      <c r="G4732" s="87" t="s">
        <v>272</v>
      </c>
      <c r="H4732" s="87" t="s">
        <v>967</v>
      </c>
      <c r="I4732" s="87">
        <v>39</v>
      </c>
    </row>
    <row r="4733" spans="1:9" x14ac:dyDescent="0.25">
      <c r="A4733" s="87" t="s">
        <v>88</v>
      </c>
      <c r="B4733" s="87" t="s">
        <v>237</v>
      </c>
      <c r="C4733" s="87">
        <v>2002</v>
      </c>
      <c r="D4733" s="87" t="s">
        <v>18</v>
      </c>
      <c r="E4733" s="116">
        <v>443</v>
      </c>
      <c r="F4733" s="87" t="s">
        <v>967</v>
      </c>
      <c r="G4733" s="87" t="s">
        <v>274</v>
      </c>
      <c r="H4733" s="87" t="s">
        <v>967</v>
      </c>
      <c r="I4733" s="87">
        <v>39</v>
      </c>
    </row>
    <row r="4734" spans="1:9" x14ac:dyDescent="0.25">
      <c r="A4734" s="87" t="s">
        <v>88</v>
      </c>
      <c r="B4734" s="87" t="s">
        <v>237</v>
      </c>
      <c r="C4734" s="87">
        <v>2003</v>
      </c>
      <c r="D4734" s="87" t="s">
        <v>18</v>
      </c>
      <c r="E4734" s="116">
        <v>311</v>
      </c>
      <c r="F4734" s="87" t="s">
        <v>967</v>
      </c>
      <c r="G4734" s="87" t="s">
        <v>272</v>
      </c>
      <c r="H4734" s="87" t="s">
        <v>967</v>
      </c>
      <c r="I4734" s="87">
        <v>39</v>
      </c>
    </row>
    <row r="4735" spans="1:9" x14ac:dyDescent="0.25">
      <c r="A4735" s="87" t="s">
        <v>88</v>
      </c>
      <c r="B4735" s="87" t="s">
        <v>237</v>
      </c>
      <c r="C4735" s="87">
        <v>2004</v>
      </c>
      <c r="D4735" s="87" t="s">
        <v>18</v>
      </c>
      <c r="E4735" s="116">
        <v>741</v>
      </c>
      <c r="F4735" s="87" t="s">
        <v>967</v>
      </c>
      <c r="G4735" s="87" t="s">
        <v>274</v>
      </c>
      <c r="H4735" s="87" t="s">
        <v>967</v>
      </c>
      <c r="I4735" s="87">
        <v>39</v>
      </c>
    </row>
    <row r="4736" spans="1:9" x14ac:dyDescent="0.25">
      <c r="A4736" s="87" t="s">
        <v>88</v>
      </c>
      <c r="B4736" s="87" t="s">
        <v>237</v>
      </c>
      <c r="C4736" s="87">
        <v>2005</v>
      </c>
      <c r="D4736" s="87" t="s">
        <v>18</v>
      </c>
      <c r="E4736" s="116">
        <v>132</v>
      </c>
      <c r="F4736" s="87" t="s">
        <v>967</v>
      </c>
      <c r="G4736" s="87" t="s">
        <v>272</v>
      </c>
      <c r="H4736" s="87" t="s">
        <v>967</v>
      </c>
      <c r="I4736" s="87">
        <v>39</v>
      </c>
    </row>
    <row r="4737" spans="1:9" x14ac:dyDescent="0.25">
      <c r="A4737" s="87" t="s">
        <v>88</v>
      </c>
      <c r="B4737" s="87" t="s">
        <v>237</v>
      </c>
      <c r="C4737" s="87">
        <v>2006</v>
      </c>
      <c r="D4737" s="87" t="s">
        <v>18</v>
      </c>
      <c r="E4737" s="116">
        <v>152</v>
      </c>
      <c r="F4737" s="87" t="s">
        <v>967</v>
      </c>
      <c r="G4737" s="87" t="s">
        <v>274</v>
      </c>
      <c r="H4737" s="87" t="s">
        <v>967</v>
      </c>
      <c r="I4737" s="87">
        <v>39</v>
      </c>
    </row>
    <row r="4738" spans="1:9" x14ac:dyDescent="0.25">
      <c r="A4738" s="87" t="s">
        <v>88</v>
      </c>
      <c r="B4738" s="87" t="s">
        <v>237</v>
      </c>
      <c r="C4738" s="87">
        <v>2007</v>
      </c>
      <c r="D4738" s="87" t="s">
        <v>18</v>
      </c>
      <c r="E4738" s="116">
        <v>38</v>
      </c>
      <c r="F4738" s="87" t="s">
        <v>967</v>
      </c>
      <c r="G4738" s="87" t="s">
        <v>274</v>
      </c>
      <c r="H4738" s="87" t="s">
        <v>967</v>
      </c>
      <c r="I4738" s="87">
        <v>39</v>
      </c>
    </row>
    <row r="4739" spans="1:9" x14ac:dyDescent="0.25">
      <c r="A4739" s="87" t="s">
        <v>88</v>
      </c>
      <c r="B4739" s="87" t="s">
        <v>237</v>
      </c>
      <c r="C4739" s="87">
        <v>2008</v>
      </c>
      <c r="D4739" s="87" t="s">
        <v>18</v>
      </c>
      <c r="E4739" s="116">
        <v>395</v>
      </c>
      <c r="F4739" s="87" t="s">
        <v>967</v>
      </c>
      <c r="G4739" s="87" t="s">
        <v>274</v>
      </c>
      <c r="H4739" s="87" t="s">
        <v>967</v>
      </c>
      <c r="I4739" s="87">
        <v>39</v>
      </c>
    </row>
    <row r="4740" spans="1:9" x14ac:dyDescent="0.25">
      <c r="A4740" s="87" t="s">
        <v>88</v>
      </c>
      <c r="B4740" s="87" t="s">
        <v>237</v>
      </c>
      <c r="C4740" s="87">
        <v>2009</v>
      </c>
      <c r="D4740" s="87" t="s">
        <v>18</v>
      </c>
      <c r="E4740" s="116">
        <v>194</v>
      </c>
      <c r="F4740" s="87" t="s">
        <v>967</v>
      </c>
      <c r="G4740" s="87" t="s">
        <v>274</v>
      </c>
      <c r="H4740" s="87" t="s">
        <v>967</v>
      </c>
      <c r="I4740" s="87">
        <v>39</v>
      </c>
    </row>
    <row r="4741" spans="1:9" x14ac:dyDescent="0.25">
      <c r="A4741" s="87" t="s">
        <v>88</v>
      </c>
      <c r="B4741" s="87" t="s">
        <v>237</v>
      </c>
      <c r="C4741" s="87">
        <v>2010</v>
      </c>
      <c r="D4741" s="87" t="s">
        <v>18</v>
      </c>
      <c r="E4741" s="116">
        <v>128</v>
      </c>
      <c r="F4741" s="87" t="s">
        <v>967</v>
      </c>
      <c r="G4741" s="87" t="s">
        <v>274</v>
      </c>
      <c r="H4741" s="87" t="s">
        <v>967</v>
      </c>
      <c r="I4741" s="87">
        <v>39</v>
      </c>
    </row>
    <row r="4742" spans="1:9" x14ac:dyDescent="0.25">
      <c r="A4742" s="87" t="s">
        <v>88</v>
      </c>
      <c r="B4742" s="87" t="s">
        <v>237</v>
      </c>
      <c r="C4742" s="87">
        <v>2011</v>
      </c>
      <c r="D4742" s="87" t="s">
        <v>18</v>
      </c>
      <c r="E4742" s="116">
        <v>37</v>
      </c>
      <c r="F4742" s="87" t="s">
        <v>967</v>
      </c>
      <c r="G4742" s="87" t="s">
        <v>274</v>
      </c>
      <c r="H4742" s="87" t="s">
        <v>967</v>
      </c>
      <c r="I4742" s="87">
        <v>39</v>
      </c>
    </row>
    <row r="4743" spans="1:9" x14ac:dyDescent="0.25">
      <c r="A4743" s="87" t="s">
        <v>88</v>
      </c>
      <c r="B4743" s="87" t="s">
        <v>237</v>
      </c>
      <c r="C4743" s="87">
        <v>2012</v>
      </c>
      <c r="D4743" s="87" t="s">
        <v>18</v>
      </c>
      <c r="E4743" s="116">
        <v>166</v>
      </c>
      <c r="F4743" s="87" t="s">
        <v>967</v>
      </c>
      <c r="G4743" s="87" t="s">
        <v>274</v>
      </c>
      <c r="H4743" s="87" t="s">
        <v>967</v>
      </c>
      <c r="I4743" s="87">
        <v>39</v>
      </c>
    </row>
    <row r="4744" spans="1:9" x14ac:dyDescent="0.25">
      <c r="A4744" s="87" t="s">
        <v>88</v>
      </c>
      <c r="B4744" s="87" t="s">
        <v>237</v>
      </c>
      <c r="C4744" s="87">
        <v>2013</v>
      </c>
      <c r="D4744" s="87" t="s">
        <v>18</v>
      </c>
      <c r="E4744" s="116">
        <v>134</v>
      </c>
      <c r="F4744" s="87" t="s">
        <v>967</v>
      </c>
      <c r="G4744" s="87" t="s">
        <v>274</v>
      </c>
      <c r="H4744" s="87" t="s">
        <v>967</v>
      </c>
      <c r="I4744" s="87">
        <v>39</v>
      </c>
    </row>
    <row r="4745" spans="1:9" x14ac:dyDescent="0.25">
      <c r="A4745" s="87" t="s">
        <v>88</v>
      </c>
      <c r="B4745" s="87" t="s">
        <v>237</v>
      </c>
      <c r="C4745" s="87">
        <v>2014</v>
      </c>
      <c r="D4745" s="87" t="s">
        <v>18</v>
      </c>
      <c r="E4745" s="116">
        <v>203</v>
      </c>
      <c r="F4745" s="87" t="s">
        <v>967</v>
      </c>
      <c r="G4745" s="87" t="s">
        <v>274</v>
      </c>
      <c r="H4745" s="87" t="s">
        <v>967</v>
      </c>
      <c r="I4745" s="87">
        <v>39</v>
      </c>
    </row>
    <row r="4746" spans="1:9" x14ac:dyDescent="0.25">
      <c r="A4746" s="87" t="s">
        <v>88</v>
      </c>
      <c r="B4746" s="87" t="s">
        <v>237</v>
      </c>
      <c r="C4746" s="87">
        <v>2015</v>
      </c>
      <c r="D4746" s="87" t="s">
        <v>18</v>
      </c>
      <c r="E4746" s="116">
        <v>134</v>
      </c>
      <c r="F4746" s="87" t="s">
        <v>967</v>
      </c>
      <c r="G4746" s="87" t="s">
        <v>274</v>
      </c>
      <c r="H4746" s="87" t="s">
        <v>967</v>
      </c>
      <c r="I4746" s="87">
        <v>39</v>
      </c>
    </row>
    <row r="4747" spans="1:9" x14ac:dyDescent="0.25">
      <c r="A4747" s="87" t="s">
        <v>88</v>
      </c>
      <c r="B4747" s="87" t="s">
        <v>237</v>
      </c>
      <c r="C4747" s="87">
        <v>2016</v>
      </c>
      <c r="D4747" s="87" t="s">
        <v>18</v>
      </c>
      <c r="E4747" s="116">
        <v>35</v>
      </c>
      <c r="F4747" s="87" t="s">
        <v>967</v>
      </c>
      <c r="G4747" s="87" t="s">
        <v>272</v>
      </c>
      <c r="H4747" s="87" t="s">
        <v>754</v>
      </c>
      <c r="I4747" s="87">
        <v>39</v>
      </c>
    </row>
    <row r="4748" spans="1:9" x14ac:dyDescent="0.25">
      <c r="A4748" s="87" t="s">
        <v>88</v>
      </c>
      <c r="B4748" s="87" t="s">
        <v>237</v>
      </c>
      <c r="C4748" s="87">
        <v>2017</v>
      </c>
      <c r="D4748" s="87" t="s">
        <v>18</v>
      </c>
      <c r="E4748" s="116">
        <v>29</v>
      </c>
      <c r="F4748" s="87" t="s">
        <v>967</v>
      </c>
      <c r="G4748" s="87" t="s">
        <v>274</v>
      </c>
      <c r="H4748" s="87" t="s">
        <v>967</v>
      </c>
      <c r="I4748" s="87">
        <v>39</v>
      </c>
    </row>
    <row r="4749" spans="1:9" x14ac:dyDescent="0.25">
      <c r="A4749" s="87" t="s">
        <v>88</v>
      </c>
      <c r="B4749" s="87" t="s">
        <v>237</v>
      </c>
      <c r="C4749" s="87">
        <v>2018</v>
      </c>
      <c r="D4749" s="87" t="s">
        <v>18</v>
      </c>
      <c r="E4749" s="116">
        <v>95</v>
      </c>
      <c r="F4749" s="87" t="s">
        <v>967</v>
      </c>
      <c r="G4749" s="87" t="s">
        <v>274</v>
      </c>
      <c r="H4749" s="87" t="s">
        <v>967</v>
      </c>
      <c r="I4749" s="87">
        <v>39</v>
      </c>
    </row>
    <row r="4750" spans="1:9" x14ac:dyDescent="0.25">
      <c r="A4750" s="87" t="s">
        <v>88</v>
      </c>
      <c r="B4750" s="87" t="s">
        <v>237</v>
      </c>
      <c r="C4750" s="87">
        <v>2019</v>
      </c>
      <c r="D4750" s="87" t="s">
        <v>18</v>
      </c>
      <c r="E4750" s="116">
        <v>106</v>
      </c>
      <c r="F4750" s="87" t="s">
        <v>967</v>
      </c>
      <c r="G4750" s="87" t="s">
        <v>272</v>
      </c>
      <c r="H4750" s="87" t="s">
        <v>967</v>
      </c>
      <c r="I4750" s="87">
        <v>39</v>
      </c>
    </row>
    <row r="4751" spans="1:9" x14ac:dyDescent="0.25">
      <c r="A4751" s="87" t="s">
        <v>88</v>
      </c>
      <c r="B4751" s="87" t="s">
        <v>237</v>
      </c>
      <c r="C4751" s="87">
        <v>2020</v>
      </c>
      <c r="D4751" s="87" t="s">
        <v>18</v>
      </c>
      <c r="E4751" s="116">
        <v>122</v>
      </c>
      <c r="F4751" s="87" t="s">
        <v>967</v>
      </c>
      <c r="G4751" s="87" t="s">
        <v>272</v>
      </c>
      <c r="H4751" s="87" t="s">
        <v>967</v>
      </c>
      <c r="I4751" s="87">
        <v>39</v>
      </c>
    </row>
    <row r="4752" spans="1:9" x14ac:dyDescent="0.25">
      <c r="A4752" s="87" t="s">
        <v>88</v>
      </c>
      <c r="B4752" s="87" t="s">
        <v>237</v>
      </c>
      <c r="C4752" s="87">
        <v>2021</v>
      </c>
      <c r="D4752" s="87" t="s">
        <v>18</v>
      </c>
      <c r="E4752" s="116">
        <v>106</v>
      </c>
      <c r="F4752" s="87" t="s">
        <v>967</v>
      </c>
      <c r="G4752" s="87" t="s">
        <v>272</v>
      </c>
      <c r="H4752" s="87" t="s">
        <v>967</v>
      </c>
      <c r="I4752" s="87">
        <v>39</v>
      </c>
    </row>
    <row r="4753" spans="1:9" x14ac:dyDescent="0.25">
      <c r="A4753" s="87" t="s">
        <v>88</v>
      </c>
      <c r="B4753" s="87" t="s">
        <v>237</v>
      </c>
      <c r="C4753" s="87">
        <v>2022</v>
      </c>
      <c r="D4753" s="87" t="s">
        <v>18</v>
      </c>
      <c r="E4753" s="116">
        <v>146</v>
      </c>
      <c r="F4753" s="87" t="s">
        <v>967</v>
      </c>
      <c r="G4753" s="87" t="s">
        <v>274</v>
      </c>
      <c r="H4753" s="87" t="s">
        <v>967</v>
      </c>
      <c r="I4753" s="87">
        <v>39</v>
      </c>
    </row>
    <row r="4754" spans="1:9" x14ac:dyDescent="0.25">
      <c r="A4754" s="87" t="s">
        <v>428</v>
      </c>
      <c r="B4754" s="87" t="s">
        <v>429</v>
      </c>
      <c r="C4754" s="87">
        <v>1975</v>
      </c>
      <c r="D4754" s="87" t="s">
        <v>9</v>
      </c>
      <c r="E4754" s="116">
        <v>-1</v>
      </c>
      <c r="F4754" s="87" t="s">
        <v>464</v>
      </c>
      <c r="G4754" s="87" t="s">
        <v>967</v>
      </c>
      <c r="H4754" s="87" t="s">
        <v>464</v>
      </c>
      <c r="I4754" s="87">
        <v>65</v>
      </c>
    </row>
    <row r="4755" spans="1:9" x14ac:dyDescent="0.25">
      <c r="A4755" s="87" t="s">
        <v>428</v>
      </c>
      <c r="B4755" s="87" t="s">
        <v>429</v>
      </c>
      <c r="C4755" s="87">
        <v>1976</v>
      </c>
      <c r="D4755" s="87" t="s">
        <v>9</v>
      </c>
      <c r="E4755" s="116">
        <v>-1</v>
      </c>
      <c r="F4755" s="87" t="s">
        <v>464</v>
      </c>
      <c r="G4755" s="87" t="s">
        <v>967</v>
      </c>
      <c r="H4755" s="87" t="s">
        <v>464</v>
      </c>
      <c r="I4755" s="87">
        <v>65</v>
      </c>
    </row>
    <row r="4756" spans="1:9" x14ac:dyDescent="0.25">
      <c r="A4756" s="87" t="s">
        <v>428</v>
      </c>
      <c r="B4756" s="87" t="s">
        <v>429</v>
      </c>
      <c r="C4756" s="87">
        <v>1977</v>
      </c>
      <c r="D4756" s="87" t="s">
        <v>9</v>
      </c>
      <c r="E4756" s="116">
        <v>-1</v>
      </c>
      <c r="F4756" s="87" t="s">
        <v>464</v>
      </c>
      <c r="G4756" s="87" t="s">
        <v>967</v>
      </c>
      <c r="H4756" s="87" t="s">
        <v>464</v>
      </c>
      <c r="I4756" s="87">
        <v>65</v>
      </c>
    </row>
    <row r="4757" spans="1:9" x14ac:dyDescent="0.25">
      <c r="A4757" s="87" t="s">
        <v>428</v>
      </c>
      <c r="B4757" s="87" t="s">
        <v>429</v>
      </c>
      <c r="C4757" s="87">
        <v>1978</v>
      </c>
      <c r="D4757" s="87" t="s">
        <v>9</v>
      </c>
      <c r="E4757" s="116">
        <v>-1</v>
      </c>
      <c r="F4757" s="87" t="s">
        <v>464</v>
      </c>
      <c r="G4757" s="87" t="s">
        <v>967</v>
      </c>
      <c r="H4757" s="87" t="s">
        <v>464</v>
      </c>
      <c r="I4757" s="87">
        <v>65</v>
      </c>
    </row>
    <row r="4758" spans="1:9" x14ac:dyDescent="0.25">
      <c r="A4758" s="87" t="s">
        <v>428</v>
      </c>
      <c r="B4758" s="87" t="s">
        <v>429</v>
      </c>
      <c r="C4758" s="87">
        <v>1979</v>
      </c>
      <c r="D4758" s="87" t="s">
        <v>9</v>
      </c>
      <c r="E4758" s="116">
        <v>-1</v>
      </c>
      <c r="F4758" s="87" t="s">
        <v>464</v>
      </c>
      <c r="G4758" s="87" t="s">
        <v>967</v>
      </c>
      <c r="H4758" s="87" t="s">
        <v>464</v>
      </c>
      <c r="I4758" s="87">
        <v>65</v>
      </c>
    </row>
    <row r="4759" spans="1:9" x14ac:dyDescent="0.25">
      <c r="A4759" s="87" t="s">
        <v>428</v>
      </c>
      <c r="B4759" s="87" t="s">
        <v>429</v>
      </c>
      <c r="C4759" s="87">
        <v>1980</v>
      </c>
      <c r="D4759" s="87" t="s">
        <v>9</v>
      </c>
      <c r="E4759" s="116">
        <v>-1</v>
      </c>
      <c r="F4759" s="87" t="s">
        <v>464</v>
      </c>
      <c r="G4759" s="87" t="s">
        <v>967</v>
      </c>
      <c r="H4759" s="87" t="s">
        <v>464</v>
      </c>
      <c r="I4759" s="87">
        <v>65</v>
      </c>
    </row>
    <row r="4760" spans="1:9" x14ac:dyDescent="0.25">
      <c r="A4760" s="87" t="s">
        <v>428</v>
      </c>
      <c r="B4760" s="87" t="s">
        <v>429</v>
      </c>
      <c r="C4760" s="87">
        <v>1981</v>
      </c>
      <c r="D4760" s="87" t="s">
        <v>9</v>
      </c>
      <c r="E4760" s="116">
        <v>0</v>
      </c>
      <c r="F4760" s="87" t="s">
        <v>464</v>
      </c>
      <c r="G4760" s="87" t="s">
        <v>332</v>
      </c>
      <c r="H4760" s="87" t="s">
        <v>464</v>
      </c>
      <c r="I4760" s="87">
        <v>65</v>
      </c>
    </row>
    <row r="4761" spans="1:9" x14ac:dyDescent="0.25">
      <c r="A4761" s="87" t="s">
        <v>428</v>
      </c>
      <c r="B4761" s="87" t="s">
        <v>429</v>
      </c>
      <c r="C4761" s="87">
        <v>1982</v>
      </c>
      <c r="D4761" s="87" t="s">
        <v>9</v>
      </c>
      <c r="E4761" s="116">
        <v>-1</v>
      </c>
      <c r="F4761" s="87" t="s">
        <v>464</v>
      </c>
      <c r="G4761" s="87" t="s">
        <v>967</v>
      </c>
      <c r="H4761" s="87" t="s">
        <v>464</v>
      </c>
      <c r="I4761" s="87">
        <v>65</v>
      </c>
    </row>
    <row r="4762" spans="1:9" x14ac:dyDescent="0.25">
      <c r="A4762" s="87" t="s">
        <v>428</v>
      </c>
      <c r="B4762" s="87" t="s">
        <v>429</v>
      </c>
      <c r="C4762" s="87">
        <v>1983</v>
      </c>
      <c r="D4762" s="87" t="s">
        <v>9</v>
      </c>
      <c r="E4762" s="116">
        <v>-1</v>
      </c>
      <c r="F4762" s="87" t="s">
        <v>464</v>
      </c>
      <c r="G4762" s="87" t="s">
        <v>967</v>
      </c>
      <c r="H4762" s="87" t="s">
        <v>464</v>
      </c>
      <c r="I4762" s="87">
        <v>65</v>
      </c>
    </row>
    <row r="4763" spans="1:9" x14ac:dyDescent="0.25">
      <c r="A4763" s="87" t="s">
        <v>428</v>
      </c>
      <c r="B4763" s="87" t="s">
        <v>429</v>
      </c>
      <c r="C4763" s="87">
        <v>1984</v>
      </c>
      <c r="D4763" s="87" t="s">
        <v>9</v>
      </c>
      <c r="E4763" s="116">
        <v>-1</v>
      </c>
      <c r="F4763" s="87" t="s">
        <v>464</v>
      </c>
      <c r="G4763" s="87" t="s">
        <v>967</v>
      </c>
      <c r="H4763" s="87" t="s">
        <v>464</v>
      </c>
      <c r="I4763" s="87">
        <v>65</v>
      </c>
    </row>
    <row r="4764" spans="1:9" x14ac:dyDescent="0.25">
      <c r="A4764" s="87" t="s">
        <v>428</v>
      </c>
      <c r="B4764" s="87" t="s">
        <v>429</v>
      </c>
      <c r="C4764" s="87">
        <v>1985</v>
      </c>
      <c r="D4764" s="87" t="s">
        <v>9</v>
      </c>
      <c r="E4764" s="116">
        <v>-1</v>
      </c>
      <c r="F4764" s="87" t="s">
        <v>464</v>
      </c>
      <c r="G4764" s="87" t="s">
        <v>967</v>
      </c>
      <c r="H4764" s="87" t="s">
        <v>464</v>
      </c>
      <c r="I4764" s="87">
        <v>65</v>
      </c>
    </row>
    <row r="4765" spans="1:9" x14ac:dyDescent="0.25">
      <c r="A4765" s="87" t="s">
        <v>428</v>
      </c>
      <c r="B4765" s="87" t="s">
        <v>429</v>
      </c>
      <c r="C4765" s="87">
        <v>1986</v>
      </c>
      <c r="D4765" s="87" t="s">
        <v>9</v>
      </c>
      <c r="E4765" s="116">
        <v>-1</v>
      </c>
      <c r="F4765" s="87" t="s">
        <v>464</v>
      </c>
      <c r="G4765" s="87" t="s">
        <v>967</v>
      </c>
      <c r="H4765" s="87" t="s">
        <v>464</v>
      </c>
      <c r="I4765" s="87">
        <v>65</v>
      </c>
    </row>
    <row r="4766" spans="1:9" x14ac:dyDescent="0.25">
      <c r="A4766" s="87" t="s">
        <v>428</v>
      </c>
      <c r="B4766" s="87" t="s">
        <v>429</v>
      </c>
      <c r="C4766" s="87">
        <v>1987</v>
      </c>
      <c r="D4766" s="87" t="s">
        <v>9</v>
      </c>
      <c r="E4766" s="116">
        <v>-1</v>
      </c>
      <c r="F4766" s="87" t="s">
        <v>464</v>
      </c>
      <c r="G4766" s="87" t="s">
        <v>967</v>
      </c>
      <c r="H4766" s="87" t="s">
        <v>464</v>
      </c>
      <c r="I4766" s="87">
        <v>65</v>
      </c>
    </row>
    <row r="4767" spans="1:9" x14ac:dyDescent="0.25">
      <c r="A4767" s="87" t="s">
        <v>428</v>
      </c>
      <c r="B4767" s="87" t="s">
        <v>429</v>
      </c>
      <c r="C4767" s="87">
        <v>1988</v>
      </c>
      <c r="D4767" s="87" t="s">
        <v>9</v>
      </c>
      <c r="E4767" s="116">
        <v>-1</v>
      </c>
      <c r="F4767" s="87" t="s">
        <v>464</v>
      </c>
      <c r="G4767" s="87" t="s">
        <v>967</v>
      </c>
      <c r="H4767" s="87" t="s">
        <v>464</v>
      </c>
      <c r="I4767" s="87">
        <v>65</v>
      </c>
    </row>
    <row r="4768" spans="1:9" x14ac:dyDescent="0.25">
      <c r="A4768" s="87" t="s">
        <v>428</v>
      </c>
      <c r="B4768" s="87" t="s">
        <v>429</v>
      </c>
      <c r="C4768" s="87">
        <v>1989</v>
      </c>
      <c r="D4768" s="87" t="s">
        <v>9</v>
      </c>
      <c r="E4768" s="116">
        <v>-1</v>
      </c>
      <c r="F4768" s="87" t="s">
        <v>464</v>
      </c>
      <c r="G4768" s="87" t="s">
        <v>967</v>
      </c>
      <c r="H4768" s="87" t="s">
        <v>464</v>
      </c>
      <c r="I4768" s="87">
        <v>65</v>
      </c>
    </row>
    <row r="4769" spans="1:9" x14ac:dyDescent="0.25">
      <c r="A4769" s="87" t="s">
        <v>428</v>
      </c>
      <c r="B4769" s="87" t="s">
        <v>429</v>
      </c>
      <c r="C4769" s="87">
        <v>1990</v>
      </c>
      <c r="D4769" s="87" t="s">
        <v>9</v>
      </c>
      <c r="E4769" s="116">
        <v>-1</v>
      </c>
      <c r="F4769" s="87" t="s">
        <v>464</v>
      </c>
      <c r="G4769" s="87" t="s">
        <v>967</v>
      </c>
      <c r="H4769" s="87" t="s">
        <v>464</v>
      </c>
      <c r="I4769" s="87">
        <v>65</v>
      </c>
    </row>
    <row r="4770" spans="1:9" x14ac:dyDescent="0.25">
      <c r="A4770" s="87" t="s">
        <v>428</v>
      </c>
      <c r="B4770" s="87" t="s">
        <v>429</v>
      </c>
      <c r="C4770" s="87">
        <v>1991</v>
      </c>
      <c r="D4770" s="87" t="s">
        <v>9</v>
      </c>
      <c r="E4770" s="116">
        <v>12</v>
      </c>
      <c r="F4770" s="87" t="s">
        <v>464</v>
      </c>
      <c r="G4770" s="87" t="s">
        <v>332</v>
      </c>
      <c r="H4770" s="87" t="s">
        <v>464</v>
      </c>
      <c r="I4770" s="87">
        <v>65</v>
      </c>
    </row>
    <row r="4771" spans="1:9" x14ac:dyDescent="0.25">
      <c r="A4771" s="87" t="s">
        <v>428</v>
      </c>
      <c r="B4771" s="87" t="s">
        <v>429</v>
      </c>
      <c r="C4771" s="87">
        <v>1992</v>
      </c>
      <c r="D4771" s="87" t="s">
        <v>9</v>
      </c>
      <c r="E4771" s="116">
        <v>-1</v>
      </c>
      <c r="F4771" s="87" t="s">
        <v>464</v>
      </c>
      <c r="G4771" s="87" t="s">
        <v>967</v>
      </c>
      <c r="H4771" s="87" t="s">
        <v>464</v>
      </c>
      <c r="I4771" s="87">
        <v>65</v>
      </c>
    </row>
    <row r="4772" spans="1:9" x14ac:dyDescent="0.25">
      <c r="A4772" s="87" t="s">
        <v>428</v>
      </c>
      <c r="B4772" s="87" t="s">
        <v>429</v>
      </c>
      <c r="C4772" s="87">
        <v>1993</v>
      </c>
      <c r="D4772" s="87" t="s">
        <v>9</v>
      </c>
      <c r="E4772" s="116">
        <v>150</v>
      </c>
      <c r="F4772" s="87" t="s">
        <v>464</v>
      </c>
      <c r="G4772" s="87" t="s">
        <v>332</v>
      </c>
      <c r="H4772" s="87" t="s">
        <v>464</v>
      </c>
      <c r="I4772" s="87">
        <v>65</v>
      </c>
    </row>
    <row r="4773" spans="1:9" x14ac:dyDescent="0.25">
      <c r="A4773" s="87" t="s">
        <v>428</v>
      </c>
      <c r="B4773" s="87" t="s">
        <v>429</v>
      </c>
      <c r="C4773" s="87">
        <v>1994</v>
      </c>
      <c r="D4773" s="87" t="s">
        <v>9</v>
      </c>
      <c r="E4773" s="116">
        <v>-1</v>
      </c>
      <c r="F4773" s="87" t="s">
        <v>464</v>
      </c>
      <c r="G4773" s="87" t="s">
        <v>967</v>
      </c>
      <c r="H4773" s="87" t="s">
        <v>464</v>
      </c>
      <c r="I4773" s="87">
        <v>65</v>
      </c>
    </row>
    <row r="4774" spans="1:9" x14ac:dyDescent="0.25">
      <c r="A4774" s="87" t="s">
        <v>428</v>
      </c>
      <c r="B4774" s="87" t="s">
        <v>429</v>
      </c>
      <c r="C4774" s="87">
        <v>1995</v>
      </c>
      <c r="D4774" s="87" t="s">
        <v>9</v>
      </c>
      <c r="E4774" s="116">
        <v>128</v>
      </c>
      <c r="F4774" s="87" t="s">
        <v>464</v>
      </c>
      <c r="G4774" s="87" t="s">
        <v>332</v>
      </c>
      <c r="H4774" s="87" t="s">
        <v>967</v>
      </c>
      <c r="I4774" s="87">
        <v>65</v>
      </c>
    </row>
    <row r="4775" spans="1:9" x14ac:dyDescent="0.25">
      <c r="A4775" s="87" t="s">
        <v>428</v>
      </c>
      <c r="B4775" s="87" t="s">
        <v>429</v>
      </c>
      <c r="C4775" s="87">
        <v>1996</v>
      </c>
      <c r="D4775" s="87" t="s">
        <v>9</v>
      </c>
      <c r="E4775" s="116">
        <v>220</v>
      </c>
      <c r="F4775" s="87" t="s">
        <v>464</v>
      </c>
      <c r="G4775" s="87" t="s">
        <v>332</v>
      </c>
      <c r="H4775" s="87" t="s">
        <v>967</v>
      </c>
      <c r="I4775" s="87">
        <v>65</v>
      </c>
    </row>
    <row r="4776" spans="1:9" x14ac:dyDescent="0.25">
      <c r="A4776" s="87" t="s">
        <v>428</v>
      </c>
      <c r="B4776" s="87" t="s">
        <v>429</v>
      </c>
      <c r="C4776" s="87">
        <v>1997</v>
      </c>
      <c r="D4776" s="87" t="s">
        <v>9</v>
      </c>
      <c r="E4776" s="116">
        <v>275</v>
      </c>
      <c r="F4776" s="87" t="s">
        <v>464</v>
      </c>
      <c r="G4776" s="87" t="s">
        <v>332</v>
      </c>
      <c r="H4776" s="87" t="s">
        <v>967</v>
      </c>
      <c r="I4776" s="87">
        <v>65</v>
      </c>
    </row>
    <row r="4777" spans="1:9" x14ac:dyDescent="0.25">
      <c r="A4777" s="87" t="s">
        <v>428</v>
      </c>
      <c r="B4777" s="87" t="s">
        <v>429</v>
      </c>
      <c r="C4777" s="87">
        <v>1998</v>
      </c>
      <c r="D4777" s="87" t="s">
        <v>9</v>
      </c>
      <c r="E4777" s="116">
        <v>100</v>
      </c>
      <c r="F4777" s="87" t="s">
        <v>967</v>
      </c>
      <c r="G4777" s="87" t="s">
        <v>332</v>
      </c>
      <c r="H4777" s="87" t="s">
        <v>967</v>
      </c>
      <c r="I4777" s="87">
        <v>65</v>
      </c>
    </row>
    <row r="4778" spans="1:9" x14ac:dyDescent="0.25">
      <c r="A4778" s="87" t="s">
        <v>428</v>
      </c>
      <c r="B4778" s="87" t="s">
        <v>429</v>
      </c>
      <c r="C4778" s="87">
        <v>1999</v>
      </c>
      <c r="D4778" s="87" t="s">
        <v>9</v>
      </c>
      <c r="E4778" s="116">
        <v>107</v>
      </c>
      <c r="F4778" s="87" t="s">
        <v>967</v>
      </c>
      <c r="G4778" s="87" t="s">
        <v>272</v>
      </c>
      <c r="H4778" s="87" t="s">
        <v>470</v>
      </c>
      <c r="I4778" s="87">
        <v>65</v>
      </c>
    </row>
    <row r="4779" spans="1:9" x14ac:dyDescent="0.25">
      <c r="A4779" s="87" t="s">
        <v>428</v>
      </c>
      <c r="B4779" s="87" t="s">
        <v>429</v>
      </c>
      <c r="C4779" s="87">
        <v>2000</v>
      </c>
      <c r="D4779" s="87" t="s">
        <v>9</v>
      </c>
      <c r="E4779" s="116">
        <v>60</v>
      </c>
      <c r="F4779" s="87" t="s">
        <v>967</v>
      </c>
      <c r="G4779" s="87" t="s">
        <v>272</v>
      </c>
      <c r="H4779" s="87" t="s">
        <v>471</v>
      </c>
      <c r="I4779" s="87">
        <v>65</v>
      </c>
    </row>
    <row r="4780" spans="1:9" x14ac:dyDescent="0.25">
      <c r="A4780" s="87" t="s">
        <v>428</v>
      </c>
      <c r="B4780" s="87" t="s">
        <v>429</v>
      </c>
      <c r="C4780" s="87">
        <v>2001</v>
      </c>
      <c r="D4780" s="87" t="s">
        <v>9</v>
      </c>
      <c r="E4780" s="116">
        <v>109</v>
      </c>
      <c r="F4780" s="87" t="s">
        <v>967</v>
      </c>
      <c r="G4780" s="87" t="s">
        <v>272</v>
      </c>
      <c r="H4780" s="87" t="s">
        <v>967</v>
      </c>
      <c r="I4780" s="87">
        <v>65</v>
      </c>
    </row>
    <row r="4781" spans="1:9" x14ac:dyDescent="0.25">
      <c r="A4781" s="87" t="s">
        <v>428</v>
      </c>
      <c r="B4781" s="87" t="s">
        <v>429</v>
      </c>
      <c r="C4781" s="87">
        <v>2002</v>
      </c>
      <c r="D4781" s="87" t="s">
        <v>9</v>
      </c>
      <c r="E4781" s="116">
        <v>35</v>
      </c>
      <c r="F4781" s="87" t="s">
        <v>967</v>
      </c>
      <c r="G4781" s="87" t="s">
        <v>272</v>
      </c>
      <c r="H4781" s="87" t="s">
        <v>472</v>
      </c>
      <c r="I4781" s="87">
        <v>65</v>
      </c>
    </row>
    <row r="4782" spans="1:9" x14ac:dyDescent="0.25">
      <c r="A4782" s="87" t="s">
        <v>428</v>
      </c>
      <c r="B4782" s="87" t="s">
        <v>429</v>
      </c>
      <c r="C4782" s="87">
        <v>2003</v>
      </c>
      <c r="D4782" s="87" t="s">
        <v>9</v>
      </c>
      <c r="E4782" s="116">
        <v>150</v>
      </c>
      <c r="F4782" s="87" t="s">
        <v>967</v>
      </c>
      <c r="G4782" s="87" t="s">
        <v>272</v>
      </c>
      <c r="H4782" s="87" t="s">
        <v>473</v>
      </c>
      <c r="I4782" s="87">
        <v>65</v>
      </c>
    </row>
    <row r="4783" spans="1:9" x14ac:dyDescent="0.25">
      <c r="A4783" s="87" t="s">
        <v>428</v>
      </c>
      <c r="B4783" s="87" t="s">
        <v>429</v>
      </c>
      <c r="C4783" s="87">
        <v>2004</v>
      </c>
      <c r="D4783" s="87" t="s">
        <v>9</v>
      </c>
      <c r="E4783" s="116">
        <v>238</v>
      </c>
      <c r="F4783" s="87" t="s">
        <v>967</v>
      </c>
      <c r="G4783" s="87" t="s">
        <v>272</v>
      </c>
      <c r="H4783" s="87" t="s">
        <v>474</v>
      </c>
      <c r="I4783" s="87">
        <v>65</v>
      </c>
    </row>
    <row r="4784" spans="1:9" x14ac:dyDescent="0.25">
      <c r="A4784" s="87" t="s">
        <v>428</v>
      </c>
      <c r="B4784" s="87" t="s">
        <v>429</v>
      </c>
      <c r="C4784" s="87">
        <v>2005</v>
      </c>
      <c r="D4784" s="87" t="s">
        <v>9</v>
      </c>
      <c r="E4784" s="116">
        <v>-1</v>
      </c>
      <c r="F4784" s="87" t="s">
        <v>967</v>
      </c>
      <c r="G4784" s="87" t="s">
        <v>967</v>
      </c>
      <c r="H4784" s="87" t="s">
        <v>967</v>
      </c>
      <c r="I4784" s="87">
        <v>65</v>
      </c>
    </row>
    <row r="4785" spans="1:9" x14ac:dyDescent="0.25">
      <c r="A4785" s="87" t="s">
        <v>428</v>
      </c>
      <c r="B4785" s="87" t="s">
        <v>429</v>
      </c>
      <c r="C4785" s="87">
        <v>2006</v>
      </c>
      <c r="D4785" s="87" t="s">
        <v>9</v>
      </c>
      <c r="E4785" s="116">
        <v>165</v>
      </c>
      <c r="F4785" s="87" t="s">
        <v>967</v>
      </c>
      <c r="G4785" s="87" t="s">
        <v>272</v>
      </c>
      <c r="H4785" s="87" t="s">
        <v>475</v>
      </c>
      <c r="I4785" s="87">
        <v>65</v>
      </c>
    </row>
    <row r="4786" spans="1:9" x14ac:dyDescent="0.25">
      <c r="A4786" s="87" t="s">
        <v>428</v>
      </c>
      <c r="B4786" s="87" t="s">
        <v>429</v>
      </c>
      <c r="C4786" s="87">
        <v>2007</v>
      </c>
      <c r="D4786" s="87" t="s">
        <v>9</v>
      </c>
      <c r="E4786" s="116">
        <v>20</v>
      </c>
      <c r="F4786" s="87" t="s">
        <v>967</v>
      </c>
      <c r="G4786" s="87" t="s">
        <v>272</v>
      </c>
      <c r="H4786" s="87" t="s">
        <v>967</v>
      </c>
      <c r="I4786" s="87">
        <v>65</v>
      </c>
    </row>
    <row r="4787" spans="1:9" x14ac:dyDescent="0.25">
      <c r="A4787" s="87" t="s">
        <v>428</v>
      </c>
      <c r="B4787" s="87" t="s">
        <v>429</v>
      </c>
      <c r="C4787" s="87">
        <v>2008</v>
      </c>
      <c r="D4787" s="87" t="s">
        <v>9</v>
      </c>
      <c r="E4787" s="116">
        <v>150</v>
      </c>
      <c r="F4787" s="87" t="s">
        <v>967</v>
      </c>
      <c r="G4787" s="87" t="s">
        <v>272</v>
      </c>
      <c r="H4787" s="87" t="s">
        <v>476</v>
      </c>
      <c r="I4787" s="87">
        <v>65</v>
      </c>
    </row>
    <row r="4788" spans="1:9" x14ac:dyDescent="0.25">
      <c r="A4788" s="87" t="s">
        <v>428</v>
      </c>
      <c r="B4788" s="87" t="s">
        <v>429</v>
      </c>
      <c r="C4788" s="87">
        <v>2009</v>
      </c>
      <c r="D4788" s="87" t="s">
        <v>9</v>
      </c>
      <c r="E4788" s="116">
        <v>81</v>
      </c>
      <c r="F4788" s="87" t="s">
        <v>967</v>
      </c>
      <c r="G4788" s="87" t="s">
        <v>272</v>
      </c>
      <c r="H4788" s="87" t="s">
        <v>477</v>
      </c>
      <c r="I4788" s="87">
        <v>65</v>
      </c>
    </row>
    <row r="4789" spans="1:9" x14ac:dyDescent="0.25">
      <c r="A4789" s="87" t="s">
        <v>428</v>
      </c>
      <c r="B4789" s="87" t="s">
        <v>429</v>
      </c>
      <c r="C4789" s="87">
        <v>2010</v>
      </c>
      <c r="D4789" s="87" t="s">
        <v>9</v>
      </c>
      <c r="E4789" s="116">
        <v>55</v>
      </c>
      <c r="F4789" s="87" t="s">
        <v>967</v>
      </c>
      <c r="G4789" s="87" t="s">
        <v>272</v>
      </c>
      <c r="H4789" s="87" t="s">
        <v>478</v>
      </c>
      <c r="I4789" s="87">
        <v>65</v>
      </c>
    </row>
    <row r="4790" spans="1:9" x14ac:dyDescent="0.25">
      <c r="A4790" s="87" t="s">
        <v>428</v>
      </c>
      <c r="B4790" s="87" t="s">
        <v>429</v>
      </c>
      <c r="C4790" s="87">
        <v>2011</v>
      </c>
      <c r="D4790" s="87" t="s">
        <v>9</v>
      </c>
      <c r="E4790" s="116">
        <v>70</v>
      </c>
      <c r="F4790" s="87" t="s">
        <v>967</v>
      </c>
      <c r="G4790" s="87" t="s">
        <v>272</v>
      </c>
      <c r="H4790" s="87" t="s">
        <v>967</v>
      </c>
      <c r="I4790" s="87">
        <v>65</v>
      </c>
    </row>
    <row r="4791" spans="1:9" x14ac:dyDescent="0.25">
      <c r="A4791" s="87" t="s">
        <v>428</v>
      </c>
      <c r="B4791" s="87" t="s">
        <v>429</v>
      </c>
      <c r="C4791" s="87">
        <v>2012</v>
      </c>
      <c r="D4791" s="87" t="s">
        <v>9</v>
      </c>
      <c r="E4791" s="116">
        <v>97</v>
      </c>
      <c r="F4791" s="87" t="s">
        <v>967</v>
      </c>
      <c r="G4791" s="87" t="s">
        <v>272</v>
      </c>
      <c r="H4791" s="87" t="s">
        <v>967</v>
      </c>
      <c r="I4791" s="87">
        <v>65</v>
      </c>
    </row>
    <row r="4792" spans="1:9" x14ac:dyDescent="0.25">
      <c r="A4792" s="87" t="s">
        <v>428</v>
      </c>
      <c r="B4792" s="87" t="s">
        <v>429</v>
      </c>
      <c r="C4792" s="87">
        <v>2013</v>
      </c>
      <c r="D4792" s="87" t="s">
        <v>9</v>
      </c>
      <c r="E4792" s="116">
        <v>-6</v>
      </c>
      <c r="F4792" s="87" t="s">
        <v>967</v>
      </c>
      <c r="G4792" s="87" t="s">
        <v>372</v>
      </c>
      <c r="H4792" s="87" t="s">
        <v>479</v>
      </c>
      <c r="I4792" s="87">
        <v>65</v>
      </c>
    </row>
    <row r="4793" spans="1:9" x14ac:dyDescent="0.25">
      <c r="A4793" s="87" t="s">
        <v>428</v>
      </c>
      <c r="B4793" s="87" t="s">
        <v>429</v>
      </c>
      <c r="C4793" s="87">
        <v>2014</v>
      </c>
      <c r="D4793" s="87" t="s">
        <v>9</v>
      </c>
      <c r="E4793" s="116">
        <v>-1</v>
      </c>
      <c r="F4793" s="87" t="s">
        <v>967</v>
      </c>
      <c r="G4793" s="87" t="s">
        <v>967</v>
      </c>
      <c r="H4793" s="87" t="s">
        <v>967</v>
      </c>
      <c r="I4793" s="87">
        <v>65</v>
      </c>
    </row>
    <row r="4794" spans="1:9" x14ac:dyDescent="0.25">
      <c r="A4794" s="87" t="s">
        <v>428</v>
      </c>
      <c r="B4794" s="87" t="s">
        <v>429</v>
      </c>
      <c r="C4794" s="87">
        <v>2015</v>
      </c>
      <c r="D4794" s="87" t="s">
        <v>9</v>
      </c>
      <c r="E4794" s="116">
        <v>-6</v>
      </c>
      <c r="F4794" s="87" t="s">
        <v>967</v>
      </c>
      <c r="G4794" s="87" t="s">
        <v>372</v>
      </c>
      <c r="H4794" s="87" t="s">
        <v>480</v>
      </c>
      <c r="I4794" s="87">
        <v>65</v>
      </c>
    </row>
    <row r="4795" spans="1:9" x14ac:dyDescent="0.25">
      <c r="A4795" s="87" t="s">
        <v>428</v>
      </c>
      <c r="B4795" s="87" t="s">
        <v>429</v>
      </c>
      <c r="C4795" s="87">
        <v>2016</v>
      </c>
      <c r="D4795" s="87" t="s">
        <v>9</v>
      </c>
      <c r="E4795" s="116">
        <v>-1</v>
      </c>
      <c r="F4795" s="87" t="s">
        <v>967</v>
      </c>
      <c r="G4795" s="87" t="s">
        <v>967</v>
      </c>
      <c r="H4795" s="87" t="s">
        <v>967</v>
      </c>
      <c r="I4795" s="87">
        <v>65</v>
      </c>
    </row>
    <row r="4796" spans="1:9" x14ac:dyDescent="0.25">
      <c r="A4796" s="87" t="s">
        <v>428</v>
      </c>
      <c r="B4796" s="87" t="s">
        <v>429</v>
      </c>
      <c r="C4796" s="87">
        <v>2017</v>
      </c>
      <c r="D4796" s="87" t="s">
        <v>9</v>
      </c>
      <c r="E4796" s="116">
        <v>-1</v>
      </c>
      <c r="F4796" s="87" t="s">
        <v>967</v>
      </c>
      <c r="G4796" s="87" t="s">
        <v>967</v>
      </c>
      <c r="H4796" s="87" t="s">
        <v>967</v>
      </c>
      <c r="I4796" s="87">
        <v>65</v>
      </c>
    </row>
    <row r="4797" spans="1:9" x14ac:dyDescent="0.25">
      <c r="A4797" s="87" t="s">
        <v>428</v>
      </c>
      <c r="B4797" s="87" t="s">
        <v>429</v>
      </c>
      <c r="C4797" s="87">
        <v>2018</v>
      </c>
      <c r="D4797" s="87" t="s">
        <v>9</v>
      </c>
      <c r="E4797" s="116">
        <v>101</v>
      </c>
      <c r="F4797" s="87" t="s">
        <v>967</v>
      </c>
      <c r="G4797" s="87" t="s">
        <v>272</v>
      </c>
      <c r="H4797" s="87" t="s">
        <v>952</v>
      </c>
      <c r="I4797" s="87">
        <v>65</v>
      </c>
    </row>
    <row r="4798" spans="1:9" x14ac:dyDescent="0.25">
      <c r="A4798" s="87" t="s">
        <v>428</v>
      </c>
      <c r="B4798" s="87" t="s">
        <v>429</v>
      </c>
      <c r="C4798" s="87">
        <v>2019</v>
      </c>
      <c r="D4798" s="87" t="s">
        <v>9</v>
      </c>
      <c r="E4798" s="116">
        <v>75</v>
      </c>
      <c r="F4798" s="87" t="s">
        <v>967</v>
      </c>
      <c r="G4798" s="87" t="s">
        <v>277</v>
      </c>
      <c r="H4798" s="87" t="s">
        <v>1008</v>
      </c>
      <c r="I4798" s="87">
        <v>65</v>
      </c>
    </row>
    <row r="4799" spans="1:9" x14ac:dyDescent="0.25">
      <c r="A4799" s="87" t="s">
        <v>428</v>
      </c>
      <c r="B4799" s="87" t="s">
        <v>429</v>
      </c>
      <c r="C4799" s="87">
        <v>2020</v>
      </c>
      <c r="D4799" s="87" t="s">
        <v>9</v>
      </c>
      <c r="E4799" s="116">
        <v>0</v>
      </c>
      <c r="F4799" s="87" t="s">
        <v>967</v>
      </c>
      <c r="G4799" s="87" t="s">
        <v>272</v>
      </c>
      <c r="H4799" s="87" t="s">
        <v>967</v>
      </c>
      <c r="I4799" s="87">
        <v>65</v>
      </c>
    </row>
    <row r="4800" spans="1:9" x14ac:dyDescent="0.25">
      <c r="A4800" s="87" t="s">
        <v>428</v>
      </c>
      <c r="B4800" s="87" t="s">
        <v>429</v>
      </c>
      <c r="C4800" s="87">
        <v>2021</v>
      </c>
      <c r="D4800" s="87" t="s">
        <v>9</v>
      </c>
      <c r="E4800" s="116">
        <v>0</v>
      </c>
      <c r="F4800" s="87" t="s">
        <v>967</v>
      </c>
      <c r="G4800" s="87" t="s">
        <v>277</v>
      </c>
      <c r="H4800" s="87" t="s">
        <v>967</v>
      </c>
      <c r="I4800" s="87">
        <v>65</v>
      </c>
    </row>
    <row r="4801" spans="1:9" x14ac:dyDescent="0.25">
      <c r="A4801" s="87" t="s">
        <v>428</v>
      </c>
      <c r="B4801" s="87" t="s">
        <v>429</v>
      </c>
      <c r="C4801" s="87">
        <v>2022</v>
      </c>
      <c r="D4801" s="87" t="s">
        <v>9</v>
      </c>
      <c r="E4801" s="116">
        <v>29</v>
      </c>
      <c r="F4801" s="87" t="s">
        <v>967</v>
      </c>
      <c r="G4801" s="87" t="s">
        <v>274</v>
      </c>
      <c r="H4801" s="87" t="s">
        <v>967</v>
      </c>
      <c r="I4801" s="87">
        <v>65</v>
      </c>
    </row>
    <row r="4802" spans="1:9" x14ac:dyDescent="0.25">
      <c r="A4802" s="87" t="s">
        <v>445</v>
      </c>
      <c r="B4802" s="87" t="s">
        <v>220</v>
      </c>
      <c r="C4802" s="87">
        <v>1975</v>
      </c>
      <c r="D4802" s="87" t="s">
        <v>18</v>
      </c>
      <c r="E4802" s="116">
        <v>-1</v>
      </c>
      <c r="F4802" s="87" t="s">
        <v>432</v>
      </c>
      <c r="G4802" s="87" t="s">
        <v>332</v>
      </c>
      <c r="H4802" s="87" t="s">
        <v>432</v>
      </c>
      <c r="I4802" s="87">
        <v>84</v>
      </c>
    </row>
    <row r="4803" spans="1:9" x14ac:dyDescent="0.25">
      <c r="A4803" s="87" t="s">
        <v>445</v>
      </c>
      <c r="B4803" s="87" t="s">
        <v>220</v>
      </c>
      <c r="C4803" s="87">
        <v>1976</v>
      </c>
      <c r="D4803" s="87" t="s">
        <v>18</v>
      </c>
      <c r="E4803" s="116">
        <v>-1</v>
      </c>
      <c r="F4803" s="87" t="s">
        <v>432</v>
      </c>
      <c r="G4803" s="87" t="s">
        <v>332</v>
      </c>
      <c r="H4803" s="87" t="s">
        <v>432</v>
      </c>
      <c r="I4803" s="87">
        <v>84</v>
      </c>
    </row>
    <row r="4804" spans="1:9" x14ac:dyDescent="0.25">
      <c r="A4804" s="87" t="s">
        <v>445</v>
      </c>
      <c r="B4804" s="87" t="s">
        <v>220</v>
      </c>
      <c r="C4804" s="87">
        <v>1977</v>
      </c>
      <c r="D4804" s="87" t="s">
        <v>18</v>
      </c>
      <c r="E4804" s="116">
        <v>-1</v>
      </c>
      <c r="F4804" s="87" t="s">
        <v>432</v>
      </c>
      <c r="G4804" s="87" t="s">
        <v>332</v>
      </c>
      <c r="H4804" s="87" t="s">
        <v>432</v>
      </c>
      <c r="I4804" s="87">
        <v>84</v>
      </c>
    </row>
    <row r="4805" spans="1:9" x14ac:dyDescent="0.25">
      <c r="A4805" s="87" t="s">
        <v>445</v>
      </c>
      <c r="B4805" s="87" t="s">
        <v>220</v>
      </c>
      <c r="C4805" s="87">
        <v>1978</v>
      </c>
      <c r="D4805" s="87" t="s">
        <v>18</v>
      </c>
      <c r="E4805" s="116">
        <v>-1</v>
      </c>
      <c r="F4805" s="87" t="s">
        <v>432</v>
      </c>
      <c r="G4805" s="87" t="s">
        <v>332</v>
      </c>
      <c r="H4805" s="87" t="s">
        <v>432</v>
      </c>
      <c r="I4805" s="87">
        <v>84</v>
      </c>
    </row>
    <row r="4806" spans="1:9" x14ac:dyDescent="0.25">
      <c r="A4806" s="87" t="s">
        <v>445</v>
      </c>
      <c r="B4806" s="87" t="s">
        <v>220</v>
      </c>
      <c r="C4806" s="87">
        <v>1979</v>
      </c>
      <c r="D4806" s="87" t="s">
        <v>18</v>
      </c>
      <c r="E4806" s="116">
        <v>-1</v>
      </c>
      <c r="F4806" s="87" t="s">
        <v>432</v>
      </c>
      <c r="G4806" s="87" t="s">
        <v>332</v>
      </c>
      <c r="H4806" s="87" t="s">
        <v>432</v>
      </c>
      <c r="I4806" s="87">
        <v>84</v>
      </c>
    </row>
    <row r="4807" spans="1:9" x14ac:dyDescent="0.25">
      <c r="A4807" s="87" t="s">
        <v>445</v>
      </c>
      <c r="B4807" s="87" t="s">
        <v>220</v>
      </c>
      <c r="C4807" s="87">
        <v>1980</v>
      </c>
      <c r="D4807" s="87" t="s">
        <v>18</v>
      </c>
      <c r="E4807" s="116">
        <v>-1</v>
      </c>
      <c r="F4807" s="87" t="s">
        <v>432</v>
      </c>
      <c r="G4807" s="87" t="s">
        <v>332</v>
      </c>
      <c r="H4807" s="87" t="s">
        <v>432</v>
      </c>
      <c r="I4807" s="87">
        <v>84</v>
      </c>
    </row>
    <row r="4808" spans="1:9" x14ac:dyDescent="0.25">
      <c r="A4808" s="87" t="s">
        <v>445</v>
      </c>
      <c r="B4808" s="87" t="s">
        <v>220</v>
      </c>
      <c r="C4808" s="87">
        <v>1981</v>
      </c>
      <c r="D4808" s="87" t="s">
        <v>18</v>
      </c>
      <c r="E4808" s="116">
        <v>-1</v>
      </c>
      <c r="F4808" s="87" t="s">
        <v>432</v>
      </c>
      <c r="G4808" s="87" t="s">
        <v>332</v>
      </c>
      <c r="H4808" s="87" t="s">
        <v>432</v>
      </c>
      <c r="I4808" s="87">
        <v>84</v>
      </c>
    </row>
    <row r="4809" spans="1:9" x14ac:dyDescent="0.25">
      <c r="A4809" s="87" t="s">
        <v>445</v>
      </c>
      <c r="B4809" s="87" t="s">
        <v>220</v>
      </c>
      <c r="C4809" s="87">
        <v>1982</v>
      </c>
      <c r="D4809" s="87" t="s">
        <v>18</v>
      </c>
      <c r="E4809" s="116">
        <v>-1</v>
      </c>
      <c r="F4809" s="87" t="s">
        <v>432</v>
      </c>
      <c r="G4809" s="87" t="s">
        <v>332</v>
      </c>
      <c r="H4809" s="87" t="s">
        <v>432</v>
      </c>
      <c r="I4809" s="87">
        <v>84</v>
      </c>
    </row>
    <row r="4810" spans="1:9" x14ac:dyDescent="0.25">
      <c r="A4810" s="87" t="s">
        <v>445</v>
      </c>
      <c r="B4810" s="87" t="s">
        <v>220</v>
      </c>
      <c r="C4810" s="87">
        <v>1983</v>
      </c>
      <c r="D4810" s="87" t="s">
        <v>18</v>
      </c>
      <c r="E4810" s="116">
        <v>-1</v>
      </c>
      <c r="F4810" s="87" t="s">
        <v>432</v>
      </c>
      <c r="G4810" s="87" t="s">
        <v>332</v>
      </c>
      <c r="H4810" s="87" t="s">
        <v>432</v>
      </c>
      <c r="I4810" s="87">
        <v>84</v>
      </c>
    </row>
    <row r="4811" spans="1:9" x14ac:dyDescent="0.25">
      <c r="A4811" s="87" t="s">
        <v>445</v>
      </c>
      <c r="B4811" s="87" t="s">
        <v>220</v>
      </c>
      <c r="C4811" s="87">
        <v>1984</v>
      </c>
      <c r="D4811" s="87" t="s">
        <v>18</v>
      </c>
      <c r="E4811" s="116">
        <v>-1</v>
      </c>
      <c r="F4811" s="87" t="s">
        <v>432</v>
      </c>
      <c r="G4811" s="87" t="s">
        <v>332</v>
      </c>
      <c r="H4811" s="87" t="s">
        <v>432</v>
      </c>
      <c r="I4811" s="87">
        <v>84</v>
      </c>
    </row>
    <row r="4812" spans="1:9" x14ac:dyDescent="0.25">
      <c r="A4812" s="87" t="s">
        <v>445</v>
      </c>
      <c r="B4812" s="87" t="s">
        <v>220</v>
      </c>
      <c r="C4812" s="87">
        <v>1985</v>
      </c>
      <c r="D4812" s="87" t="s">
        <v>18</v>
      </c>
      <c r="E4812" s="116">
        <v>-1</v>
      </c>
      <c r="F4812" s="87" t="s">
        <v>432</v>
      </c>
      <c r="G4812" s="87" t="s">
        <v>332</v>
      </c>
      <c r="H4812" s="87" t="s">
        <v>432</v>
      </c>
      <c r="I4812" s="87">
        <v>84</v>
      </c>
    </row>
    <row r="4813" spans="1:9" x14ac:dyDescent="0.25">
      <c r="A4813" s="87" t="s">
        <v>445</v>
      </c>
      <c r="B4813" s="87" t="s">
        <v>220</v>
      </c>
      <c r="C4813" s="87">
        <v>1986</v>
      </c>
      <c r="D4813" s="87" t="s">
        <v>18</v>
      </c>
      <c r="E4813" s="116">
        <v>-1</v>
      </c>
      <c r="F4813" s="87" t="s">
        <v>432</v>
      </c>
      <c r="G4813" s="87" t="s">
        <v>332</v>
      </c>
      <c r="H4813" s="87" t="s">
        <v>432</v>
      </c>
      <c r="I4813" s="87">
        <v>84</v>
      </c>
    </row>
    <row r="4814" spans="1:9" x14ac:dyDescent="0.25">
      <c r="A4814" s="87" t="s">
        <v>445</v>
      </c>
      <c r="B4814" s="87" t="s">
        <v>220</v>
      </c>
      <c r="C4814" s="87">
        <v>1987</v>
      </c>
      <c r="D4814" s="87" t="s">
        <v>18</v>
      </c>
      <c r="E4814" s="116">
        <v>-1</v>
      </c>
      <c r="F4814" s="87" t="s">
        <v>432</v>
      </c>
      <c r="G4814" s="87" t="s">
        <v>332</v>
      </c>
      <c r="H4814" s="87" t="s">
        <v>432</v>
      </c>
      <c r="I4814" s="87">
        <v>84</v>
      </c>
    </row>
    <row r="4815" spans="1:9" x14ac:dyDescent="0.25">
      <c r="A4815" s="87" t="s">
        <v>445</v>
      </c>
      <c r="B4815" s="87" t="s">
        <v>220</v>
      </c>
      <c r="C4815" s="87">
        <v>1988</v>
      </c>
      <c r="D4815" s="87" t="s">
        <v>18</v>
      </c>
      <c r="E4815" s="116">
        <v>-1</v>
      </c>
      <c r="F4815" s="87" t="s">
        <v>432</v>
      </c>
      <c r="G4815" s="87" t="s">
        <v>332</v>
      </c>
      <c r="H4815" s="87" t="s">
        <v>432</v>
      </c>
      <c r="I4815" s="87">
        <v>84</v>
      </c>
    </row>
    <row r="4816" spans="1:9" x14ac:dyDescent="0.25">
      <c r="A4816" s="87" t="s">
        <v>445</v>
      </c>
      <c r="B4816" s="87" t="s">
        <v>220</v>
      </c>
      <c r="C4816" s="87">
        <v>1989</v>
      </c>
      <c r="D4816" s="87" t="s">
        <v>18</v>
      </c>
      <c r="E4816" s="116">
        <v>-1</v>
      </c>
      <c r="F4816" s="87" t="s">
        <v>432</v>
      </c>
      <c r="G4816" s="87" t="s">
        <v>332</v>
      </c>
      <c r="H4816" s="87" t="s">
        <v>432</v>
      </c>
      <c r="I4816" s="87">
        <v>84</v>
      </c>
    </row>
    <row r="4817" spans="1:9" x14ac:dyDescent="0.25">
      <c r="A4817" s="87" t="s">
        <v>445</v>
      </c>
      <c r="B4817" s="87" t="s">
        <v>220</v>
      </c>
      <c r="C4817" s="87">
        <v>1990</v>
      </c>
      <c r="D4817" s="87" t="s">
        <v>18</v>
      </c>
      <c r="E4817" s="116">
        <v>-1</v>
      </c>
      <c r="F4817" s="87" t="s">
        <v>432</v>
      </c>
      <c r="G4817" s="87" t="s">
        <v>332</v>
      </c>
      <c r="H4817" s="87" t="s">
        <v>432</v>
      </c>
      <c r="I4817" s="87">
        <v>84</v>
      </c>
    </row>
    <row r="4818" spans="1:9" x14ac:dyDescent="0.25">
      <c r="A4818" s="87" t="s">
        <v>445</v>
      </c>
      <c r="B4818" s="87" t="s">
        <v>220</v>
      </c>
      <c r="C4818" s="87">
        <v>1991</v>
      </c>
      <c r="D4818" s="87" t="s">
        <v>18</v>
      </c>
      <c r="E4818" s="116">
        <v>-1</v>
      </c>
      <c r="F4818" s="87" t="s">
        <v>562</v>
      </c>
      <c r="G4818" s="87" t="s">
        <v>332</v>
      </c>
      <c r="H4818" s="87" t="s">
        <v>562</v>
      </c>
      <c r="I4818" s="87">
        <v>84</v>
      </c>
    </row>
    <row r="4819" spans="1:9" x14ac:dyDescent="0.25">
      <c r="A4819" s="87" t="s">
        <v>445</v>
      </c>
      <c r="B4819" s="87" t="s">
        <v>220</v>
      </c>
      <c r="C4819" s="87">
        <v>1992</v>
      </c>
      <c r="D4819" s="87" t="s">
        <v>18</v>
      </c>
      <c r="E4819" s="116">
        <v>-1</v>
      </c>
      <c r="F4819" s="87" t="s">
        <v>562</v>
      </c>
      <c r="G4819" s="87" t="s">
        <v>332</v>
      </c>
      <c r="H4819" s="87" t="s">
        <v>562</v>
      </c>
      <c r="I4819" s="87">
        <v>84</v>
      </c>
    </row>
    <row r="4820" spans="1:9" x14ac:dyDescent="0.25">
      <c r="A4820" s="87" t="s">
        <v>445</v>
      </c>
      <c r="B4820" s="87" t="s">
        <v>220</v>
      </c>
      <c r="C4820" s="87">
        <v>1993</v>
      </c>
      <c r="D4820" s="87" t="s">
        <v>18</v>
      </c>
      <c r="E4820" s="116">
        <v>317</v>
      </c>
      <c r="F4820" s="87" t="s">
        <v>562</v>
      </c>
      <c r="G4820" s="87" t="s">
        <v>332</v>
      </c>
      <c r="H4820" s="87" t="s">
        <v>562</v>
      </c>
      <c r="I4820" s="87">
        <v>84</v>
      </c>
    </row>
    <row r="4821" spans="1:9" x14ac:dyDescent="0.25">
      <c r="A4821" s="87" t="s">
        <v>445</v>
      </c>
      <c r="B4821" s="87" t="s">
        <v>220</v>
      </c>
      <c r="C4821" s="87">
        <v>1994</v>
      </c>
      <c r="D4821" s="87" t="s">
        <v>18</v>
      </c>
      <c r="E4821" s="116">
        <v>600</v>
      </c>
      <c r="F4821" s="87" t="s">
        <v>562</v>
      </c>
      <c r="G4821" s="87" t="s">
        <v>332</v>
      </c>
      <c r="H4821" s="87" t="s">
        <v>562</v>
      </c>
      <c r="I4821" s="87">
        <v>84</v>
      </c>
    </row>
    <row r="4822" spans="1:9" x14ac:dyDescent="0.25">
      <c r="A4822" s="87" t="s">
        <v>445</v>
      </c>
      <c r="B4822" s="87" t="s">
        <v>220</v>
      </c>
      <c r="C4822" s="87">
        <v>1995</v>
      </c>
      <c r="D4822" s="87" t="s">
        <v>18</v>
      </c>
      <c r="E4822" s="116">
        <v>1000</v>
      </c>
      <c r="F4822" s="87" t="s">
        <v>562</v>
      </c>
      <c r="G4822" s="87" t="s">
        <v>332</v>
      </c>
      <c r="H4822" s="87" t="s">
        <v>562</v>
      </c>
      <c r="I4822" s="87">
        <v>84</v>
      </c>
    </row>
    <row r="4823" spans="1:9" x14ac:dyDescent="0.25">
      <c r="A4823" s="87" t="s">
        <v>445</v>
      </c>
      <c r="B4823" s="87" t="s">
        <v>220</v>
      </c>
      <c r="C4823" s="87">
        <v>1996</v>
      </c>
      <c r="D4823" s="87" t="s">
        <v>18</v>
      </c>
      <c r="E4823" s="116">
        <v>848</v>
      </c>
      <c r="F4823" s="87" t="s">
        <v>562</v>
      </c>
      <c r="G4823" s="87" t="s">
        <v>332</v>
      </c>
      <c r="H4823" s="87" t="s">
        <v>562</v>
      </c>
      <c r="I4823" s="87">
        <v>84</v>
      </c>
    </row>
    <row r="4824" spans="1:9" x14ac:dyDescent="0.25">
      <c r="A4824" s="87" t="s">
        <v>445</v>
      </c>
      <c r="B4824" s="87" t="s">
        <v>220</v>
      </c>
      <c r="C4824" s="87">
        <v>1997</v>
      </c>
      <c r="D4824" s="87" t="s">
        <v>18</v>
      </c>
      <c r="E4824" s="116">
        <v>2104</v>
      </c>
      <c r="F4824" s="87" t="s">
        <v>562</v>
      </c>
      <c r="G4824" s="87" t="s">
        <v>332</v>
      </c>
      <c r="H4824" s="87" t="s">
        <v>562</v>
      </c>
      <c r="I4824" s="87">
        <v>84</v>
      </c>
    </row>
    <row r="4825" spans="1:9" x14ac:dyDescent="0.25">
      <c r="A4825" s="87" t="s">
        <v>445</v>
      </c>
      <c r="B4825" s="87" t="s">
        <v>220</v>
      </c>
      <c r="C4825" s="87">
        <v>1998</v>
      </c>
      <c r="D4825" s="87" t="s">
        <v>18</v>
      </c>
      <c r="E4825" s="116">
        <v>605</v>
      </c>
      <c r="F4825" s="87" t="s">
        <v>562</v>
      </c>
      <c r="G4825" s="87" t="s">
        <v>332</v>
      </c>
      <c r="H4825" s="87" t="s">
        <v>562</v>
      </c>
      <c r="I4825" s="87">
        <v>84</v>
      </c>
    </row>
    <row r="4826" spans="1:9" x14ac:dyDescent="0.25">
      <c r="A4826" s="87" t="s">
        <v>445</v>
      </c>
      <c r="B4826" s="87" t="s">
        <v>220</v>
      </c>
      <c r="C4826" s="87">
        <v>1999</v>
      </c>
      <c r="D4826" s="87" t="s">
        <v>18</v>
      </c>
      <c r="E4826" s="116">
        <v>500</v>
      </c>
      <c r="F4826" s="87" t="s">
        <v>562</v>
      </c>
      <c r="G4826" s="87" t="s">
        <v>332</v>
      </c>
      <c r="H4826" s="87" t="s">
        <v>562</v>
      </c>
      <c r="I4826" s="87">
        <v>84</v>
      </c>
    </row>
    <row r="4827" spans="1:9" x14ac:dyDescent="0.25">
      <c r="A4827" s="87" t="s">
        <v>445</v>
      </c>
      <c r="B4827" s="87" t="s">
        <v>220</v>
      </c>
      <c r="C4827" s="87">
        <v>2000</v>
      </c>
      <c r="D4827" s="87" t="s">
        <v>18</v>
      </c>
      <c r="E4827" s="116">
        <v>500</v>
      </c>
      <c r="F4827" s="87" t="s">
        <v>562</v>
      </c>
      <c r="G4827" s="87" t="s">
        <v>332</v>
      </c>
      <c r="H4827" s="87" t="s">
        <v>562</v>
      </c>
      <c r="I4827" s="87">
        <v>84</v>
      </c>
    </row>
    <row r="4828" spans="1:9" x14ac:dyDescent="0.25">
      <c r="A4828" s="87" t="s">
        <v>445</v>
      </c>
      <c r="B4828" s="87" t="s">
        <v>220</v>
      </c>
      <c r="C4828" s="87">
        <v>2001</v>
      </c>
      <c r="D4828" s="87" t="s">
        <v>18</v>
      </c>
      <c r="E4828" s="116">
        <v>1000</v>
      </c>
      <c r="F4828" s="87" t="s">
        <v>562</v>
      </c>
      <c r="G4828" s="87" t="s">
        <v>332</v>
      </c>
      <c r="H4828" s="87" t="s">
        <v>562</v>
      </c>
      <c r="I4828" s="87">
        <v>84</v>
      </c>
    </row>
    <row r="4829" spans="1:9" x14ac:dyDescent="0.25">
      <c r="A4829" s="87" t="s">
        <v>445</v>
      </c>
      <c r="B4829" s="87" t="s">
        <v>220</v>
      </c>
      <c r="C4829" s="87">
        <v>2002</v>
      </c>
      <c r="D4829" s="87" t="s">
        <v>18</v>
      </c>
      <c r="E4829" s="116">
        <v>632</v>
      </c>
      <c r="F4829" s="87" t="s">
        <v>562</v>
      </c>
      <c r="G4829" s="87" t="s">
        <v>332</v>
      </c>
      <c r="H4829" s="87" t="s">
        <v>562</v>
      </c>
      <c r="I4829" s="87">
        <v>84</v>
      </c>
    </row>
    <row r="4830" spans="1:9" x14ac:dyDescent="0.25">
      <c r="A4830" s="87" t="s">
        <v>445</v>
      </c>
      <c r="B4830" s="87" t="s">
        <v>220</v>
      </c>
      <c r="C4830" s="87">
        <v>2003</v>
      </c>
      <c r="D4830" s="87" t="s">
        <v>18</v>
      </c>
      <c r="E4830" s="116">
        <v>1200</v>
      </c>
      <c r="F4830" s="87" t="s">
        <v>562</v>
      </c>
      <c r="G4830" s="87" t="s">
        <v>332</v>
      </c>
      <c r="H4830" s="87" t="s">
        <v>562</v>
      </c>
      <c r="I4830" s="87">
        <v>84</v>
      </c>
    </row>
    <row r="4831" spans="1:9" x14ac:dyDescent="0.25">
      <c r="A4831" s="87" t="s">
        <v>445</v>
      </c>
      <c r="B4831" s="87" t="s">
        <v>220</v>
      </c>
      <c r="C4831" s="87">
        <v>2004</v>
      </c>
      <c r="D4831" s="87" t="s">
        <v>18</v>
      </c>
      <c r="E4831" s="116">
        <v>1034</v>
      </c>
      <c r="F4831" s="87" t="s">
        <v>562</v>
      </c>
      <c r="G4831" s="87" t="s">
        <v>332</v>
      </c>
      <c r="H4831" s="87" t="s">
        <v>562</v>
      </c>
      <c r="I4831" s="87">
        <v>84</v>
      </c>
    </row>
    <row r="4832" spans="1:9" x14ac:dyDescent="0.25">
      <c r="A4832" s="87" t="s">
        <v>445</v>
      </c>
      <c r="B4832" s="87" t="s">
        <v>220</v>
      </c>
      <c r="C4832" s="87">
        <v>2005</v>
      </c>
      <c r="D4832" s="87" t="s">
        <v>18</v>
      </c>
      <c r="E4832" s="116">
        <v>1000</v>
      </c>
      <c r="F4832" s="87" t="s">
        <v>562</v>
      </c>
      <c r="G4832" s="87" t="s">
        <v>332</v>
      </c>
      <c r="H4832" s="87" t="s">
        <v>562</v>
      </c>
      <c r="I4832" s="87">
        <v>84</v>
      </c>
    </row>
    <row r="4833" spans="1:9" x14ac:dyDescent="0.25">
      <c r="A4833" s="87" t="s">
        <v>445</v>
      </c>
      <c r="B4833" s="87" t="s">
        <v>220</v>
      </c>
      <c r="C4833" s="87">
        <v>2006</v>
      </c>
      <c r="D4833" s="87" t="s">
        <v>18</v>
      </c>
      <c r="E4833" s="116">
        <v>-1</v>
      </c>
      <c r="F4833" s="87" t="s">
        <v>562</v>
      </c>
      <c r="G4833" s="87" t="s">
        <v>332</v>
      </c>
      <c r="H4833" s="87" t="s">
        <v>562</v>
      </c>
      <c r="I4833" s="87">
        <v>84</v>
      </c>
    </row>
    <row r="4834" spans="1:9" x14ac:dyDescent="0.25">
      <c r="A4834" s="87" t="s">
        <v>445</v>
      </c>
      <c r="B4834" s="87" t="s">
        <v>220</v>
      </c>
      <c r="C4834" s="87">
        <v>2007</v>
      </c>
      <c r="D4834" s="87" t="s">
        <v>18</v>
      </c>
      <c r="E4834" s="116">
        <v>-1</v>
      </c>
      <c r="F4834" s="87" t="s">
        <v>562</v>
      </c>
      <c r="G4834" s="87" t="s">
        <v>332</v>
      </c>
      <c r="H4834" s="87" t="s">
        <v>562</v>
      </c>
      <c r="I4834" s="87">
        <v>84</v>
      </c>
    </row>
    <row r="4835" spans="1:9" x14ac:dyDescent="0.25">
      <c r="A4835" s="87" t="s">
        <v>445</v>
      </c>
      <c r="B4835" s="87" t="s">
        <v>220</v>
      </c>
      <c r="C4835" s="87">
        <v>2008</v>
      </c>
      <c r="D4835" s="87" t="s">
        <v>18</v>
      </c>
      <c r="E4835" s="116">
        <v>823</v>
      </c>
      <c r="F4835" s="87" t="s">
        <v>562</v>
      </c>
      <c r="G4835" s="87" t="s">
        <v>332</v>
      </c>
      <c r="H4835" s="87" t="s">
        <v>562</v>
      </c>
      <c r="I4835" s="87">
        <v>84</v>
      </c>
    </row>
    <row r="4836" spans="1:9" x14ac:dyDescent="0.25">
      <c r="A4836" s="87" t="s">
        <v>445</v>
      </c>
      <c r="B4836" s="87" t="s">
        <v>220</v>
      </c>
      <c r="C4836" s="87">
        <v>2009</v>
      </c>
      <c r="D4836" s="87" t="s">
        <v>18</v>
      </c>
      <c r="E4836" s="116">
        <v>-1</v>
      </c>
      <c r="F4836" s="87" t="s">
        <v>562</v>
      </c>
      <c r="G4836" s="87" t="s">
        <v>332</v>
      </c>
      <c r="H4836" s="87" t="s">
        <v>562</v>
      </c>
      <c r="I4836" s="87">
        <v>84</v>
      </c>
    </row>
    <row r="4837" spans="1:9" x14ac:dyDescent="0.25">
      <c r="A4837" s="87" t="s">
        <v>445</v>
      </c>
      <c r="B4837" s="87" t="s">
        <v>220</v>
      </c>
      <c r="C4837" s="87">
        <v>2010</v>
      </c>
      <c r="D4837" s="87" t="s">
        <v>18</v>
      </c>
      <c r="E4837" s="116">
        <v>-1</v>
      </c>
      <c r="F4837" s="87" t="s">
        <v>562</v>
      </c>
      <c r="G4837" s="87" t="s">
        <v>332</v>
      </c>
      <c r="H4837" s="87" t="s">
        <v>562</v>
      </c>
      <c r="I4837" s="87">
        <v>84</v>
      </c>
    </row>
    <row r="4838" spans="1:9" x14ac:dyDescent="0.25">
      <c r="A4838" s="87" t="s">
        <v>445</v>
      </c>
      <c r="B4838" s="87" t="s">
        <v>220</v>
      </c>
      <c r="C4838" s="87">
        <v>2011</v>
      </c>
      <c r="D4838" s="87" t="s">
        <v>18</v>
      </c>
      <c r="E4838" s="116">
        <v>918</v>
      </c>
      <c r="F4838" s="87" t="s">
        <v>562</v>
      </c>
      <c r="G4838" s="87" t="s">
        <v>332</v>
      </c>
      <c r="H4838" s="87" t="s">
        <v>562</v>
      </c>
      <c r="I4838" s="87">
        <v>84</v>
      </c>
    </row>
    <row r="4839" spans="1:9" x14ac:dyDescent="0.25">
      <c r="A4839" s="87" t="s">
        <v>445</v>
      </c>
      <c r="B4839" s="87" t="s">
        <v>220</v>
      </c>
      <c r="C4839" s="87">
        <v>2012</v>
      </c>
      <c r="D4839" s="87" t="s">
        <v>18</v>
      </c>
      <c r="E4839" s="116">
        <v>-1</v>
      </c>
      <c r="F4839" s="87" t="s">
        <v>562</v>
      </c>
      <c r="G4839" s="87" t="s">
        <v>332</v>
      </c>
      <c r="H4839" s="87" t="s">
        <v>562</v>
      </c>
      <c r="I4839" s="87">
        <v>84</v>
      </c>
    </row>
    <row r="4840" spans="1:9" x14ac:dyDescent="0.25">
      <c r="A4840" s="87" t="s">
        <v>445</v>
      </c>
      <c r="B4840" s="87" t="s">
        <v>220</v>
      </c>
      <c r="C4840" s="87">
        <v>2013</v>
      </c>
      <c r="D4840" s="87" t="s">
        <v>18</v>
      </c>
      <c r="E4840" s="116">
        <v>814</v>
      </c>
      <c r="F4840" s="87" t="s">
        <v>562</v>
      </c>
      <c r="G4840" s="87" t="s">
        <v>332</v>
      </c>
      <c r="H4840" s="87" t="s">
        <v>562</v>
      </c>
      <c r="I4840" s="87">
        <v>84</v>
      </c>
    </row>
    <row r="4841" spans="1:9" x14ac:dyDescent="0.25">
      <c r="A4841" s="87" t="s">
        <v>445</v>
      </c>
      <c r="B4841" s="87" t="s">
        <v>220</v>
      </c>
      <c r="C4841" s="87">
        <v>2014</v>
      </c>
      <c r="D4841" s="87" t="s">
        <v>18</v>
      </c>
      <c r="E4841" s="116">
        <v>902</v>
      </c>
      <c r="F4841" s="87" t="s">
        <v>562</v>
      </c>
      <c r="G4841" s="87" t="s">
        <v>332</v>
      </c>
      <c r="H4841" s="87" t="s">
        <v>562</v>
      </c>
      <c r="I4841" s="87">
        <v>84</v>
      </c>
    </row>
    <row r="4842" spans="1:9" x14ac:dyDescent="0.25">
      <c r="A4842" s="87" t="s">
        <v>445</v>
      </c>
      <c r="B4842" s="87" t="s">
        <v>220</v>
      </c>
      <c r="C4842" s="87">
        <v>2015</v>
      </c>
      <c r="D4842" s="87" t="s">
        <v>18</v>
      </c>
      <c r="E4842" s="116">
        <v>95</v>
      </c>
      <c r="F4842" s="87" t="s">
        <v>562</v>
      </c>
      <c r="G4842" s="87" t="s">
        <v>332</v>
      </c>
      <c r="H4842" s="87" t="s">
        <v>562</v>
      </c>
      <c r="I4842" s="87">
        <v>84</v>
      </c>
    </row>
    <row r="4843" spans="1:9" x14ac:dyDescent="0.25">
      <c r="A4843" s="87" t="s">
        <v>445</v>
      </c>
      <c r="B4843" s="87" t="s">
        <v>220</v>
      </c>
      <c r="C4843" s="87">
        <v>2016</v>
      </c>
      <c r="D4843" s="87" t="s">
        <v>18</v>
      </c>
      <c r="E4843" s="116">
        <v>717</v>
      </c>
      <c r="F4843" s="87" t="s">
        <v>562</v>
      </c>
      <c r="G4843" s="87" t="s">
        <v>332</v>
      </c>
      <c r="H4843" s="87" t="s">
        <v>562</v>
      </c>
      <c r="I4843" s="87">
        <v>84</v>
      </c>
    </row>
    <row r="4844" spans="1:9" x14ac:dyDescent="0.25">
      <c r="A4844" s="87" t="s">
        <v>445</v>
      </c>
      <c r="B4844" s="87" t="s">
        <v>220</v>
      </c>
      <c r="C4844" s="87">
        <v>2017</v>
      </c>
      <c r="D4844" s="87" t="s">
        <v>18</v>
      </c>
      <c r="E4844" s="116">
        <v>143</v>
      </c>
      <c r="F4844" s="87" t="s">
        <v>562</v>
      </c>
      <c r="G4844" s="87" t="s">
        <v>332</v>
      </c>
      <c r="H4844" s="87" t="s">
        <v>562</v>
      </c>
      <c r="I4844" s="87">
        <v>84</v>
      </c>
    </row>
    <row r="4845" spans="1:9" x14ac:dyDescent="0.25">
      <c r="A4845" s="87" t="s">
        <v>445</v>
      </c>
      <c r="B4845" s="87" t="s">
        <v>220</v>
      </c>
      <c r="C4845" s="87">
        <v>2018</v>
      </c>
      <c r="D4845" s="87" t="s">
        <v>18</v>
      </c>
      <c r="E4845" s="116">
        <v>85</v>
      </c>
      <c r="F4845" s="87" t="s">
        <v>967</v>
      </c>
      <c r="G4845" s="87" t="s">
        <v>332</v>
      </c>
      <c r="H4845" s="87" t="s">
        <v>967</v>
      </c>
      <c r="I4845" s="87">
        <v>84</v>
      </c>
    </row>
    <row r="4846" spans="1:9" x14ac:dyDescent="0.25">
      <c r="A4846" s="87" t="s">
        <v>445</v>
      </c>
      <c r="B4846" s="87" t="s">
        <v>220</v>
      </c>
      <c r="C4846" s="87">
        <v>2019</v>
      </c>
      <c r="D4846" s="87" t="s">
        <v>18</v>
      </c>
      <c r="E4846" s="116">
        <v>283</v>
      </c>
      <c r="F4846" s="87" t="s">
        <v>967</v>
      </c>
      <c r="G4846" s="87" t="s">
        <v>332</v>
      </c>
      <c r="H4846" s="87" t="s">
        <v>967</v>
      </c>
      <c r="I4846" s="87">
        <v>84</v>
      </c>
    </row>
    <row r="4847" spans="1:9" x14ac:dyDescent="0.25">
      <c r="A4847" s="87" t="s">
        <v>445</v>
      </c>
      <c r="B4847" s="87" t="s">
        <v>220</v>
      </c>
      <c r="C4847" s="87">
        <v>2020</v>
      </c>
      <c r="D4847" s="87" t="s">
        <v>18</v>
      </c>
      <c r="E4847" s="116">
        <v>347</v>
      </c>
      <c r="F4847" s="87" t="s">
        <v>967</v>
      </c>
      <c r="G4847" s="87" t="s">
        <v>332</v>
      </c>
      <c r="H4847" s="87" t="s">
        <v>1050</v>
      </c>
      <c r="I4847" s="87">
        <v>84</v>
      </c>
    </row>
    <row r="4848" spans="1:9" x14ac:dyDescent="0.25">
      <c r="A4848" s="87" t="s">
        <v>445</v>
      </c>
      <c r="B4848" s="87" t="s">
        <v>220</v>
      </c>
      <c r="C4848" s="87">
        <v>2021</v>
      </c>
      <c r="D4848" s="87" t="s">
        <v>18</v>
      </c>
      <c r="E4848" s="116">
        <v>85</v>
      </c>
      <c r="F4848" s="87" t="s">
        <v>967</v>
      </c>
      <c r="G4848" s="87" t="s">
        <v>332</v>
      </c>
      <c r="H4848" s="87" t="s">
        <v>967</v>
      </c>
      <c r="I4848" s="87">
        <v>84</v>
      </c>
    </row>
    <row r="4849" spans="1:9" x14ac:dyDescent="0.25">
      <c r="A4849" s="87" t="s">
        <v>445</v>
      </c>
      <c r="B4849" s="87" t="s">
        <v>220</v>
      </c>
      <c r="C4849" s="87">
        <v>2022</v>
      </c>
      <c r="D4849" s="87" t="s">
        <v>18</v>
      </c>
      <c r="E4849" s="116">
        <v>294</v>
      </c>
      <c r="F4849" s="87" t="s">
        <v>967</v>
      </c>
      <c r="G4849" s="87" t="s">
        <v>272</v>
      </c>
      <c r="H4849" s="87" t="s">
        <v>967</v>
      </c>
      <c r="I4849" s="87">
        <v>84</v>
      </c>
    </row>
    <row r="4850" spans="1:9" x14ac:dyDescent="0.25">
      <c r="A4850" s="87" t="s">
        <v>445</v>
      </c>
      <c r="B4850" s="87" t="s">
        <v>240</v>
      </c>
      <c r="C4850" s="87">
        <v>1975</v>
      </c>
      <c r="D4850" s="87" t="s">
        <v>138</v>
      </c>
      <c r="E4850" s="116">
        <v>-1</v>
      </c>
      <c r="F4850" s="87" t="s">
        <v>431</v>
      </c>
      <c r="G4850" s="87" t="s">
        <v>967</v>
      </c>
      <c r="H4850" s="87" t="s">
        <v>431</v>
      </c>
      <c r="I4850" s="87">
        <v>68</v>
      </c>
    </row>
    <row r="4851" spans="1:9" x14ac:dyDescent="0.25">
      <c r="A4851" s="87" t="s">
        <v>445</v>
      </c>
      <c r="B4851" s="87" t="s">
        <v>240</v>
      </c>
      <c r="C4851" s="87">
        <v>1976</v>
      </c>
      <c r="D4851" s="87" t="s">
        <v>138</v>
      </c>
      <c r="E4851" s="116">
        <v>-1</v>
      </c>
      <c r="F4851" s="87" t="s">
        <v>431</v>
      </c>
      <c r="G4851" s="87" t="s">
        <v>967</v>
      </c>
      <c r="H4851" s="87" t="s">
        <v>431</v>
      </c>
      <c r="I4851" s="87">
        <v>68</v>
      </c>
    </row>
    <row r="4852" spans="1:9" x14ac:dyDescent="0.25">
      <c r="A4852" s="87" t="s">
        <v>445</v>
      </c>
      <c r="B4852" s="87" t="s">
        <v>240</v>
      </c>
      <c r="C4852" s="87">
        <v>1977</v>
      </c>
      <c r="D4852" s="87" t="s">
        <v>138</v>
      </c>
      <c r="E4852" s="116">
        <v>-1</v>
      </c>
      <c r="F4852" s="87" t="s">
        <v>431</v>
      </c>
      <c r="G4852" s="87" t="s">
        <v>967</v>
      </c>
      <c r="H4852" s="87" t="s">
        <v>431</v>
      </c>
      <c r="I4852" s="87">
        <v>68</v>
      </c>
    </row>
    <row r="4853" spans="1:9" x14ac:dyDescent="0.25">
      <c r="A4853" s="87" t="s">
        <v>445</v>
      </c>
      <c r="B4853" s="87" t="s">
        <v>240</v>
      </c>
      <c r="C4853" s="87">
        <v>1978</v>
      </c>
      <c r="D4853" s="87" t="s">
        <v>138</v>
      </c>
      <c r="E4853" s="116">
        <v>-1</v>
      </c>
      <c r="F4853" s="87" t="s">
        <v>431</v>
      </c>
      <c r="G4853" s="87" t="s">
        <v>967</v>
      </c>
      <c r="H4853" s="87" t="s">
        <v>431</v>
      </c>
      <c r="I4853" s="87">
        <v>68</v>
      </c>
    </row>
    <row r="4854" spans="1:9" x14ac:dyDescent="0.25">
      <c r="A4854" s="87" t="s">
        <v>445</v>
      </c>
      <c r="B4854" s="87" t="s">
        <v>240</v>
      </c>
      <c r="C4854" s="87">
        <v>1979</v>
      </c>
      <c r="D4854" s="87" t="s">
        <v>138</v>
      </c>
      <c r="E4854" s="116">
        <v>-1</v>
      </c>
      <c r="F4854" s="87" t="s">
        <v>431</v>
      </c>
      <c r="G4854" s="87" t="s">
        <v>967</v>
      </c>
      <c r="H4854" s="87" t="s">
        <v>431</v>
      </c>
      <c r="I4854" s="87">
        <v>68</v>
      </c>
    </row>
    <row r="4855" spans="1:9" x14ac:dyDescent="0.25">
      <c r="A4855" s="87" t="s">
        <v>445</v>
      </c>
      <c r="B4855" s="87" t="s">
        <v>240</v>
      </c>
      <c r="C4855" s="87">
        <v>1980</v>
      </c>
      <c r="D4855" s="87" t="s">
        <v>138</v>
      </c>
      <c r="E4855" s="116">
        <v>-1</v>
      </c>
      <c r="F4855" s="87" t="s">
        <v>431</v>
      </c>
      <c r="G4855" s="87" t="s">
        <v>967</v>
      </c>
      <c r="H4855" s="87" t="s">
        <v>431</v>
      </c>
      <c r="I4855" s="87">
        <v>68</v>
      </c>
    </row>
    <row r="4856" spans="1:9" x14ac:dyDescent="0.25">
      <c r="A4856" s="87" t="s">
        <v>445</v>
      </c>
      <c r="B4856" s="87" t="s">
        <v>240</v>
      </c>
      <c r="C4856" s="87">
        <v>1981</v>
      </c>
      <c r="D4856" s="87" t="s">
        <v>138</v>
      </c>
      <c r="E4856" s="116">
        <v>-1</v>
      </c>
      <c r="F4856" s="87" t="s">
        <v>431</v>
      </c>
      <c r="G4856" s="87" t="s">
        <v>967</v>
      </c>
      <c r="H4856" s="87" t="s">
        <v>431</v>
      </c>
      <c r="I4856" s="87">
        <v>68</v>
      </c>
    </row>
    <row r="4857" spans="1:9" x14ac:dyDescent="0.25">
      <c r="A4857" s="87" t="s">
        <v>445</v>
      </c>
      <c r="B4857" s="87" t="s">
        <v>240</v>
      </c>
      <c r="C4857" s="87">
        <v>1982</v>
      </c>
      <c r="D4857" s="87" t="s">
        <v>138</v>
      </c>
      <c r="E4857" s="116">
        <v>-1</v>
      </c>
      <c r="F4857" s="87" t="s">
        <v>431</v>
      </c>
      <c r="G4857" s="87" t="s">
        <v>967</v>
      </c>
      <c r="H4857" s="87" t="s">
        <v>431</v>
      </c>
      <c r="I4857" s="87">
        <v>68</v>
      </c>
    </row>
    <row r="4858" spans="1:9" x14ac:dyDescent="0.25">
      <c r="A4858" s="87" t="s">
        <v>445</v>
      </c>
      <c r="B4858" s="87" t="s">
        <v>240</v>
      </c>
      <c r="C4858" s="87">
        <v>1983</v>
      </c>
      <c r="D4858" s="87" t="s">
        <v>138</v>
      </c>
      <c r="E4858" s="116">
        <v>-1</v>
      </c>
      <c r="F4858" s="87" t="s">
        <v>431</v>
      </c>
      <c r="G4858" s="87" t="s">
        <v>967</v>
      </c>
      <c r="H4858" s="87" t="s">
        <v>431</v>
      </c>
      <c r="I4858" s="87">
        <v>68</v>
      </c>
    </row>
    <row r="4859" spans="1:9" x14ac:dyDescent="0.25">
      <c r="A4859" s="87" t="s">
        <v>445</v>
      </c>
      <c r="B4859" s="87" t="s">
        <v>240</v>
      </c>
      <c r="C4859" s="87">
        <v>1984</v>
      </c>
      <c r="D4859" s="87" t="s">
        <v>138</v>
      </c>
      <c r="E4859" s="116">
        <v>-1</v>
      </c>
      <c r="F4859" s="87" t="s">
        <v>431</v>
      </c>
      <c r="G4859" s="87" t="s">
        <v>967</v>
      </c>
      <c r="H4859" s="87" t="s">
        <v>431</v>
      </c>
      <c r="I4859" s="87">
        <v>68</v>
      </c>
    </row>
    <row r="4860" spans="1:9" x14ac:dyDescent="0.25">
      <c r="A4860" s="87" t="s">
        <v>445</v>
      </c>
      <c r="B4860" s="87" t="s">
        <v>240</v>
      </c>
      <c r="C4860" s="87">
        <v>1985</v>
      </c>
      <c r="D4860" s="87" t="s">
        <v>138</v>
      </c>
      <c r="E4860" s="116">
        <v>-1</v>
      </c>
      <c r="F4860" s="87" t="s">
        <v>431</v>
      </c>
      <c r="G4860" s="87" t="s">
        <v>967</v>
      </c>
      <c r="H4860" s="87" t="s">
        <v>431</v>
      </c>
      <c r="I4860" s="87">
        <v>68</v>
      </c>
    </row>
    <row r="4861" spans="1:9" x14ac:dyDescent="0.25">
      <c r="A4861" s="87" t="s">
        <v>445</v>
      </c>
      <c r="B4861" s="87" t="s">
        <v>240</v>
      </c>
      <c r="C4861" s="87">
        <v>1986</v>
      </c>
      <c r="D4861" s="87" t="s">
        <v>138</v>
      </c>
      <c r="E4861" s="116">
        <v>-1</v>
      </c>
      <c r="F4861" s="87" t="s">
        <v>431</v>
      </c>
      <c r="G4861" s="87" t="s">
        <v>967</v>
      </c>
      <c r="H4861" s="87" t="s">
        <v>431</v>
      </c>
      <c r="I4861" s="87">
        <v>68</v>
      </c>
    </row>
    <row r="4862" spans="1:9" x14ac:dyDescent="0.25">
      <c r="A4862" s="87" t="s">
        <v>445</v>
      </c>
      <c r="B4862" s="87" t="s">
        <v>240</v>
      </c>
      <c r="C4862" s="87">
        <v>1987</v>
      </c>
      <c r="D4862" s="87" t="s">
        <v>138</v>
      </c>
      <c r="E4862" s="116">
        <v>-1</v>
      </c>
      <c r="F4862" s="87" t="s">
        <v>431</v>
      </c>
      <c r="G4862" s="87" t="s">
        <v>967</v>
      </c>
      <c r="H4862" s="87" t="s">
        <v>431</v>
      </c>
      <c r="I4862" s="87">
        <v>68</v>
      </c>
    </row>
    <row r="4863" spans="1:9" x14ac:dyDescent="0.25">
      <c r="A4863" s="87" t="s">
        <v>445</v>
      </c>
      <c r="B4863" s="87" t="s">
        <v>240</v>
      </c>
      <c r="C4863" s="87">
        <v>1988</v>
      </c>
      <c r="D4863" s="87" t="s">
        <v>138</v>
      </c>
      <c r="E4863" s="116">
        <v>-1</v>
      </c>
      <c r="F4863" s="87" t="s">
        <v>431</v>
      </c>
      <c r="G4863" s="87" t="s">
        <v>967</v>
      </c>
      <c r="H4863" s="87" t="s">
        <v>431</v>
      </c>
      <c r="I4863" s="87">
        <v>68</v>
      </c>
    </row>
    <row r="4864" spans="1:9" x14ac:dyDescent="0.25">
      <c r="A4864" s="87" t="s">
        <v>445</v>
      </c>
      <c r="B4864" s="87" t="s">
        <v>240</v>
      </c>
      <c r="C4864" s="87">
        <v>1989</v>
      </c>
      <c r="D4864" s="87" t="s">
        <v>138</v>
      </c>
      <c r="E4864" s="116">
        <v>-1</v>
      </c>
      <c r="F4864" s="87" t="s">
        <v>431</v>
      </c>
      <c r="G4864" s="87" t="s">
        <v>967</v>
      </c>
      <c r="H4864" s="87" t="s">
        <v>431</v>
      </c>
      <c r="I4864" s="87">
        <v>68</v>
      </c>
    </row>
    <row r="4865" spans="1:9" x14ac:dyDescent="0.25">
      <c r="A4865" s="87" t="s">
        <v>445</v>
      </c>
      <c r="B4865" s="87" t="s">
        <v>240</v>
      </c>
      <c r="C4865" s="87">
        <v>1990</v>
      </c>
      <c r="D4865" s="87" t="s">
        <v>138</v>
      </c>
      <c r="E4865" s="116">
        <v>-1</v>
      </c>
      <c r="F4865" s="87" t="s">
        <v>431</v>
      </c>
      <c r="G4865" s="87" t="s">
        <v>967</v>
      </c>
      <c r="H4865" s="87" t="s">
        <v>431</v>
      </c>
      <c r="I4865" s="87">
        <v>68</v>
      </c>
    </row>
    <row r="4866" spans="1:9" x14ac:dyDescent="0.25">
      <c r="A4866" s="87" t="s">
        <v>445</v>
      </c>
      <c r="B4866" s="87" t="s">
        <v>240</v>
      </c>
      <c r="C4866" s="87">
        <v>1991</v>
      </c>
      <c r="D4866" s="87" t="s">
        <v>138</v>
      </c>
      <c r="E4866" s="116">
        <v>-1</v>
      </c>
      <c r="F4866" s="87" t="s">
        <v>431</v>
      </c>
      <c r="G4866" s="87" t="s">
        <v>967</v>
      </c>
      <c r="H4866" s="87" t="s">
        <v>431</v>
      </c>
      <c r="I4866" s="87">
        <v>68</v>
      </c>
    </row>
    <row r="4867" spans="1:9" x14ac:dyDescent="0.25">
      <c r="A4867" s="87" t="s">
        <v>445</v>
      </c>
      <c r="B4867" s="87" t="s">
        <v>240</v>
      </c>
      <c r="C4867" s="87">
        <v>1992</v>
      </c>
      <c r="D4867" s="87" t="s">
        <v>138</v>
      </c>
      <c r="E4867" s="116">
        <v>-1</v>
      </c>
      <c r="F4867" s="87" t="s">
        <v>431</v>
      </c>
      <c r="G4867" s="87" t="s">
        <v>967</v>
      </c>
      <c r="H4867" s="87" t="s">
        <v>431</v>
      </c>
      <c r="I4867" s="87">
        <v>68</v>
      </c>
    </row>
    <row r="4868" spans="1:9" x14ac:dyDescent="0.25">
      <c r="A4868" s="87" t="s">
        <v>445</v>
      </c>
      <c r="B4868" s="87" t="s">
        <v>240</v>
      </c>
      <c r="C4868" s="87">
        <v>1993</v>
      </c>
      <c r="D4868" s="87" t="s">
        <v>138</v>
      </c>
      <c r="E4868" s="116">
        <v>-1</v>
      </c>
      <c r="F4868" s="87" t="s">
        <v>431</v>
      </c>
      <c r="G4868" s="87" t="s">
        <v>967</v>
      </c>
      <c r="H4868" s="87" t="s">
        <v>431</v>
      </c>
      <c r="I4868" s="87">
        <v>68</v>
      </c>
    </row>
    <row r="4869" spans="1:9" x14ac:dyDescent="0.25">
      <c r="A4869" s="87" t="s">
        <v>445</v>
      </c>
      <c r="B4869" s="87" t="s">
        <v>240</v>
      </c>
      <c r="C4869" s="87">
        <v>1994</v>
      </c>
      <c r="D4869" s="87" t="s">
        <v>138</v>
      </c>
      <c r="E4869" s="116">
        <v>-1</v>
      </c>
      <c r="F4869" s="87" t="s">
        <v>431</v>
      </c>
      <c r="G4869" s="87" t="s">
        <v>967</v>
      </c>
      <c r="H4869" s="87" t="s">
        <v>431</v>
      </c>
      <c r="I4869" s="87">
        <v>68</v>
      </c>
    </row>
    <row r="4870" spans="1:9" x14ac:dyDescent="0.25">
      <c r="A4870" s="87" t="s">
        <v>445</v>
      </c>
      <c r="B4870" s="87" t="s">
        <v>240</v>
      </c>
      <c r="C4870" s="87">
        <v>1995</v>
      </c>
      <c r="D4870" s="87" t="s">
        <v>138</v>
      </c>
      <c r="E4870" s="116">
        <v>-1</v>
      </c>
      <c r="F4870" s="87" t="s">
        <v>431</v>
      </c>
      <c r="G4870" s="87" t="s">
        <v>967</v>
      </c>
      <c r="H4870" s="87" t="s">
        <v>431</v>
      </c>
      <c r="I4870" s="87">
        <v>68</v>
      </c>
    </row>
    <row r="4871" spans="1:9" x14ac:dyDescent="0.25">
      <c r="A4871" s="87" t="s">
        <v>445</v>
      </c>
      <c r="B4871" s="87" t="s">
        <v>240</v>
      </c>
      <c r="C4871" s="87">
        <v>1996</v>
      </c>
      <c r="D4871" s="87" t="s">
        <v>138</v>
      </c>
      <c r="E4871" s="116">
        <v>-1</v>
      </c>
      <c r="F4871" s="87" t="s">
        <v>431</v>
      </c>
      <c r="G4871" s="87" t="s">
        <v>967</v>
      </c>
      <c r="H4871" s="87" t="s">
        <v>431</v>
      </c>
      <c r="I4871" s="87">
        <v>68</v>
      </c>
    </row>
    <row r="4872" spans="1:9" x14ac:dyDescent="0.25">
      <c r="A4872" s="87" t="s">
        <v>445</v>
      </c>
      <c r="B4872" s="87" t="s">
        <v>240</v>
      </c>
      <c r="C4872" s="87">
        <v>1997</v>
      </c>
      <c r="D4872" s="87" t="s">
        <v>138</v>
      </c>
      <c r="E4872" s="116">
        <v>-1</v>
      </c>
      <c r="F4872" s="87" t="s">
        <v>562</v>
      </c>
      <c r="G4872" s="87" t="s">
        <v>967</v>
      </c>
      <c r="H4872" s="87" t="s">
        <v>562</v>
      </c>
      <c r="I4872" s="87">
        <v>68</v>
      </c>
    </row>
    <row r="4873" spans="1:9" x14ac:dyDescent="0.25">
      <c r="A4873" s="87" t="s">
        <v>445</v>
      </c>
      <c r="B4873" s="87" t="s">
        <v>240</v>
      </c>
      <c r="C4873" s="87">
        <v>1998</v>
      </c>
      <c r="D4873" s="87" t="s">
        <v>138</v>
      </c>
      <c r="E4873" s="116">
        <v>750</v>
      </c>
      <c r="F4873" s="87" t="s">
        <v>562</v>
      </c>
      <c r="G4873" s="87" t="s">
        <v>967</v>
      </c>
      <c r="H4873" s="87" t="s">
        <v>562</v>
      </c>
      <c r="I4873" s="87">
        <v>68</v>
      </c>
    </row>
    <row r="4874" spans="1:9" x14ac:dyDescent="0.25">
      <c r="A4874" s="87" t="s">
        <v>445</v>
      </c>
      <c r="B4874" s="87" t="s">
        <v>240</v>
      </c>
      <c r="C4874" s="87">
        <v>1999</v>
      </c>
      <c r="D4874" s="87" t="s">
        <v>138</v>
      </c>
      <c r="E4874" s="116">
        <v>440</v>
      </c>
      <c r="F4874" s="87" t="s">
        <v>562</v>
      </c>
      <c r="G4874" s="87" t="s">
        <v>967</v>
      </c>
      <c r="H4874" s="87" t="s">
        <v>562</v>
      </c>
      <c r="I4874" s="87">
        <v>68</v>
      </c>
    </row>
    <row r="4875" spans="1:9" x14ac:dyDescent="0.25">
      <c r="A4875" s="87" t="s">
        <v>445</v>
      </c>
      <c r="B4875" s="87" t="s">
        <v>240</v>
      </c>
      <c r="C4875" s="87">
        <v>2000</v>
      </c>
      <c r="D4875" s="87" t="s">
        <v>138</v>
      </c>
      <c r="E4875" s="116">
        <v>400</v>
      </c>
      <c r="F4875" s="87" t="s">
        <v>562</v>
      </c>
      <c r="G4875" s="87" t="s">
        <v>967</v>
      </c>
      <c r="H4875" s="87" t="s">
        <v>562</v>
      </c>
      <c r="I4875" s="87">
        <v>68</v>
      </c>
    </row>
    <row r="4876" spans="1:9" x14ac:dyDescent="0.25">
      <c r="A4876" s="87" t="s">
        <v>445</v>
      </c>
      <c r="B4876" s="87" t="s">
        <v>240</v>
      </c>
      <c r="C4876" s="87">
        <v>2001</v>
      </c>
      <c r="D4876" s="87" t="s">
        <v>138</v>
      </c>
      <c r="E4876" s="116">
        <v>652</v>
      </c>
      <c r="F4876" s="87" t="s">
        <v>562</v>
      </c>
      <c r="G4876" s="87" t="s">
        <v>967</v>
      </c>
      <c r="H4876" s="87" t="s">
        <v>562</v>
      </c>
      <c r="I4876" s="87">
        <v>68</v>
      </c>
    </row>
    <row r="4877" spans="1:9" x14ac:dyDescent="0.25">
      <c r="A4877" s="87" t="s">
        <v>445</v>
      </c>
      <c r="B4877" s="87" t="s">
        <v>240</v>
      </c>
      <c r="C4877" s="87">
        <v>2002</v>
      </c>
      <c r="D4877" s="87" t="s">
        <v>138</v>
      </c>
      <c r="E4877" s="116">
        <v>23</v>
      </c>
      <c r="F4877" s="87" t="s">
        <v>562</v>
      </c>
      <c r="G4877" s="87" t="s">
        <v>967</v>
      </c>
      <c r="H4877" s="87" t="s">
        <v>562</v>
      </c>
      <c r="I4877" s="87">
        <v>68</v>
      </c>
    </row>
    <row r="4878" spans="1:9" x14ac:dyDescent="0.25">
      <c r="A4878" s="87" t="s">
        <v>445</v>
      </c>
      <c r="B4878" s="87" t="s">
        <v>240</v>
      </c>
      <c r="C4878" s="87">
        <v>2003</v>
      </c>
      <c r="D4878" s="87" t="s">
        <v>138</v>
      </c>
      <c r="E4878" s="116">
        <v>1004</v>
      </c>
      <c r="F4878" s="87" t="s">
        <v>562</v>
      </c>
      <c r="G4878" s="87" t="s">
        <v>967</v>
      </c>
      <c r="H4878" s="87" t="s">
        <v>562</v>
      </c>
      <c r="I4878" s="87">
        <v>68</v>
      </c>
    </row>
    <row r="4879" spans="1:9" x14ac:dyDescent="0.25">
      <c r="A4879" s="87" t="s">
        <v>445</v>
      </c>
      <c r="B4879" s="87" t="s">
        <v>240</v>
      </c>
      <c r="C4879" s="87">
        <v>2004</v>
      </c>
      <c r="D4879" s="87" t="s">
        <v>138</v>
      </c>
      <c r="E4879" s="116">
        <v>1000</v>
      </c>
      <c r="F4879" s="87" t="s">
        <v>562</v>
      </c>
      <c r="G4879" s="87" t="s">
        <v>967</v>
      </c>
      <c r="H4879" s="87" t="s">
        <v>562</v>
      </c>
      <c r="I4879" s="87">
        <v>68</v>
      </c>
    </row>
    <row r="4880" spans="1:9" x14ac:dyDescent="0.25">
      <c r="A4880" s="87" t="s">
        <v>445</v>
      </c>
      <c r="B4880" s="87" t="s">
        <v>240</v>
      </c>
      <c r="C4880" s="87">
        <v>2005</v>
      </c>
      <c r="D4880" s="87" t="s">
        <v>138</v>
      </c>
      <c r="E4880" s="116">
        <v>1200</v>
      </c>
      <c r="F4880" s="87" t="s">
        <v>562</v>
      </c>
      <c r="G4880" s="87" t="s">
        <v>967</v>
      </c>
      <c r="H4880" s="87" t="s">
        <v>562</v>
      </c>
      <c r="I4880" s="87">
        <v>68</v>
      </c>
    </row>
    <row r="4881" spans="1:9" x14ac:dyDescent="0.25">
      <c r="A4881" s="87" t="s">
        <v>445</v>
      </c>
      <c r="B4881" s="87" t="s">
        <v>240</v>
      </c>
      <c r="C4881" s="87">
        <v>2006</v>
      </c>
      <c r="D4881" s="87" t="s">
        <v>138</v>
      </c>
      <c r="E4881" s="116">
        <v>-1</v>
      </c>
      <c r="F4881" s="87" t="s">
        <v>562</v>
      </c>
      <c r="G4881" s="87" t="s">
        <v>967</v>
      </c>
      <c r="H4881" s="87" t="s">
        <v>562</v>
      </c>
      <c r="I4881" s="87">
        <v>68</v>
      </c>
    </row>
    <row r="4882" spans="1:9" x14ac:dyDescent="0.25">
      <c r="A4882" s="87" t="s">
        <v>445</v>
      </c>
      <c r="B4882" s="87" t="s">
        <v>240</v>
      </c>
      <c r="C4882" s="87">
        <v>2007</v>
      </c>
      <c r="D4882" s="87" t="s">
        <v>138</v>
      </c>
      <c r="E4882" s="116">
        <v>-1</v>
      </c>
      <c r="F4882" s="87" t="s">
        <v>562</v>
      </c>
      <c r="G4882" s="87" t="s">
        <v>967</v>
      </c>
      <c r="H4882" s="87" t="s">
        <v>562</v>
      </c>
      <c r="I4882" s="87">
        <v>68</v>
      </c>
    </row>
    <row r="4883" spans="1:9" x14ac:dyDescent="0.25">
      <c r="A4883" s="87" t="s">
        <v>445</v>
      </c>
      <c r="B4883" s="87" t="s">
        <v>240</v>
      </c>
      <c r="C4883" s="87">
        <v>2008</v>
      </c>
      <c r="D4883" s="87" t="s">
        <v>138</v>
      </c>
      <c r="E4883" s="116">
        <v>-1</v>
      </c>
      <c r="F4883" s="87" t="s">
        <v>562</v>
      </c>
      <c r="G4883" s="87" t="s">
        <v>967</v>
      </c>
      <c r="H4883" s="87" t="s">
        <v>562</v>
      </c>
      <c r="I4883" s="87">
        <v>68</v>
      </c>
    </row>
    <row r="4884" spans="1:9" x14ac:dyDescent="0.25">
      <c r="A4884" s="87" t="s">
        <v>445</v>
      </c>
      <c r="B4884" s="87" t="s">
        <v>240</v>
      </c>
      <c r="C4884" s="87">
        <v>2009</v>
      </c>
      <c r="D4884" s="87" t="s">
        <v>138</v>
      </c>
      <c r="E4884" s="116">
        <v>500</v>
      </c>
      <c r="F4884" s="87" t="s">
        <v>562</v>
      </c>
      <c r="G4884" s="87" t="s">
        <v>967</v>
      </c>
      <c r="H4884" s="87" t="s">
        <v>562</v>
      </c>
      <c r="I4884" s="87">
        <v>68</v>
      </c>
    </row>
    <row r="4885" spans="1:9" x14ac:dyDescent="0.25">
      <c r="A4885" s="87" t="s">
        <v>445</v>
      </c>
      <c r="B4885" s="87" t="s">
        <v>240</v>
      </c>
      <c r="C4885" s="87">
        <v>2010</v>
      </c>
      <c r="D4885" s="87" t="s">
        <v>138</v>
      </c>
      <c r="E4885" s="116">
        <v>250</v>
      </c>
      <c r="F4885" s="87" t="s">
        <v>562</v>
      </c>
      <c r="G4885" s="87" t="s">
        <v>967</v>
      </c>
      <c r="H4885" s="87" t="s">
        <v>562</v>
      </c>
      <c r="I4885" s="87">
        <v>68</v>
      </c>
    </row>
    <row r="4886" spans="1:9" x14ac:dyDescent="0.25">
      <c r="A4886" s="87" t="s">
        <v>445</v>
      </c>
      <c r="B4886" s="87" t="s">
        <v>240</v>
      </c>
      <c r="C4886" s="87">
        <v>2011</v>
      </c>
      <c r="D4886" s="87" t="s">
        <v>138</v>
      </c>
      <c r="E4886" s="116">
        <v>-1</v>
      </c>
      <c r="F4886" s="87" t="s">
        <v>562</v>
      </c>
      <c r="G4886" s="87" t="s">
        <v>967</v>
      </c>
      <c r="H4886" s="87" t="s">
        <v>562</v>
      </c>
      <c r="I4886" s="87">
        <v>68</v>
      </c>
    </row>
    <row r="4887" spans="1:9" x14ac:dyDescent="0.25">
      <c r="A4887" s="87" t="s">
        <v>445</v>
      </c>
      <c r="B4887" s="87" t="s">
        <v>240</v>
      </c>
      <c r="C4887" s="87">
        <v>2012</v>
      </c>
      <c r="D4887" s="87" t="s">
        <v>138</v>
      </c>
      <c r="E4887" s="116">
        <v>50</v>
      </c>
      <c r="F4887" s="87" t="s">
        <v>562</v>
      </c>
      <c r="G4887" s="87" t="s">
        <v>967</v>
      </c>
      <c r="H4887" s="87" t="s">
        <v>562</v>
      </c>
      <c r="I4887" s="87">
        <v>68</v>
      </c>
    </row>
    <row r="4888" spans="1:9" x14ac:dyDescent="0.25">
      <c r="A4888" s="87" t="s">
        <v>445</v>
      </c>
      <c r="B4888" s="87" t="s">
        <v>240</v>
      </c>
      <c r="C4888" s="87">
        <v>2013</v>
      </c>
      <c r="D4888" s="87" t="s">
        <v>138</v>
      </c>
      <c r="E4888" s="116">
        <v>8</v>
      </c>
      <c r="F4888" s="87" t="s">
        <v>562</v>
      </c>
      <c r="G4888" s="87" t="s">
        <v>967</v>
      </c>
      <c r="H4888" s="87" t="s">
        <v>562</v>
      </c>
      <c r="I4888" s="87">
        <v>68</v>
      </c>
    </row>
    <row r="4889" spans="1:9" x14ac:dyDescent="0.25">
      <c r="A4889" s="87" t="s">
        <v>445</v>
      </c>
      <c r="B4889" s="87" t="s">
        <v>240</v>
      </c>
      <c r="C4889" s="87">
        <v>2014</v>
      </c>
      <c r="D4889" s="87" t="s">
        <v>138</v>
      </c>
      <c r="E4889" s="116">
        <v>-1</v>
      </c>
      <c r="F4889" s="87" t="s">
        <v>562</v>
      </c>
      <c r="G4889" s="87" t="s">
        <v>967</v>
      </c>
      <c r="H4889" s="87" t="s">
        <v>562</v>
      </c>
      <c r="I4889" s="87">
        <v>68</v>
      </c>
    </row>
    <row r="4890" spans="1:9" x14ac:dyDescent="0.25">
      <c r="A4890" s="87" t="s">
        <v>445</v>
      </c>
      <c r="B4890" s="87" t="s">
        <v>240</v>
      </c>
      <c r="C4890" s="87">
        <v>2015</v>
      </c>
      <c r="D4890" s="87" t="s">
        <v>138</v>
      </c>
      <c r="E4890" s="116">
        <v>50</v>
      </c>
      <c r="F4890" s="87" t="s">
        <v>562</v>
      </c>
      <c r="G4890" s="87" t="s">
        <v>967</v>
      </c>
      <c r="H4890" s="87" t="s">
        <v>562</v>
      </c>
      <c r="I4890" s="87">
        <v>68</v>
      </c>
    </row>
    <row r="4891" spans="1:9" x14ac:dyDescent="0.25">
      <c r="A4891" s="87" t="s">
        <v>445</v>
      </c>
      <c r="B4891" s="87" t="s">
        <v>240</v>
      </c>
      <c r="C4891" s="87">
        <v>2016</v>
      </c>
      <c r="D4891" s="87" t="s">
        <v>138</v>
      </c>
      <c r="E4891" s="116">
        <v>-1</v>
      </c>
      <c r="F4891" s="87" t="s">
        <v>562</v>
      </c>
      <c r="G4891" s="87" t="s">
        <v>967</v>
      </c>
      <c r="H4891" s="87" t="s">
        <v>562</v>
      </c>
      <c r="I4891" s="87">
        <v>68</v>
      </c>
    </row>
    <row r="4892" spans="1:9" x14ac:dyDescent="0.25">
      <c r="A4892" s="87" t="s">
        <v>445</v>
      </c>
      <c r="B4892" s="87" t="s">
        <v>240</v>
      </c>
      <c r="C4892" s="87">
        <v>2017</v>
      </c>
      <c r="D4892" s="87" t="s">
        <v>138</v>
      </c>
      <c r="E4892" s="116">
        <v>-1</v>
      </c>
      <c r="F4892" s="87" t="s">
        <v>562</v>
      </c>
      <c r="G4892" s="87" t="s">
        <v>967</v>
      </c>
      <c r="H4892" s="87" t="s">
        <v>562</v>
      </c>
      <c r="I4892" s="87">
        <v>68</v>
      </c>
    </row>
    <row r="4893" spans="1:9" x14ac:dyDescent="0.25">
      <c r="A4893" s="87" t="s">
        <v>445</v>
      </c>
      <c r="B4893" s="87" t="s">
        <v>240</v>
      </c>
      <c r="C4893" s="87">
        <v>2018</v>
      </c>
      <c r="D4893" s="87" t="s">
        <v>138</v>
      </c>
      <c r="E4893" s="116">
        <v>-1</v>
      </c>
      <c r="F4893" s="87" t="s">
        <v>967</v>
      </c>
      <c r="G4893" s="87" t="s">
        <v>967</v>
      </c>
      <c r="H4893" s="87" t="s">
        <v>967</v>
      </c>
      <c r="I4893" s="87">
        <v>68</v>
      </c>
    </row>
    <row r="4894" spans="1:9" x14ac:dyDescent="0.25">
      <c r="A4894" s="87" t="s">
        <v>445</v>
      </c>
      <c r="B4894" s="87" t="s">
        <v>240</v>
      </c>
      <c r="C4894" s="87">
        <v>2019</v>
      </c>
      <c r="D4894" s="87" t="s">
        <v>138</v>
      </c>
      <c r="E4894" s="116">
        <v>0.01</v>
      </c>
      <c r="F4894" s="87" t="s">
        <v>967</v>
      </c>
      <c r="G4894" s="87" t="s">
        <v>967</v>
      </c>
      <c r="H4894" s="87" t="s">
        <v>967</v>
      </c>
      <c r="I4894" s="87">
        <v>68</v>
      </c>
    </row>
    <row r="4895" spans="1:9" x14ac:dyDescent="0.25">
      <c r="A4895" s="87" t="s">
        <v>445</v>
      </c>
      <c r="B4895" s="87" t="s">
        <v>240</v>
      </c>
      <c r="C4895" s="87">
        <v>2020</v>
      </c>
      <c r="D4895" s="87" t="s">
        <v>138</v>
      </c>
      <c r="E4895" s="116">
        <v>0.01</v>
      </c>
      <c r="F4895" s="87" t="s">
        <v>967</v>
      </c>
      <c r="G4895" s="87" t="s">
        <v>967</v>
      </c>
      <c r="H4895" s="87" t="s">
        <v>967</v>
      </c>
      <c r="I4895" s="87">
        <v>68</v>
      </c>
    </row>
    <row r="4896" spans="1:9" x14ac:dyDescent="0.25">
      <c r="A4896" s="87" t="s">
        <v>445</v>
      </c>
      <c r="B4896" s="87" t="s">
        <v>240</v>
      </c>
      <c r="C4896" s="87">
        <v>2021</v>
      </c>
      <c r="D4896" s="87" t="s">
        <v>138</v>
      </c>
      <c r="E4896" s="116">
        <v>-1</v>
      </c>
      <c r="F4896" s="87" t="s">
        <v>967</v>
      </c>
      <c r="G4896" s="87" t="s">
        <v>967</v>
      </c>
      <c r="H4896" s="87" t="s">
        <v>967</v>
      </c>
      <c r="I4896" s="87">
        <v>68</v>
      </c>
    </row>
    <row r="4897" spans="1:9" x14ac:dyDescent="0.25">
      <c r="A4897" s="87" t="s">
        <v>445</v>
      </c>
      <c r="B4897" s="87" t="s">
        <v>240</v>
      </c>
      <c r="C4897" s="87">
        <v>2022</v>
      </c>
      <c r="D4897" s="87" t="s">
        <v>138</v>
      </c>
      <c r="E4897" s="116">
        <v>-1</v>
      </c>
      <c r="F4897" s="87" t="s">
        <v>967</v>
      </c>
      <c r="G4897" s="87" t="s">
        <v>967</v>
      </c>
      <c r="H4897" s="87" t="s">
        <v>967</v>
      </c>
      <c r="I4897" s="87">
        <v>68</v>
      </c>
    </row>
    <row r="4898" spans="1:9" x14ac:dyDescent="0.25">
      <c r="A4898" s="87" t="s">
        <v>78</v>
      </c>
      <c r="B4898" s="87" t="s">
        <v>430</v>
      </c>
      <c r="C4898" s="87">
        <v>1975</v>
      </c>
      <c r="D4898" s="87" t="s">
        <v>138</v>
      </c>
      <c r="E4898" s="116">
        <v>-1</v>
      </c>
      <c r="F4898" s="87" t="s">
        <v>577</v>
      </c>
      <c r="G4898" s="87" t="s">
        <v>967</v>
      </c>
      <c r="H4898" s="87" t="s">
        <v>967</v>
      </c>
      <c r="I4898" s="87">
        <v>61</v>
      </c>
    </row>
    <row r="4899" spans="1:9" x14ac:dyDescent="0.25">
      <c r="A4899" s="87" t="s">
        <v>78</v>
      </c>
      <c r="B4899" s="87" t="s">
        <v>430</v>
      </c>
      <c r="C4899" s="87">
        <v>1976</v>
      </c>
      <c r="D4899" s="87" t="s">
        <v>138</v>
      </c>
      <c r="E4899" s="116">
        <v>-1</v>
      </c>
      <c r="F4899" s="87" t="s">
        <v>577</v>
      </c>
      <c r="G4899" s="87" t="s">
        <v>967</v>
      </c>
      <c r="H4899" s="87" t="s">
        <v>967</v>
      </c>
      <c r="I4899" s="87">
        <v>61</v>
      </c>
    </row>
    <row r="4900" spans="1:9" x14ac:dyDescent="0.25">
      <c r="A4900" s="87" t="s">
        <v>78</v>
      </c>
      <c r="B4900" s="87" t="s">
        <v>430</v>
      </c>
      <c r="C4900" s="87">
        <v>1977</v>
      </c>
      <c r="D4900" s="87" t="s">
        <v>138</v>
      </c>
      <c r="E4900" s="116">
        <v>-1</v>
      </c>
      <c r="F4900" s="87" t="s">
        <v>577</v>
      </c>
      <c r="G4900" s="87" t="s">
        <v>967</v>
      </c>
      <c r="H4900" s="87" t="s">
        <v>967</v>
      </c>
      <c r="I4900" s="87">
        <v>61</v>
      </c>
    </row>
    <row r="4901" spans="1:9" x14ac:dyDescent="0.25">
      <c r="A4901" s="87" t="s">
        <v>78</v>
      </c>
      <c r="B4901" s="87" t="s">
        <v>430</v>
      </c>
      <c r="C4901" s="87">
        <v>1978</v>
      </c>
      <c r="D4901" s="87" t="s">
        <v>138</v>
      </c>
      <c r="E4901" s="116">
        <v>-1</v>
      </c>
      <c r="F4901" s="87" t="s">
        <v>577</v>
      </c>
      <c r="G4901" s="87" t="s">
        <v>967</v>
      </c>
      <c r="H4901" s="87" t="s">
        <v>967</v>
      </c>
      <c r="I4901" s="87">
        <v>61</v>
      </c>
    </row>
    <row r="4902" spans="1:9" x14ac:dyDescent="0.25">
      <c r="A4902" s="87" t="s">
        <v>78</v>
      </c>
      <c r="B4902" s="87" t="s">
        <v>430</v>
      </c>
      <c r="C4902" s="87">
        <v>1979</v>
      </c>
      <c r="D4902" s="87" t="s">
        <v>138</v>
      </c>
      <c r="E4902" s="116">
        <v>50</v>
      </c>
      <c r="F4902" s="87" t="s">
        <v>446</v>
      </c>
      <c r="G4902" s="87" t="s">
        <v>332</v>
      </c>
      <c r="H4902" s="87" t="s">
        <v>446</v>
      </c>
      <c r="I4902" s="87">
        <v>61</v>
      </c>
    </row>
    <row r="4903" spans="1:9" x14ac:dyDescent="0.25">
      <c r="A4903" s="87" t="s">
        <v>78</v>
      </c>
      <c r="B4903" s="87" t="s">
        <v>430</v>
      </c>
      <c r="C4903" s="87">
        <v>1980</v>
      </c>
      <c r="D4903" s="87" t="s">
        <v>138</v>
      </c>
      <c r="E4903" s="116">
        <v>50</v>
      </c>
      <c r="F4903" s="87" t="s">
        <v>446</v>
      </c>
      <c r="G4903" s="87" t="s">
        <v>332</v>
      </c>
      <c r="H4903" s="87" t="s">
        <v>446</v>
      </c>
      <c r="I4903" s="87">
        <v>61</v>
      </c>
    </row>
    <row r="4904" spans="1:9" x14ac:dyDescent="0.25">
      <c r="A4904" s="87" t="s">
        <v>78</v>
      </c>
      <c r="B4904" s="87" t="s">
        <v>430</v>
      </c>
      <c r="C4904" s="87">
        <v>1981</v>
      </c>
      <c r="D4904" s="87" t="s">
        <v>138</v>
      </c>
      <c r="E4904" s="116">
        <v>50</v>
      </c>
      <c r="F4904" s="87" t="s">
        <v>446</v>
      </c>
      <c r="G4904" s="87" t="s">
        <v>332</v>
      </c>
      <c r="H4904" s="87" t="s">
        <v>446</v>
      </c>
      <c r="I4904" s="87">
        <v>61</v>
      </c>
    </row>
    <row r="4905" spans="1:9" x14ac:dyDescent="0.25">
      <c r="A4905" s="87" t="s">
        <v>78</v>
      </c>
      <c r="B4905" s="87" t="s">
        <v>430</v>
      </c>
      <c r="C4905" s="87">
        <v>1982</v>
      </c>
      <c r="D4905" s="87" t="s">
        <v>138</v>
      </c>
      <c r="E4905" s="116">
        <v>50</v>
      </c>
      <c r="F4905" s="87" t="s">
        <v>446</v>
      </c>
      <c r="G4905" s="87" t="s">
        <v>332</v>
      </c>
      <c r="H4905" s="87" t="s">
        <v>446</v>
      </c>
      <c r="I4905" s="87">
        <v>61</v>
      </c>
    </row>
    <row r="4906" spans="1:9" x14ac:dyDescent="0.25">
      <c r="A4906" s="87" t="s">
        <v>78</v>
      </c>
      <c r="B4906" s="87" t="s">
        <v>430</v>
      </c>
      <c r="C4906" s="87">
        <v>1983</v>
      </c>
      <c r="D4906" s="87" t="s">
        <v>138</v>
      </c>
      <c r="E4906" s="116">
        <v>100</v>
      </c>
      <c r="F4906" s="87" t="s">
        <v>447</v>
      </c>
      <c r="G4906" s="87" t="s">
        <v>372</v>
      </c>
      <c r="H4906" s="87" t="s">
        <v>447</v>
      </c>
      <c r="I4906" s="87">
        <v>61</v>
      </c>
    </row>
    <row r="4907" spans="1:9" x14ac:dyDescent="0.25">
      <c r="A4907" s="87" t="s">
        <v>78</v>
      </c>
      <c r="B4907" s="87" t="s">
        <v>430</v>
      </c>
      <c r="C4907" s="87">
        <v>1984</v>
      </c>
      <c r="D4907" s="87" t="s">
        <v>138</v>
      </c>
      <c r="E4907" s="116">
        <v>454</v>
      </c>
      <c r="F4907" s="87" t="s">
        <v>967</v>
      </c>
      <c r="G4907" s="87" t="s">
        <v>332</v>
      </c>
      <c r="H4907" s="87" t="s">
        <v>967</v>
      </c>
      <c r="I4907" s="87">
        <v>61</v>
      </c>
    </row>
    <row r="4908" spans="1:9" x14ac:dyDescent="0.25">
      <c r="A4908" s="87" t="s">
        <v>78</v>
      </c>
      <c r="B4908" s="87" t="s">
        <v>430</v>
      </c>
      <c r="C4908" s="87">
        <v>1985</v>
      </c>
      <c r="D4908" s="87" t="s">
        <v>138</v>
      </c>
      <c r="E4908" s="116">
        <v>1492</v>
      </c>
      <c r="F4908" s="87" t="s">
        <v>967</v>
      </c>
      <c r="G4908" s="87" t="s">
        <v>272</v>
      </c>
      <c r="H4908" s="87" t="s">
        <v>967</v>
      </c>
      <c r="I4908" s="87">
        <v>61</v>
      </c>
    </row>
    <row r="4909" spans="1:9" x14ac:dyDescent="0.25">
      <c r="A4909" s="87" t="s">
        <v>78</v>
      </c>
      <c r="B4909" s="87" t="s">
        <v>430</v>
      </c>
      <c r="C4909" s="87">
        <v>1986</v>
      </c>
      <c r="D4909" s="87" t="s">
        <v>138</v>
      </c>
      <c r="E4909" s="116">
        <v>4291</v>
      </c>
      <c r="F4909" s="87" t="s">
        <v>967</v>
      </c>
      <c r="G4909" s="87" t="s">
        <v>272</v>
      </c>
      <c r="H4909" s="87" t="s">
        <v>967</v>
      </c>
      <c r="I4909" s="87">
        <v>61</v>
      </c>
    </row>
    <row r="4910" spans="1:9" x14ac:dyDescent="0.25">
      <c r="A4910" s="87" t="s">
        <v>78</v>
      </c>
      <c r="B4910" s="87" t="s">
        <v>430</v>
      </c>
      <c r="C4910" s="87">
        <v>1987</v>
      </c>
      <c r="D4910" s="87" t="s">
        <v>138</v>
      </c>
      <c r="E4910" s="116">
        <v>16790</v>
      </c>
      <c r="F4910" s="87" t="s">
        <v>967</v>
      </c>
      <c r="G4910" s="87" t="s">
        <v>272</v>
      </c>
      <c r="H4910" s="87" t="s">
        <v>967</v>
      </c>
      <c r="I4910" s="87">
        <v>61</v>
      </c>
    </row>
    <row r="4911" spans="1:9" x14ac:dyDescent="0.25">
      <c r="A4911" s="87" t="s">
        <v>78</v>
      </c>
      <c r="B4911" s="87" t="s">
        <v>430</v>
      </c>
      <c r="C4911" s="87">
        <v>1988</v>
      </c>
      <c r="D4911" s="87" t="s">
        <v>138</v>
      </c>
      <c r="E4911" s="116">
        <v>14466</v>
      </c>
      <c r="F4911" s="87" t="s">
        <v>967</v>
      </c>
      <c r="G4911" s="87" t="s">
        <v>274</v>
      </c>
      <c r="H4911" s="87" t="s">
        <v>967</v>
      </c>
      <c r="I4911" s="87">
        <v>61</v>
      </c>
    </row>
    <row r="4912" spans="1:9" x14ac:dyDescent="0.25">
      <c r="A4912" s="87" t="s">
        <v>78</v>
      </c>
      <c r="B4912" s="87" t="s">
        <v>430</v>
      </c>
      <c r="C4912" s="87">
        <v>1989</v>
      </c>
      <c r="D4912" s="87" t="s">
        <v>138</v>
      </c>
      <c r="E4912" s="116">
        <v>2933</v>
      </c>
      <c r="F4912" s="87" t="s">
        <v>967</v>
      </c>
      <c r="G4912" s="87" t="s">
        <v>272</v>
      </c>
      <c r="H4912" s="87" t="s">
        <v>967</v>
      </c>
      <c r="I4912" s="87">
        <v>61</v>
      </c>
    </row>
    <row r="4913" spans="1:9" x14ac:dyDescent="0.25">
      <c r="A4913" s="87" t="s">
        <v>78</v>
      </c>
      <c r="B4913" s="87" t="s">
        <v>430</v>
      </c>
      <c r="C4913" s="87">
        <v>1990</v>
      </c>
      <c r="D4913" s="87" t="s">
        <v>138</v>
      </c>
      <c r="E4913" s="116">
        <v>1570</v>
      </c>
      <c r="F4913" s="87" t="s">
        <v>967</v>
      </c>
      <c r="G4913" s="87" t="s">
        <v>272</v>
      </c>
      <c r="H4913" s="87" t="s">
        <v>967</v>
      </c>
      <c r="I4913" s="87">
        <v>61</v>
      </c>
    </row>
    <row r="4914" spans="1:9" x14ac:dyDescent="0.25">
      <c r="A4914" s="87" t="s">
        <v>78</v>
      </c>
      <c r="B4914" s="87" t="s">
        <v>430</v>
      </c>
      <c r="C4914" s="87">
        <v>1991</v>
      </c>
      <c r="D4914" s="87" t="s">
        <v>138</v>
      </c>
      <c r="E4914" s="116">
        <v>8392</v>
      </c>
      <c r="F4914" s="87" t="s">
        <v>967</v>
      </c>
      <c r="G4914" s="87" t="s">
        <v>272</v>
      </c>
      <c r="H4914" s="87" t="s">
        <v>967</v>
      </c>
      <c r="I4914" s="87">
        <v>61</v>
      </c>
    </row>
    <row r="4915" spans="1:9" x14ac:dyDescent="0.25">
      <c r="A4915" s="87" t="s">
        <v>78</v>
      </c>
      <c r="B4915" s="87" t="s">
        <v>430</v>
      </c>
      <c r="C4915" s="87">
        <v>1992</v>
      </c>
      <c r="D4915" s="87" t="s">
        <v>138</v>
      </c>
      <c r="E4915" s="116">
        <v>35856</v>
      </c>
      <c r="F4915" s="87" t="s">
        <v>967</v>
      </c>
      <c r="G4915" s="87" t="s">
        <v>272</v>
      </c>
      <c r="H4915" s="87" t="s">
        <v>967</v>
      </c>
      <c r="I4915" s="87">
        <v>61</v>
      </c>
    </row>
    <row r="4916" spans="1:9" x14ac:dyDescent="0.25">
      <c r="A4916" s="87" t="s">
        <v>78</v>
      </c>
      <c r="B4916" s="87" t="s">
        <v>430</v>
      </c>
      <c r="C4916" s="87">
        <v>1993</v>
      </c>
      <c r="D4916" s="87" t="s">
        <v>138</v>
      </c>
      <c r="E4916" s="116">
        <v>17834</v>
      </c>
      <c r="F4916" s="87" t="s">
        <v>967</v>
      </c>
      <c r="G4916" s="87" t="s">
        <v>272</v>
      </c>
      <c r="H4916" s="87" t="s">
        <v>967</v>
      </c>
      <c r="I4916" s="87">
        <v>61</v>
      </c>
    </row>
    <row r="4917" spans="1:9" x14ac:dyDescent="0.25">
      <c r="A4917" s="87" t="s">
        <v>78</v>
      </c>
      <c r="B4917" s="87" t="s">
        <v>430</v>
      </c>
      <c r="C4917" s="87">
        <v>1994</v>
      </c>
      <c r="D4917" s="87" t="s">
        <v>138</v>
      </c>
      <c r="E4917" s="116">
        <v>6826</v>
      </c>
      <c r="F4917" s="87" t="s">
        <v>967</v>
      </c>
      <c r="G4917" s="87" t="s">
        <v>272</v>
      </c>
      <c r="H4917" s="87" t="s">
        <v>967</v>
      </c>
      <c r="I4917" s="87">
        <v>61</v>
      </c>
    </row>
    <row r="4918" spans="1:9" x14ac:dyDescent="0.25">
      <c r="A4918" s="87" t="s">
        <v>78</v>
      </c>
      <c r="B4918" s="87" t="s">
        <v>430</v>
      </c>
      <c r="C4918" s="87">
        <v>1995</v>
      </c>
      <c r="D4918" s="87" t="s">
        <v>138</v>
      </c>
      <c r="E4918" s="116">
        <v>29820</v>
      </c>
      <c r="F4918" s="87" t="s">
        <v>967</v>
      </c>
      <c r="G4918" s="87" t="s">
        <v>272</v>
      </c>
      <c r="H4918" s="87" t="s">
        <v>967</v>
      </c>
      <c r="I4918" s="87">
        <v>61</v>
      </c>
    </row>
    <row r="4919" spans="1:9" x14ac:dyDescent="0.25">
      <c r="A4919" s="87" t="s">
        <v>78</v>
      </c>
      <c r="B4919" s="87" t="s">
        <v>430</v>
      </c>
      <c r="C4919" s="87">
        <v>1996</v>
      </c>
      <c r="D4919" s="87" t="s">
        <v>138</v>
      </c>
      <c r="E4919" s="116">
        <v>21928</v>
      </c>
      <c r="F4919" s="87" t="s">
        <v>967</v>
      </c>
      <c r="G4919" s="87" t="s">
        <v>272</v>
      </c>
      <c r="H4919" s="87" t="s">
        <v>967</v>
      </c>
      <c r="I4919" s="87">
        <v>61</v>
      </c>
    </row>
    <row r="4920" spans="1:9" x14ac:dyDescent="0.25">
      <c r="A4920" s="87" t="s">
        <v>78</v>
      </c>
      <c r="B4920" s="87" t="s">
        <v>430</v>
      </c>
      <c r="C4920" s="87">
        <v>1997</v>
      </c>
      <c r="D4920" s="87" t="s">
        <v>138</v>
      </c>
      <c r="E4920" s="116">
        <v>79717</v>
      </c>
      <c r="F4920" s="87" t="s">
        <v>967</v>
      </c>
      <c r="G4920" s="87" t="s">
        <v>272</v>
      </c>
      <c r="H4920" s="87" t="s">
        <v>967</v>
      </c>
      <c r="I4920" s="87">
        <v>61</v>
      </c>
    </row>
    <row r="4921" spans="1:9" x14ac:dyDescent="0.25">
      <c r="A4921" s="87" t="s">
        <v>78</v>
      </c>
      <c r="B4921" s="87" t="s">
        <v>430</v>
      </c>
      <c r="C4921" s="87">
        <v>1998</v>
      </c>
      <c r="D4921" s="87" t="s">
        <v>138</v>
      </c>
      <c r="E4921" s="116">
        <v>78780</v>
      </c>
      <c r="F4921" s="87" t="s">
        <v>967</v>
      </c>
      <c r="G4921" s="87" t="s">
        <v>272</v>
      </c>
      <c r="H4921" s="87" t="s">
        <v>967</v>
      </c>
      <c r="I4921" s="87">
        <v>61</v>
      </c>
    </row>
    <row r="4922" spans="1:9" x14ac:dyDescent="0.25">
      <c r="A4922" s="87" t="s">
        <v>78</v>
      </c>
      <c r="B4922" s="87" t="s">
        <v>430</v>
      </c>
      <c r="C4922" s="87">
        <v>1999</v>
      </c>
      <c r="D4922" s="87" t="s">
        <v>138</v>
      </c>
      <c r="E4922" s="116">
        <v>74945</v>
      </c>
      <c r="F4922" s="87" t="s">
        <v>967</v>
      </c>
      <c r="G4922" s="87" t="s">
        <v>272</v>
      </c>
      <c r="H4922" s="87" t="s">
        <v>967</v>
      </c>
      <c r="I4922" s="87">
        <v>61</v>
      </c>
    </row>
    <row r="4923" spans="1:9" x14ac:dyDescent="0.25">
      <c r="A4923" s="87" t="s">
        <v>78</v>
      </c>
      <c r="B4923" s="87" t="s">
        <v>430</v>
      </c>
      <c r="C4923" s="87">
        <v>2000</v>
      </c>
      <c r="D4923" s="87" t="s">
        <v>138</v>
      </c>
      <c r="E4923" s="116">
        <v>68513</v>
      </c>
      <c r="F4923" s="87" t="s">
        <v>967</v>
      </c>
      <c r="G4923" s="87" t="s">
        <v>273</v>
      </c>
      <c r="H4923" s="87" t="s">
        <v>967</v>
      </c>
      <c r="I4923" s="87">
        <v>61</v>
      </c>
    </row>
    <row r="4924" spans="1:9" x14ac:dyDescent="0.25">
      <c r="A4924" s="87" t="s">
        <v>78</v>
      </c>
      <c r="B4924" s="87" t="s">
        <v>430</v>
      </c>
      <c r="C4924" s="87">
        <v>2001</v>
      </c>
      <c r="D4924" s="87" t="s">
        <v>138</v>
      </c>
      <c r="E4924" s="116">
        <v>68247</v>
      </c>
      <c r="F4924" s="87" t="s">
        <v>967</v>
      </c>
      <c r="G4924" s="87" t="s">
        <v>272</v>
      </c>
      <c r="H4924" s="87" t="s">
        <v>967</v>
      </c>
      <c r="I4924" s="87">
        <v>61</v>
      </c>
    </row>
    <row r="4925" spans="1:9" x14ac:dyDescent="0.25">
      <c r="A4925" s="87" t="s">
        <v>78</v>
      </c>
      <c r="B4925" s="87" t="s">
        <v>430</v>
      </c>
      <c r="C4925" s="87">
        <v>2002</v>
      </c>
      <c r="D4925" s="87" t="s">
        <v>138</v>
      </c>
      <c r="E4925" s="116">
        <v>58852</v>
      </c>
      <c r="F4925" s="87" t="s">
        <v>967</v>
      </c>
      <c r="G4925" s="87" t="s">
        <v>272</v>
      </c>
      <c r="H4925" s="87" t="s">
        <v>967</v>
      </c>
      <c r="I4925" s="87">
        <v>61</v>
      </c>
    </row>
    <row r="4926" spans="1:9" x14ac:dyDescent="0.25">
      <c r="A4926" s="87" t="s">
        <v>78</v>
      </c>
      <c r="B4926" s="87" t="s">
        <v>430</v>
      </c>
      <c r="C4926" s="87">
        <v>2003</v>
      </c>
      <c r="D4926" s="87" t="s">
        <v>138</v>
      </c>
      <c r="E4926" s="116">
        <v>54111</v>
      </c>
      <c r="F4926" s="87" t="s">
        <v>967</v>
      </c>
      <c r="G4926" s="87" t="s">
        <v>272</v>
      </c>
      <c r="H4926" s="87" t="s">
        <v>967</v>
      </c>
      <c r="I4926" s="87">
        <v>61</v>
      </c>
    </row>
    <row r="4927" spans="1:9" x14ac:dyDescent="0.25">
      <c r="A4927" s="87" t="s">
        <v>78</v>
      </c>
      <c r="B4927" s="87" t="s">
        <v>430</v>
      </c>
      <c r="C4927" s="87">
        <v>2004</v>
      </c>
      <c r="D4927" s="87" t="s">
        <v>138</v>
      </c>
      <c r="E4927" s="116">
        <v>54485</v>
      </c>
      <c r="F4927" s="87" t="s">
        <v>967</v>
      </c>
      <c r="G4927" s="87" t="s">
        <v>272</v>
      </c>
      <c r="H4927" s="87" t="s">
        <v>967</v>
      </c>
      <c r="I4927" s="87">
        <v>61</v>
      </c>
    </row>
    <row r="4928" spans="1:9" x14ac:dyDescent="0.25">
      <c r="A4928" s="87" t="s">
        <v>78</v>
      </c>
      <c r="B4928" s="87" t="s">
        <v>430</v>
      </c>
      <c r="C4928" s="87">
        <v>2005</v>
      </c>
      <c r="D4928" s="87" t="s">
        <v>138</v>
      </c>
      <c r="E4928" s="116">
        <v>31099</v>
      </c>
      <c r="F4928" s="87" t="s">
        <v>967</v>
      </c>
      <c r="G4928" s="87" t="s">
        <v>272</v>
      </c>
      <c r="H4928" s="87" t="s">
        <v>967</v>
      </c>
      <c r="I4928" s="87">
        <v>61</v>
      </c>
    </row>
    <row r="4929" spans="1:9" x14ac:dyDescent="0.25">
      <c r="A4929" s="87" t="s">
        <v>78</v>
      </c>
      <c r="B4929" s="87" t="s">
        <v>430</v>
      </c>
      <c r="C4929" s="87">
        <v>2006</v>
      </c>
      <c r="D4929" s="87" t="s">
        <v>138</v>
      </c>
      <c r="E4929" s="116">
        <v>41312</v>
      </c>
      <c r="F4929" s="87" t="s">
        <v>967</v>
      </c>
      <c r="G4929" s="87" t="s">
        <v>272</v>
      </c>
      <c r="H4929" s="87" t="s">
        <v>967</v>
      </c>
      <c r="I4929" s="87">
        <v>61</v>
      </c>
    </row>
    <row r="4930" spans="1:9" x14ac:dyDescent="0.25">
      <c r="A4930" s="87" t="s">
        <v>78</v>
      </c>
      <c r="B4930" s="87" t="s">
        <v>430</v>
      </c>
      <c r="C4930" s="87">
        <v>2007</v>
      </c>
      <c r="D4930" s="87" t="s">
        <v>138</v>
      </c>
      <c r="E4930" s="116">
        <v>23514</v>
      </c>
      <c r="F4930" s="87" t="s">
        <v>967</v>
      </c>
      <c r="G4930" s="87" t="s">
        <v>272</v>
      </c>
      <c r="H4930" s="87" t="s">
        <v>967</v>
      </c>
      <c r="I4930" s="87">
        <v>61</v>
      </c>
    </row>
    <row r="4931" spans="1:9" x14ac:dyDescent="0.25">
      <c r="A4931" s="87" t="s">
        <v>78</v>
      </c>
      <c r="B4931" s="87" t="s">
        <v>430</v>
      </c>
      <c r="C4931" s="87">
        <v>2008</v>
      </c>
      <c r="D4931" s="87" t="s">
        <v>138</v>
      </c>
      <c r="E4931" s="116">
        <v>35732</v>
      </c>
      <c r="F4931" s="87" t="s">
        <v>967</v>
      </c>
      <c r="G4931" s="87" t="s">
        <v>272</v>
      </c>
      <c r="H4931" s="87" t="s">
        <v>967</v>
      </c>
      <c r="I4931" s="87">
        <v>61</v>
      </c>
    </row>
    <row r="4932" spans="1:9" x14ac:dyDescent="0.25">
      <c r="A4932" s="87" t="s">
        <v>78</v>
      </c>
      <c r="B4932" s="87" t="s">
        <v>430</v>
      </c>
      <c r="C4932" s="87">
        <v>2009</v>
      </c>
      <c r="D4932" s="87" t="s">
        <v>138</v>
      </c>
      <c r="E4932" s="116">
        <v>14116</v>
      </c>
      <c r="F4932" s="87" t="s">
        <v>967</v>
      </c>
      <c r="G4932" s="87" t="s">
        <v>272</v>
      </c>
      <c r="H4932" s="87" t="s">
        <v>967</v>
      </c>
      <c r="I4932" s="87">
        <v>61</v>
      </c>
    </row>
    <row r="4933" spans="1:9" x14ac:dyDescent="0.25">
      <c r="A4933" s="87" t="s">
        <v>78</v>
      </c>
      <c r="B4933" s="87" t="s">
        <v>430</v>
      </c>
      <c r="C4933" s="87">
        <v>2010</v>
      </c>
      <c r="D4933" s="87" t="s">
        <v>138</v>
      </c>
      <c r="E4933" s="116">
        <v>74947</v>
      </c>
      <c r="F4933" s="87" t="s">
        <v>967</v>
      </c>
      <c r="G4933" s="87" t="s">
        <v>272</v>
      </c>
      <c r="H4933" s="87" t="s">
        <v>967</v>
      </c>
      <c r="I4933" s="87">
        <v>61</v>
      </c>
    </row>
    <row r="4934" spans="1:9" x14ac:dyDescent="0.25">
      <c r="A4934" s="87" t="s">
        <v>78</v>
      </c>
      <c r="B4934" s="87" t="s">
        <v>430</v>
      </c>
      <c r="C4934" s="87">
        <v>2011</v>
      </c>
      <c r="D4934" s="87" t="s">
        <v>138</v>
      </c>
      <c r="E4934" s="116">
        <v>48397</v>
      </c>
      <c r="F4934" s="87" t="s">
        <v>579</v>
      </c>
      <c r="G4934" s="87" t="s">
        <v>272</v>
      </c>
      <c r="H4934" s="87" t="s">
        <v>578</v>
      </c>
      <c r="I4934" s="87">
        <v>61</v>
      </c>
    </row>
    <row r="4935" spans="1:9" x14ac:dyDescent="0.25">
      <c r="A4935" s="87" t="s">
        <v>78</v>
      </c>
      <c r="B4935" s="87" t="s">
        <v>430</v>
      </c>
      <c r="C4935" s="87">
        <v>2012</v>
      </c>
      <c r="D4935" s="87" t="s">
        <v>138</v>
      </c>
      <c r="E4935" s="116">
        <v>14685</v>
      </c>
      <c r="F4935" s="87" t="s">
        <v>579</v>
      </c>
      <c r="G4935" s="87" t="s">
        <v>272</v>
      </c>
      <c r="H4935" s="87" t="s">
        <v>580</v>
      </c>
      <c r="I4935" s="87">
        <v>61</v>
      </c>
    </row>
    <row r="4936" spans="1:9" x14ac:dyDescent="0.25">
      <c r="A4936" s="87" t="s">
        <v>78</v>
      </c>
      <c r="B4936" s="87" t="s">
        <v>430</v>
      </c>
      <c r="C4936" s="87">
        <v>2013</v>
      </c>
      <c r="D4936" s="87" t="s">
        <v>138</v>
      </c>
      <c r="E4936" s="116">
        <v>46036</v>
      </c>
      <c r="F4936" s="87" t="s">
        <v>579</v>
      </c>
      <c r="G4936" s="87" t="s">
        <v>272</v>
      </c>
      <c r="H4936" s="87" t="s">
        <v>581</v>
      </c>
      <c r="I4936" s="87">
        <v>61</v>
      </c>
    </row>
    <row r="4937" spans="1:9" x14ac:dyDescent="0.25">
      <c r="A4937" s="87" t="s">
        <v>78</v>
      </c>
      <c r="B4937" s="87" t="s">
        <v>430</v>
      </c>
      <c r="C4937" s="87">
        <v>2014</v>
      </c>
      <c r="D4937" s="87" t="s">
        <v>138</v>
      </c>
      <c r="E4937" s="116">
        <v>50544</v>
      </c>
      <c r="F4937" s="87" t="s">
        <v>579</v>
      </c>
      <c r="G4937" s="87" t="s">
        <v>272</v>
      </c>
      <c r="H4937" s="87" t="s">
        <v>582</v>
      </c>
      <c r="I4937" s="87">
        <v>61</v>
      </c>
    </row>
    <row r="4938" spans="1:9" x14ac:dyDescent="0.25">
      <c r="A4938" s="87" t="s">
        <v>78</v>
      </c>
      <c r="B4938" s="87" t="s">
        <v>430</v>
      </c>
      <c r="C4938" s="87">
        <v>2015</v>
      </c>
      <c r="D4938" s="87" t="s">
        <v>138</v>
      </c>
      <c r="E4938" s="116">
        <v>25915</v>
      </c>
      <c r="F4938" s="87" t="s">
        <v>579</v>
      </c>
      <c r="G4938" s="87" t="s">
        <v>272</v>
      </c>
      <c r="H4938" s="87" t="s">
        <v>583</v>
      </c>
      <c r="I4938" s="87">
        <v>61</v>
      </c>
    </row>
    <row r="4939" spans="1:9" x14ac:dyDescent="0.25">
      <c r="A4939" s="87" t="s">
        <v>78</v>
      </c>
      <c r="B4939" s="87" t="s">
        <v>430</v>
      </c>
      <c r="C4939" s="87">
        <v>2016</v>
      </c>
      <c r="D4939" s="87" t="s">
        <v>138</v>
      </c>
      <c r="E4939" s="116">
        <v>34586</v>
      </c>
      <c r="F4939" s="87" t="s">
        <v>579</v>
      </c>
      <c r="G4939" s="87" t="s">
        <v>272</v>
      </c>
      <c r="H4939" s="87" t="s">
        <v>584</v>
      </c>
      <c r="I4939" s="87">
        <v>61</v>
      </c>
    </row>
    <row r="4940" spans="1:9" x14ac:dyDescent="0.25">
      <c r="A4940" s="87" t="s">
        <v>78</v>
      </c>
      <c r="B4940" s="87" t="s">
        <v>430</v>
      </c>
      <c r="C4940" s="87">
        <v>2017</v>
      </c>
      <c r="D4940" s="87" t="s">
        <v>138</v>
      </c>
      <c r="E4940" s="116">
        <v>20184</v>
      </c>
      <c r="F4940" s="87" t="s">
        <v>579</v>
      </c>
      <c r="G4940" s="87" t="s">
        <v>272</v>
      </c>
      <c r="H4940" s="87" t="s">
        <v>585</v>
      </c>
      <c r="I4940" s="87">
        <v>61</v>
      </c>
    </row>
    <row r="4941" spans="1:9" x14ac:dyDescent="0.25">
      <c r="A4941" s="87" t="s">
        <v>78</v>
      </c>
      <c r="B4941" s="87" t="s">
        <v>430</v>
      </c>
      <c r="C4941" s="87">
        <v>2018</v>
      </c>
      <c r="D4941" s="87" t="s">
        <v>138</v>
      </c>
      <c r="E4941" s="116">
        <v>17810</v>
      </c>
      <c r="F4941" s="87" t="s">
        <v>967</v>
      </c>
      <c r="G4941" s="87" t="s">
        <v>272</v>
      </c>
      <c r="H4941" s="87" t="s">
        <v>953</v>
      </c>
      <c r="I4941" s="87">
        <v>61</v>
      </c>
    </row>
    <row r="4942" spans="1:9" x14ac:dyDescent="0.25">
      <c r="A4942" s="87" t="s">
        <v>78</v>
      </c>
      <c r="B4942" s="87" t="s">
        <v>430</v>
      </c>
      <c r="C4942" s="87">
        <v>2019</v>
      </c>
      <c r="D4942" s="87" t="s">
        <v>138</v>
      </c>
      <c r="E4942" s="116">
        <v>70366</v>
      </c>
      <c r="F4942" s="87" t="s">
        <v>967</v>
      </c>
      <c r="G4942" s="87" t="s">
        <v>272</v>
      </c>
      <c r="H4942" s="87" t="s">
        <v>953</v>
      </c>
      <c r="I4942" s="87">
        <v>61</v>
      </c>
    </row>
    <row r="4943" spans="1:9" x14ac:dyDescent="0.25">
      <c r="A4943" s="87" t="s">
        <v>78</v>
      </c>
      <c r="B4943" s="87" t="s">
        <v>430</v>
      </c>
      <c r="C4943" s="87">
        <v>2020</v>
      </c>
      <c r="D4943" s="87" t="s">
        <v>138</v>
      </c>
      <c r="E4943" s="116">
        <v>35795</v>
      </c>
      <c r="F4943" s="87" t="s">
        <v>967</v>
      </c>
      <c r="G4943" s="87" t="s">
        <v>272</v>
      </c>
      <c r="H4943" s="87" t="s">
        <v>953</v>
      </c>
      <c r="I4943" s="87">
        <v>61</v>
      </c>
    </row>
    <row r="4944" spans="1:9" x14ac:dyDescent="0.25">
      <c r="A4944" s="87" t="s">
        <v>78</v>
      </c>
      <c r="B4944" s="87" t="s">
        <v>430</v>
      </c>
      <c r="C4944" s="87">
        <v>2021</v>
      </c>
      <c r="D4944" s="87" t="s">
        <v>138</v>
      </c>
      <c r="E4944" s="116">
        <v>52868</v>
      </c>
      <c r="F4944" s="87" t="s">
        <v>967</v>
      </c>
      <c r="G4944" s="87" t="s">
        <v>272</v>
      </c>
      <c r="H4944" s="87" t="s">
        <v>953</v>
      </c>
      <c r="I4944" s="87">
        <v>61</v>
      </c>
    </row>
    <row r="4945" spans="1:9" x14ac:dyDescent="0.25">
      <c r="A4945" s="87" t="s">
        <v>78</v>
      </c>
      <c r="B4945" s="87" t="s">
        <v>430</v>
      </c>
      <c r="C4945" s="87">
        <v>2022</v>
      </c>
      <c r="D4945" s="87" t="s">
        <v>138</v>
      </c>
      <c r="E4945" s="116">
        <v>56170</v>
      </c>
      <c r="F4945" s="87" t="s">
        <v>967</v>
      </c>
      <c r="G4945" s="87" t="s">
        <v>272</v>
      </c>
      <c r="H4945" s="87" t="s">
        <v>953</v>
      </c>
      <c r="I4945" s="87">
        <v>61</v>
      </c>
    </row>
  </sheetData>
  <autoFilter ref="A1:I4945" xr:uid="{00000000-0001-0000-0700-000000000000}"/>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AZ85"/>
  <sheetViews>
    <sheetView zoomScale="90" zoomScaleNormal="90" workbookViewId="0">
      <pane xSplit="2" ySplit="1" topLeftCell="X29" activePane="bottomRight" state="frozen"/>
      <selection pane="topRight" activeCell="C1" sqref="C1"/>
      <selection pane="bottomLeft" activeCell="A2" sqref="A2"/>
      <selection pane="bottomRight" activeCell="BC47" sqref="BC47"/>
    </sheetView>
  </sheetViews>
  <sheetFormatPr defaultRowHeight="15" x14ac:dyDescent="0.25"/>
  <cols>
    <col min="1" max="1" width="9.140625" style="150"/>
    <col min="2" max="2" width="19.5703125" bestFit="1" customWidth="1"/>
    <col min="3" max="3" width="6.140625" customWidth="1"/>
    <col min="4" max="37" width="5.42578125" customWidth="1"/>
    <col min="38" max="38" width="6.7109375" bestFit="1" customWidth="1"/>
    <col min="39" max="44" width="5.42578125" customWidth="1"/>
    <col min="45" max="45" width="5.5703125" customWidth="1"/>
  </cols>
  <sheetData>
    <row r="1" spans="1:52" x14ac:dyDescent="0.25">
      <c r="A1" s="149" t="s">
        <v>1052</v>
      </c>
      <c r="B1" s="148" t="s">
        <v>1053</v>
      </c>
      <c r="C1" s="149">
        <v>1979</v>
      </c>
      <c r="D1" s="149">
        <v>1980</v>
      </c>
      <c r="E1" s="149">
        <v>1981</v>
      </c>
      <c r="F1" s="149">
        <v>1982</v>
      </c>
      <c r="G1" s="149">
        <v>1983</v>
      </c>
      <c r="H1" s="149">
        <v>1984</v>
      </c>
      <c r="I1" s="149">
        <v>1985</v>
      </c>
      <c r="J1" s="149">
        <v>1986</v>
      </c>
      <c r="K1" s="149">
        <v>1987</v>
      </c>
      <c r="L1" s="149">
        <v>1988</v>
      </c>
      <c r="M1" s="149">
        <v>1989</v>
      </c>
      <c r="N1" s="149">
        <v>1990</v>
      </c>
      <c r="O1" s="149">
        <v>1991</v>
      </c>
      <c r="P1" s="149">
        <v>1992</v>
      </c>
      <c r="Q1" s="149">
        <v>1993</v>
      </c>
      <c r="R1" s="149">
        <v>1994</v>
      </c>
      <c r="S1" s="149">
        <v>1995</v>
      </c>
      <c r="T1" s="149">
        <v>1996</v>
      </c>
      <c r="U1" s="149">
        <v>1997</v>
      </c>
      <c r="V1" s="149">
        <v>1998</v>
      </c>
      <c r="W1" s="149">
        <v>1999</v>
      </c>
      <c r="X1" s="149">
        <v>2000</v>
      </c>
      <c r="Y1" s="149">
        <v>2001</v>
      </c>
      <c r="Z1" s="149">
        <v>2002</v>
      </c>
      <c r="AA1" s="149">
        <v>2003</v>
      </c>
      <c r="AB1" s="149">
        <v>2004</v>
      </c>
      <c r="AC1" s="149">
        <v>2005</v>
      </c>
      <c r="AD1" s="149">
        <v>2006</v>
      </c>
      <c r="AE1" s="149">
        <v>2007</v>
      </c>
      <c r="AF1" s="149">
        <v>2008</v>
      </c>
      <c r="AG1" s="149">
        <v>2009</v>
      </c>
      <c r="AH1" s="149">
        <v>2010</v>
      </c>
      <c r="AI1" s="149">
        <v>2011</v>
      </c>
      <c r="AJ1" s="149">
        <v>2012</v>
      </c>
      <c r="AK1" s="149">
        <v>2013</v>
      </c>
      <c r="AL1" s="149">
        <v>2014</v>
      </c>
      <c r="AM1" s="149">
        <v>2015</v>
      </c>
      <c r="AN1" s="149">
        <v>2016</v>
      </c>
      <c r="AO1" s="149">
        <v>2017</v>
      </c>
      <c r="AP1" s="149">
        <v>2018</v>
      </c>
      <c r="AQ1" s="149">
        <v>2019</v>
      </c>
      <c r="AR1" s="149">
        <v>2020</v>
      </c>
      <c r="AS1" s="149">
        <v>2021</v>
      </c>
      <c r="AT1" s="149">
        <v>2022</v>
      </c>
    </row>
    <row r="2" spans="1:52" x14ac:dyDescent="0.25">
      <c r="A2" s="149">
        <v>48</v>
      </c>
      <c r="B2" s="148" t="s">
        <v>125</v>
      </c>
      <c r="AW2" s="155"/>
      <c r="AY2" s="155" t="s">
        <v>1076</v>
      </c>
    </row>
    <row r="3" spans="1:52" x14ac:dyDescent="0.25">
      <c r="A3" s="149">
        <v>65</v>
      </c>
      <c r="B3" s="148" t="s">
        <v>198</v>
      </c>
      <c r="AW3" s="59"/>
      <c r="AZ3" t="s">
        <v>1077</v>
      </c>
    </row>
    <row r="4" spans="1:52" x14ac:dyDescent="0.25">
      <c r="A4" s="149">
        <v>24</v>
      </c>
      <c r="B4" s="148" t="s">
        <v>143</v>
      </c>
      <c r="J4">
        <v>173</v>
      </c>
      <c r="AR4">
        <v>19</v>
      </c>
      <c r="AS4">
        <v>19</v>
      </c>
      <c r="AT4" s="76">
        <v>19</v>
      </c>
      <c r="AW4" s="59"/>
      <c r="AY4" s="76"/>
      <c r="AZ4" t="s">
        <v>1078</v>
      </c>
    </row>
    <row r="5" spans="1:52" x14ac:dyDescent="0.25">
      <c r="A5" s="149">
        <v>14</v>
      </c>
      <c r="B5" s="148" t="s">
        <v>123</v>
      </c>
      <c r="I5">
        <v>194</v>
      </c>
      <c r="J5">
        <v>685</v>
      </c>
      <c r="K5">
        <v>860</v>
      </c>
      <c r="AR5">
        <v>13</v>
      </c>
      <c r="AS5" s="156">
        <v>28</v>
      </c>
      <c r="AT5" s="76">
        <v>28</v>
      </c>
      <c r="AW5" s="59"/>
      <c r="AY5" s="156"/>
      <c r="AZ5" t="s">
        <v>1079</v>
      </c>
    </row>
    <row r="6" spans="1:52" x14ac:dyDescent="0.25">
      <c r="A6" s="149">
        <v>23</v>
      </c>
      <c r="B6" s="148" t="s">
        <v>121</v>
      </c>
      <c r="J6">
        <v>754</v>
      </c>
      <c r="AS6" s="156">
        <v>25</v>
      </c>
      <c r="AW6" s="59"/>
    </row>
    <row r="7" spans="1:52" x14ac:dyDescent="0.25">
      <c r="A7" s="149">
        <v>69</v>
      </c>
      <c r="B7" s="148" t="s">
        <v>126</v>
      </c>
    </row>
    <row r="8" spans="1:52" x14ac:dyDescent="0.25">
      <c r="A8" s="149">
        <v>40</v>
      </c>
      <c r="B8" s="148" t="s">
        <v>127</v>
      </c>
    </row>
    <row r="9" spans="1:52" x14ac:dyDescent="0.25">
      <c r="A9" s="149">
        <v>43</v>
      </c>
      <c r="B9" s="148" t="s">
        <v>120</v>
      </c>
      <c r="AD9">
        <v>19</v>
      </c>
    </row>
    <row r="10" spans="1:52" x14ac:dyDescent="0.25">
      <c r="A10" s="149">
        <v>70</v>
      </c>
      <c r="B10" s="148" t="s">
        <v>128</v>
      </c>
    </row>
    <row r="11" spans="1:52" x14ac:dyDescent="0.25">
      <c r="A11" s="149">
        <v>59</v>
      </c>
      <c r="B11" s="148" t="s">
        <v>129</v>
      </c>
      <c r="C11">
        <v>41</v>
      </c>
      <c r="D11">
        <v>40</v>
      </c>
      <c r="E11">
        <v>35</v>
      </c>
      <c r="F11">
        <v>75</v>
      </c>
      <c r="G11">
        <v>90</v>
      </c>
      <c r="H11">
        <v>50</v>
      </c>
      <c r="I11">
        <v>83</v>
      </c>
      <c r="J11">
        <v>73</v>
      </c>
      <c r="K11">
        <v>33</v>
      </c>
      <c r="L11">
        <v>89</v>
      </c>
      <c r="M11">
        <v>94</v>
      </c>
      <c r="N11">
        <v>78</v>
      </c>
      <c r="O11">
        <v>23</v>
      </c>
      <c r="P11">
        <v>25</v>
      </c>
      <c r="Q11">
        <v>27</v>
      </c>
      <c r="R11">
        <v>28</v>
      </c>
      <c r="S11">
        <v>22</v>
      </c>
      <c r="T11">
        <v>29</v>
      </c>
      <c r="U11">
        <v>30</v>
      </c>
      <c r="V11">
        <v>32</v>
      </c>
      <c r="W11">
        <v>22</v>
      </c>
      <c r="X11">
        <v>32</v>
      </c>
      <c r="Y11">
        <v>29</v>
      </c>
      <c r="Z11">
        <v>28</v>
      </c>
      <c r="AA11">
        <v>29</v>
      </c>
    </row>
    <row r="12" spans="1:52" x14ac:dyDescent="0.25">
      <c r="A12" s="149">
        <v>63</v>
      </c>
      <c r="B12" s="148" t="s">
        <v>130</v>
      </c>
    </row>
    <row r="13" spans="1:52" x14ac:dyDescent="0.25">
      <c r="A13" s="149">
        <v>53</v>
      </c>
      <c r="B13" s="148" t="s">
        <v>131</v>
      </c>
      <c r="G13">
        <v>6</v>
      </c>
      <c r="H13">
        <v>9</v>
      </c>
      <c r="J13">
        <v>193</v>
      </c>
      <c r="K13">
        <v>122</v>
      </c>
      <c r="L13">
        <v>169</v>
      </c>
      <c r="M13">
        <v>169</v>
      </c>
      <c r="N13">
        <v>102</v>
      </c>
      <c r="O13">
        <v>96</v>
      </c>
      <c r="P13">
        <v>208</v>
      </c>
      <c r="R13">
        <v>212</v>
      </c>
      <c r="S13">
        <v>160</v>
      </c>
      <c r="T13">
        <v>48</v>
      </c>
    </row>
    <row r="14" spans="1:52" x14ac:dyDescent="0.25">
      <c r="A14" s="149">
        <v>33</v>
      </c>
      <c r="B14" s="148" t="s">
        <v>132</v>
      </c>
      <c r="O14">
        <v>48</v>
      </c>
      <c r="P14">
        <v>97</v>
      </c>
      <c r="S14">
        <v>14</v>
      </c>
      <c r="T14">
        <v>33</v>
      </c>
      <c r="V14">
        <v>6</v>
      </c>
      <c r="W14">
        <v>8</v>
      </c>
      <c r="AP14">
        <v>3</v>
      </c>
      <c r="AR14">
        <v>26</v>
      </c>
      <c r="AS14" s="156">
        <v>10</v>
      </c>
      <c r="AT14" s="76">
        <v>10</v>
      </c>
    </row>
    <row r="15" spans="1:52" x14ac:dyDescent="0.25">
      <c r="A15" s="149">
        <v>15</v>
      </c>
      <c r="B15" s="148" t="s">
        <v>122</v>
      </c>
    </row>
    <row r="16" spans="1:52" x14ac:dyDescent="0.25">
      <c r="A16" s="149">
        <v>26</v>
      </c>
      <c r="B16" s="148" t="s">
        <v>133</v>
      </c>
      <c r="K16">
        <v>79</v>
      </c>
      <c r="L16">
        <v>221</v>
      </c>
      <c r="O16">
        <v>157</v>
      </c>
      <c r="P16">
        <v>69</v>
      </c>
      <c r="R16">
        <v>10</v>
      </c>
    </row>
    <row r="17" spans="1:46" x14ac:dyDescent="0.25">
      <c r="A17" s="149">
        <v>84</v>
      </c>
      <c r="B17" s="148" t="s">
        <v>254</v>
      </c>
      <c r="O17">
        <v>101</v>
      </c>
      <c r="P17">
        <v>174</v>
      </c>
      <c r="Q17">
        <v>8</v>
      </c>
      <c r="R17">
        <v>134</v>
      </c>
      <c r="S17">
        <v>3</v>
      </c>
      <c r="T17">
        <v>182</v>
      </c>
      <c r="U17">
        <v>78</v>
      </c>
      <c r="V17">
        <v>98</v>
      </c>
      <c r="W17">
        <v>65</v>
      </c>
      <c r="X17">
        <v>137</v>
      </c>
      <c r="Y17">
        <v>458</v>
      </c>
      <c r="Z17">
        <v>358</v>
      </c>
      <c r="AA17">
        <v>286</v>
      </c>
      <c r="AB17">
        <v>477</v>
      </c>
      <c r="AE17">
        <v>218</v>
      </c>
      <c r="AF17">
        <v>766</v>
      </c>
      <c r="AG17">
        <v>313</v>
      </c>
      <c r="AH17">
        <v>662</v>
      </c>
      <c r="AI17">
        <v>387</v>
      </c>
      <c r="AJ17">
        <v>464</v>
      </c>
      <c r="AK17">
        <v>273</v>
      </c>
      <c r="AL17">
        <v>284</v>
      </c>
      <c r="AM17">
        <v>184</v>
      </c>
      <c r="AN17">
        <v>443</v>
      </c>
      <c r="AO17">
        <v>181</v>
      </c>
      <c r="AP17">
        <v>177</v>
      </c>
      <c r="AQ17">
        <v>218</v>
      </c>
      <c r="AR17" s="83">
        <v>576</v>
      </c>
      <c r="AS17">
        <v>394</v>
      </c>
      <c r="AT17">
        <v>347</v>
      </c>
    </row>
    <row r="18" spans="1:46" x14ac:dyDescent="0.25">
      <c r="A18" s="149">
        <v>22</v>
      </c>
      <c r="B18" s="148" t="s">
        <v>134</v>
      </c>
      <c r="AR18" s="59"/>
      <c r="AT18">
        <v>10</v>
      </c>
    </row>
    <row r="19" spans="1:46" x14ac:dyDescent="0.25">
      <c r="A19" s="149">
        <v>30</v>
      </c>
      <c r="B19" s="148" t="s">
        <v>135</v>
      </c>
      <c r="L19">
        <v>442</v>
      </c>
      <c r="AR19" s="59"/>
    </row>
    <row r="20" spans="1:46" x14ac:dyDescent="0.25">
      <c r="A20" s="149">
        <v>29</v>
      </c>
      <c r="B20" s="148" t="s">
        <v>136</v>
      </c>
      <c r="AR20" s="59">
        <v>23</v>
      </c>
      <c r="AS20" s="156">
        <v>9</v>
      </c>
      <c r="AT20">
        <v>8</v>
      </c>
    </row>
    <row r="21" spans="1:46" x14ac:dyDescent="0.25">
      <c r="A21" s="149">
        <v>28</v>
      </c>
      <c r="B21" s="148" t="s">
        <v>137</v>
      </c>
      <c r="J21">
        <v>153</v>
      </c>
      <c r="N21">
        <v>498</v>
      </c>
      <c r="AL21">
        <v>104</v>
      </c>
      <c r="AM21">
        <v>64</v>
      </c>
      <c r="AN21">
        <v>51</v>
      </c>
      <c r="AO21">
        <v>89</v>
      </c>
      <c r="AP21">
        <v>72</v>
      </c>
      <c r="AQ21">
        <v>18</v>
      </c>
      <c r="AR21">
        <v>127</v>
      </c>
      <c r="AS21">
        <v>202</v>
      </c>
      <c r="AT21">
        <v>163</v>
      </c>
    </row>
    <row r="22" spans="1:46" x14ac:dyDescent="0.25">
      <c r="A22" s="149">
        <v>71</v>
      </c>
      <c r="B22" s="148" t="s">
        <v>140</v>
      </c>
      <c r="J22">
        <v>50</v>
      </c>
      <c r="L22">
        <v>26</v>
      </c>
      <c r="M22">
        <v>397</v>
      </c>
      <c r="N22">
        <v>860</v>
      </c>
      <c r="O22">
        <v>652</v>
      </c>
      <c r="P22">
        <v>617</v>
      </c>
      <c r="Q22">
        <v>1148</v>
      </c>
      <c r="R22">
        <v>574</v>
      </c>
      <c r="S22">
        <v>448</v>
      </c>
      <c r="T22">
        <v>1076</v>
      </c>
      <c r="U22">
        <v>666</v>
      </c>
      <c r="V22">
        <v>1046</v>
      </c>
      <c r="W22">
        <v>402</v>
      </c>
      <c r="X22">
        <v>326</v>
      </c>
      <c r="Y22">
        <v>553</v>
      </c>
      <c r="Z22">
        <v>435</v>
      </c>
      <c r="AA22">
        <v>510</v>
      </c>
      <c r="AB22">
        <v>542</v>
      </c>
      <c r="AC22">
        <v>520</v>
      </c>
      <c r="AD22">
        <v>614</v>
      </c>
      <c r="AE22">
        <v>662</v>
      </c>
      <c r="AF22">
        <v>438</v>
      </c>
      <c r="AG22">
        <v>303</v>
      </c>
      <c r="AH22">
        <v>315</v>
      </c>
      <c r="AI22">
        <v>542</v>
      </c>
      <c r="AJ22">
        <v>387</v>
      </c>
      <c r="AK22">
        <v>658</v>
      </c>
      <c r="AL22">
        <v>812</v>
      </c>
      <c r="AM22">
        <v>516</v>
      </c>
      <c r="AN22">
        <v>222</v>
      </c>
      <c r="AO22">
        <v>674</v>
      </c>
      <c r="AP22">
        <v>462</v>
      </c>
      <c r="AQ22">
        <v>893</v>
      </c>
      <c r="AR22" s="83">
        <v>439</v>
      </c>
      <c r="AS22">
        <v>352</v>
      </c>
      <c r="AT22">
        <v>265</v>
      </c>
    </row>
    <row r="23" spans="1:46" x14ac:dyDescent="0.25">
      <c r="A23" s="149">
        <v>61</v>
      </c>
      <c r="B23" s="148" t="s">
        <v>139</v>
      </c>
      <c r="F23">
        <v>6</v>
      </c>
      <c r="H23">
        <v>204</v>
      </c>
      <c r="J23">
        <v>178</v>
      </c>
      <c r="K23">
        <v>481</v>
      </c>
      <c r="L23">
        <v>316</v>
      </c>
      <c r="M23">
        <v>400</v>
      </c>
      <c r="N23">
        <v>225</v>
      </c>
      <c r="O23">
        <v>961</v>
      </c>
      <c r="P23">
        <v>2321</v>
      </c>
      <c r="Q23">
        <v>2348</v>
      </c>
      <c r="R23">
        <v>1411</v>
      </c>
      <c r="S23">
        <v>2005</v>
      </c>
      <c r="T23">
        <v>2340</v>
      </c>
      <c r="U23">
        <v>3088</v>
      </c>
      <c r="V23">
        <v>2732</v>
      </c>
      <c r="W23">
        <v>2306</v>
      </c>
      <c r="X23">
        <v>418</v>
      </c>
      <c r="Y23">
        <v>3487</v>
      </c>
      <c r="Z23">
        <v>4624</v>
      </c>
      <c r="AA23">
        <v>1015</v>
      </c>
      <c r="AB23">
        <v>2343</v>
      </c>
      <c r="AC23">
        <v>2801</v>
      </c>
      <c r="AD23">
        <v>7080</v>
      </c>
      <c r="AE23">
        <v>2682</v>
      </c>
      <c r="AF23">
        <v>6065</v>
      </c>
      <c r="AG23">
        <v>1072</v>
      </c>
      <c r="AH23">
        <v>6194</v>
      </c>
      <c r="AI23">
        <v>4588</v>
      </c>
      <c r="AJ23">
        <v>5720</v>
      </c>
      <c r="AK23">
        <v>7085</v>
      </c>
      <c r="AL23">
        <v>10210</v>
      </c>
      <c r="AM23">
        <v>9319</v>
      </c>
      <c r="AN23">
        <v>5022</v>
      </c>
      <c r="AO23">
        <v>5049</v>
      </c>
      <c r="AP23">
        <v>9338</v>
      </c>
      <c r="AQ23">
        <v>3762</v>
      </c>
      <c r="AR23">
        <v>3733</v>
      </c>
      <c r="AS23">
        <v>5712</v>
      </c>
      <c r="AT23" s="59">
        <v>22570</v>
      </c>
    </row>
    <row r="24" spans="1:46" x14ac:dyDescent="0.25">
      <c r="A24" s="149">
        <v>37</v>
      </c>
      <c r="B24" s="148" t="s">
        <v>141</v>
      </c>
      <c r="J24">
        <v>570</v>
      </c>
      <c r="K24">
        <v>516</v>
      </c>
      <c r="L24">
        <v>440</v>
      </c>
      <c r="M24">
        <v>291</v>
      </c>
      <c r="O24">
        <v>225</v>
      </c>
    </row>
    <row r="25" spans="1:46" x14ac:dyDescent="0.25">
      <c r="A25" s="149">
        <v>54</v>
      </c>
      <c r="B25" s="148" t="s">
        <v>142</v>
      </c>
      <c r="J25">
        <v>134</v>
      </c>
      <c r="K25">
        <v>159</v>
      </c>
      <c r="L25">
        <v>59</v>
      </c>
      <c r="M25">
        <v>160</v>
      </c>
      <c r="N25">
        <v>61</v>
      </c>
      <c r="O25">
        <v>74</v>
      </c>
      <c r="P25">
        <v>92</v>
      </c>
      <c r="Q25">
        <v>94</v>
      </c>
      <c r="R25">
        <v>90</v>
      </c>
      <c r="S25">
        <v>80</v>
      </c>
      <c r="T25">
        <v>93</v>
      </c>
      <c r="U25">
        <v>105</v>
      </c>
      <c r="V25">
        <v>98</v>
      </c>
      <c r="W25">
        <v>69</v>
      </c>
      <c r="X25">
        <v>83</v>
      </c>
      <c r="Y25">
        <v>74</v>
      </c>
      <c r="Z25">
        <v>74</v>
      </c>
      <c r="AA25">
        <v>95</v>
      </c>
      <c r="AB25">
        <v>65</v>
      </c>
      <c r="AC25">
        <v>77</v>
      </c>
      <c r="AD25">
        <v>95</v>
      </c>
      <c r="AE25">
        <v>25</v>
      </c>
      <c r="AF25">
        <v>98</v>
      </c>
      <c r="AG25">
        <v>45</v>
      </c>
      <c r="AH25">
        <v>79</v>
      </c>
      <c r="AI25">
        <v>77</v>
      </c>
      <c r="AJ25">
        <v>66</v>
      </c>
      <c r="AK25">
        <v>83</v>
      </c>
      <c r="AL25">
        <v>68</v>
      </c>
      <c r="AM25">
        <v>34</v>
      </c>
      <c r="AN25">
        <v>69</v>
      </c>
      <c r="AO25">
        <v>58</v>
      </c>
      <c r="AP25">
        <v>58</v>
      </c>
      <c r="AQ25">
        <v>72</v>
      </c>
      <c r="AR25" s="83">
        <v>64</v>
      </c>
      <c r="AS25">
        <v>66</v>
      </c>
      <c r="AT25">
        <v>64</v>
      </c>
    </row>
    <row r="26" spans="1:46" x14ac:dyDescent="0.25">
      <c r="A26" s="149">
        <v>52</v>
      </c>
      <c r="B26" s="148" t="s">
        <v>144</v>
      </c>
      <c r="J26">
        <v>84</v>
      </c>
      <c r="L26">
        <v>176</v>
      </c>
      <c r="M26">
        <v>53</v>
      </c>
      <c r="N26">
        <v>78</v>
      </c>
      <c r="P26">
        <v>101</v>
      </c>
      <c r="Q26">
        <v>94</v>
      </c>
      <c r="R26">
        <v>78</v>
      </c>
      <c r="S26">
        <v>163</v>
      </c>
      <c r="T26">
        <v>267</v>
      </c>
      <c r="AP26">
        <v>7</v>
      </c>
    </row>
    <row r="27" spans="1:46" x14ac:dyDescent="0.25">
      <c r="A27" s="149">
        <v>12</v>
      </c>
      <c r="B27" s="148" t="s">
        <v>145</v>
      </c>
      <c r="K27">
        <v>45</v>
      </c>
      <c r="L27">
        <v>35</v>
      </c>
      <c r="M27">
        <v>25</v>
      </c>
      <c r="N27">
        <v>66</v>
      </c>
      <c r="O27">
        <v>142</v>
      </c>
      <c r="P27">
        <v>98</v>
      </c>
      <c r="Q27">
        <v>143</v>
      </c>
      <c r="R27">
        <v>198</v>
      </c>
      <c r="S27">
        <v>116</v>
      </c>
      <c r="T27">
        <v>69</v>
      </c>
      <c r="U27">
        <v>40</v>
      </c>
      <c r="V27">
        <v>78</v>
      </c>
      <c r="W27">
        <v>67</v>
      </c>
      <c r="X27">
        <v>82</v>
      </c>
      <c r="Y27">
        <v>77</v>
      </c>
      <c r="Z27">
        <v>61</v>
      </c>
      <c r="AA27">
        <v>61</v>
      </c>
      <c r="AB27">
        <v>20</v>
      </c>
      <c r="AC27">
        <v>29</v>
      </c>
    </row>
    <row r="28" spans="1:46" x14ac:dyDescent="0.25">
      <c r="A28" s="149">
        <v>72</v>
      </c>
      <c r="B28" s="148" t="s">
        <v>146</v>
      </c>
    </row>
    <row r="29" spans="1:46" x14ac:dyDescent="0.25">
      <c r="A29" s="149">
        <v>46</v>
      </c>
      <c r="B29" s="148" t="s">
        <v>147</v>
      </c>
      <c r="J29">
        <v>295</v>
      </c>
      <c r="K29">
        <v>335</v>
      </c>
      <c r="L29">
        <v>259</v>
      </c>
      <c r="M29">
        <v>183</v>
      </c>
      <c r="N29">
        <v>277</v>
      </c>
      <c r="O29">
        <v>72</v>
      </c>
      <c r="P29">
        <v>203</v>
      </c>
      <c r="Q29">
        <v>92</v>
      </c>
    </row>
    <row r="30" spans="1:46" x14ac:dyDescent="0.25">
      <c r="A30" s="149">
        <v>31</v>
      </c>
      <c r="B30" s="148" t="s">
        <v>148</v>
      </c>
    </row>
    <row r="31" spans="1:46" x14ac:dyDescent="0.25">
      <c r="A31" s="149">
        <v>21</v>
      </c>
      <c r="B31" s="148" t="s">
        <v>149</v>
      </c>
      <c r="AQ31">
        <v>9</v>
      </c>
      <c r="AS31" s="156">
        <v>5</v>
      </c>
      <c r="AT31">
        <v>10</v>
      </c>
    </row>
    <row r="32" spans="1:46" x14ac:dyDescent="0.25">
      <c r="A32" s="149">
        <v>38</v>
      </c>
      <c r="B32" s="148" t="s">
        <v>150</v>
      </c>
      <c r="J32">
        <v>199</v>
      </c>
      <c r="K32">
        <v>242</v>
      </c>
      <c r="L32">
        <v>257</v>
      </c>
      <c r="M32">
        <v>241</v>
      </c>
      <c r="R32">
        <v>4</v>
      </c>
    </row>
    <row r="33" spans="1:46" x14ac:dyDescent="0.25">
      <c r="A33" s="149">
        <v>2</v>
      </c>
      <c r="B33" s="148" t="s">
        <v>151</v>
      </c>
    </row>
    <row r="34" spans="1:46" x14ac:dyDescent="0.25">
      <c r="A34" s="149">
        <v>8</v>
      </c>
      <c r="B34" s="148" t="s">
        <v>152</v>
      </c>
    </row>
    <row r="35" spans="1:46" x14ac:dyDescent="0.25">
      <c r="A35" s="149">
        <v>60</v>
      </c>
      <c r="B35" s="148" t="s">
        <v>153</v>
      </c>
      <c r="H35">
        <v>1566</v>
      </c>
      <c r="I35">
        <v>641</v>
      </c>
      <c r="J35">
        <v>733</v>
      </c>
      <c r="K35">
        <v>918</v>
      </c>
      <c r="L35">
        <v>467</v>
      </c>
      <c r="M35">
        <v>1400</v>
      </c>
      <c r="N35">
        <v>1479</v>
      </c>
      <c r="O35">
        <v>1441</v>
      </c>
      <c r="P35">
        <v>1974</v>
      </c>
      <c r="Q35">
        <v>1489</v>
      </c>
      <c r="R35">
        <v>1315</v>
      </c>
      <c r="S35">
        <v>219</v>
      </c>
      <c r="T35">
        <v>1249</v>
      </c>
      <c r="U35">
        <v>1441</v>
      </c>
      <c r="V35">
        <v>1003</v>
      </c>
      <c r="W35">
        <v>1121</v>
      </c>
      <c r="X35">
        <v>1387</v>
      </c>
      <c r="Y35">
        <v>1334</v>
      </c>
      <c r="Z35">
        <v>1399</v>
      </c>
      <c r="AA35">
        <v>932</v>
      </c>
      <c r="AB35">
        <v>1144</v>
      </c>
      <c r="AC35">
        <v>197</v>
      </c>
      <c r="AD35">
        <v>216</v>
      </c>
      <c r="AE35">
        <v>182</v>
      </c>
      <c r="AF35">
        <v>202</v>
      </c>
      <c r="AG35">
        <v>139</v>
      </c>
      <c r="AH35">
        <v>134</v>
      </c>
      <c r="AI35">
        <v>232</v>
      </c>
      <c r="AJ35">
        <v>224</v>
      </c>
      <c r="AK35">
        <v>207</v>
      </c>
      <c r="AL35">
        <v>229</v>
      </c>
      <c r="AM35">
        <v>358</v>
      </c>
      <c r="AN35">
        <v>371</v>
      </c>
      <c r="AO35">
        <v>341</v>
      </c>
      <c r="AP35">
        <v>897</v>
      </c>
      <c r="AQ35">
        <v>686</v>
      </c>
      <c r="AR35">
        <v>367</v>
      </c>
      <c r="AS35">
        <v>406</v>
      </c>
      <c r="AT35">
        <v>442</v>
      </c>
    </row>
    <row r="36" spans="1:46" x14ac:dyDescent="0.25">
      <c r="A36" s="149">
        <v>73</v>
      </c>
      <c r="B36" s="148" t="s">
        <v>154</v>
      </c>
    </row>
    <row r="37" spans="1:46" x14ac:dyDescent="0.25">
      <c r="A37" s="149">
        <v>5</v>
      </c>
      <c r="B37" s="148" t="s">
        <v>155</v>
      </c>
    </row>
    <row r="38" spans="1:46" x14ac:dyDescent="0.25">
      <c r="A38" s="149">
        <v>27</v>
      </c>
      <c r="B38" s="148" t="s">
        <v>156</v>
      </c>
      <c r="AS38" s="156">
        <v>29</v>
      </c>
      <c r="AT38" s="76">
        <v>29</v>
      </c>
    </row>
    <row r="39" spans="1:46" x14ac:dyDescent="0.25">
      <c r="A39" s="149">
        <v>3</v>
      </c>
      <c r="B39" s="148" t="s">
        <v>157</v>
      </c>
    </row>
    <row r="40" spans="1:46" x14ac:dyDescent="0.25">
      <c r="A40" s="149">
        <v>11</v>
      </c>
      <c r="B40" s="148" t="s">
        <v>124</v>
      </c>
      <c r="AS40" s="156">
        <v>27</v>
      </c>
    </row>
    <row r="41" spans="1:46" x14ac:dyDescent="0.25">
      <c r="A41" s="149">
        <v>74</v>
      </c>
      <c r="B41" s="148" t="s">
        <v>158</v>
      </c>
    </row>
    <row r="42" spans="1:46" x14ac:dyDescent="0.25">
      <c r="A42" s="149">
        <v>75</v>
      </c>
      <c r="B42" s="148" t="s">
        <v>159</v>
      </c>
    </row>
    <row r="43" spans="1:46" x14ac:dyDescent="0.25">
      <c r="A43" s="149">
        <v>64</v>
      </c>
      <c r="B43" s="148" t="s">
        <v>160</v>
      </c>
    </row>
    <row r="44" spans="1:46" x14ac:dyDescent="0.25">
      <c r="A44" s="149">
        <v>49</v>
      </c>
      <c r="B44" s="148" t="s">
        <v>161</v>
      </c>
    </row>
    <row r="45" spans="1:46" x14ac:dyDescent="0.25">
      <c r="A45" s="149">
        <v>41</v>
      </c>
      <c r="B45" s="148" t="s">
        <v>162</v>
      </c>
    </row>
    <row r="46" spans="1:46" x14ac:dyDescent="0.25">
      <c r="A46" s="149">
        <v>36</v>
      </c>
      <c r="B46" s="148" t="s">
        <v>165</v>
      </c>
    </row>
    <row r="47" spans="1:46" x14ac:dyDescent="0.25">
      <c r="A47" s="149">
        <v>58</v>
      </c>
      <c r="B47" s="148" t="s">
        <v>166</v>
      </c>
      <c r="V47">
        <v>26</v>
      </c>
      <c r="W47">
        <v>22</v>
      </c>
      <c r="X47">
        <v>16</v>
      </c>
      <c r="Y47">
        <v>22</v>
      </c>
      <c r="Z47">
        <v>62</v>
      </c>
      <c r="AA47">
        <v>53</v>
      </c>
      <c r="AB47">
        <v>43</v>
      </c>
      <c r="AC47">
        <v>99</v>
      </c>
      <c r="AD47">
        <v>52</v>
      </c>
      <c r="AE47">
        <v>59</v>
      </c>
      <c r="AF47">
        <v>54</v>
      </c>
      <c r="AG47">
        <v>51</v>
      </c>
      <c r="AQ47">
        <v>44</v>
      </c>
      <c r="AR47" s="59">
        <v>22</v>
      </c>
      <c r="AS47">
        <v>2</v>
      </c>
      <c r="AT47" s="76">
        <v>2</v>
      </c>
    </row>
    <row r="48" spans="1:46" x14ac:dyDescent="0.25">
      <c r="A48" s="149">
        <v>6</v>
      </c>
      <c r="B48" s="148" t="s">
        <v>167</v>
      </c>
    </row>
    <row r="49" spans="1:46" x14ac:dyDescent="0.25">
      <c r="A49" s="149">
        <v>83</v>
      </c>
      <c r="B49" s="148" t="s">
        <v>253</v>
      </c>
    </row>
    <row r="50" spans="1:46" x14ac:dyDescent="0.25">
      <c r="A50" s="149">
        <v>9</v>
      </c>
      <c r="B50" s="148" t="s">
        <v>169</v>
      </c>
    </row>
    <row r="51" spans="1:46" x14ac:dyDescent="0.25">
      <c r="A51" s="149">
        <v>57</v>
      </c>
      <c r="B51" s="148" t="s">
        <v>170</v>
      </c>
      <c r="AQ51">
        <v>4</v>
      </c>
    </row>
    <row r="52" spans="1:46" x14ac:dyDescent="0.25">
      <c r="A52" s="149">
        <v>76</v>
      </c>
      <c r="B52" s="148" t="s">
        <v>171</v>
      </c>
    </row>
    <row r="53" spans="1:46" x14ac:dyDescent="0.25">
      <c r="A53" s="149">
        <v>77</v>
      </c>
      <c r="B53" s="148" t="s">
        <v>172</v>
      </c>
    </row>
    <row r="54" spans="1:46" x14ac:dyDescent="0.25">
      <c r="A54" s="149">
        <v>19</v>
      </c>
      <c r="B54" s="148" t="s">
        <v>173</v>
      </c>
      <c r="AN54">
        <v>3</v>
      </c>
      <c r="AP54">
        <v>3</v>
      </c>
      <c r="AQ54">
        <v>12</v>
      </c>
      <c r="AR54">
        <v>54</v>
      </c>
      <c r="AS54" s="156">
        <v>28</v>
      </c>
      <c r="AT54" s="76">
        <v>28</v>
      </c>
    </row>
    <row r="55" spans="1:46" x14ac:dyDescent="0.25">
      <c r="A55" s="149">
        <v>4</v>
      </c>
      <c r="B55" s="148" t="s">
        <v>174</v>
      </c>
    </row>
    <row r="56" spans="1:46" x14ac:dyDescent="0.25">
      <c r="A56" s="149">
        <v>56</v>
      </c>
      <c r="B56" s="148" t="s">
        <v>175</v>
      </c>
      <c r="J56">
        <v>304</v>
      </c>
      <c r="K56">
        <v>378</v>
      </c>
      <c r="L56">
        <v>455</v>
      </c>
      <c r="M56">
        <v>527</v>
      </c>
      <c r="N56">
        <v>402</v>
      </c>
      <c r="O56">
        <v>341</v>
      </c>
      <c r="P56">
        <v>684</v>
      </c>
      <c r="Q56">
        <v>174</v>
      </c>
      <c r="R56">
        <v>143</v>
      </c>
      <c r="S56">
        <v>150</v>
      </c>
      <c r="T56">
        <v>206</v>
      </c>
      <c r="U56">
        <v>135</v>
      </c>
      <c r="V56">
        <v>177</v>
      </c>
      <c r="W56">
        <v>151</v>
      </c>
      <c r="X56">
        <v>126</v>
      </c>
      <c r="Y56">
        <v>121</v>
      </c>
      <c r="Z56">
        <v>137</v>
      </c>
      <c r="AA56">
        <v>140</v>
      </c>
      <c r="AB56">
        <v>105</v>
      </c>
      <c r="AC56">
        <v>120</v>
      </c>
      <c r="AD56">
        <v>124</v>
      </c>
      <c r="AE56">
        <v>116</v>
      </c>
      <c r="AF56">
        <v>123</v>
      </c>
      <c r="AG56">
        <v>156</v>
      </c>
      <c r="AH56">
        <v>152</v>
      </c>
      <c r="AI56">
        <v>149</v>
      </c>
      <c r="AJ56">
        <v>140</v>
      </c>
      <c r="AK56">
        <v>167</v>
      </c>
      <c r="AL56">
        <v>127</v>
      </c>
      <c r="AM56">
        <v>127</v>
      </c>
      <c r="AN56">
        <v>119</v>
      </c>
      <c r="AO56">
        <v>151</v>
      </c>
      <c r="AP56">
        <v>148</v>
      </c>
      <c r="AQ56">
        <v>171</v>
      </c>
      <c r="AR56">
        <v>179</v>
      </c>
      <c r="AS56">
        <v>169</v>
      </c>
      <c r="AT56">
        <v>170</v>
      </c>
    </row>
    <row r="57" spans="1:46" x14ac:dyDescent="0.25">
      <c r="A57" s="149">
        <v>78</v>
      </c>
      <c r="B57" s="148" t="s">
        <v>177</v>
      </c>
    </row>
    <row r="58" spans="1:46" x14ac:dyDescent="0.25">
      <c r="A58" s="149">
        <v>34</v>
      </c>
      <c r="B58" s="148" t="s">
        <v>179</v>
      </c>
      <c r="AQ58">
        <v>38</v>
      </c>
      <c r="AR58" s="59">
        <v>17</v>
      </c>
      <c r="AS58">
        <v>16</v>
      </c>
      <c r="AT58">
        <v>24</v>
      </c>
    </row>
    <row r="59" spans="1:46" x14ac:dyDescent="0.25">
      <c r="A59" s="149">
        <v>25</v>
      </c>
      <c r="B59" s="148" t="s">
        <v>180</v>
      </c>
      <c r="K59">
        <v>425</v>
      </c>
      <c r="O59">
        <v>584</v>
      </c>
      <c r="P59">
        <v>176</v>
      </c>
      <c r="Q59">
        <v>58</v>
      </c>
      <c r="R59">
        <v>197</v>
      </c>
      <c r="S59">
        <v>159</v>
      </c>
      <c r="T59">
        <v>438</v>
      </c>
      <c r="U59">
        <v>477</v>
      </c>
      <c r="V59">
        <v>285</v>
      </c>
      <c r="W59">
        <v>150</v>
      </c>
      <c r="X59">
        <v>60</v>
      </c>
      <c r="AL59">
        <v>2</v>
      </c>
      <c r="AM59">
        <v>3</v>
      </c>
      <c r="AN59">
        <v>3</v>
      </c>
      <c r="AO59">
        <v>3</v>
      </c>
      <c r="AP59">
        <v>4</v>
      </c>
    </row>
    <row r="60" spans="1:46" x14ac:dyDescent="0.25">
      <c r="A60" s="149">
        <v>39</v>
      </c>
      <c r="B60" s="148" t="s">
        <v>181</v>
      </c>
      <c r="M60">
        <v>112</v>
      </c>
      <c r="O60">
        <v>91</v>
      </c>
      <c r="R60">
        <v>93</v>
      </c>
      <c r="AR60" s="59"/>
    </row>
    <row r="61" spans="1:46" x14ac:dyDescent="0.25">
      <c r="A61" s="149">
        <v>47</v>
      </c>
      <c r="B61" s="148" t="s">
        <v>203</v>
      </c>
      <c r="J61">
        <v>92</v>
      </c>
      <c r="K61">
        <v>166</v>
      </c>
      <c r="L61">
        <v>197</v>
      </c>
      <c r="M61">
        <v>182</v>
      </c>
      <c r="N61">
        <v>234</v>
      </c>
      <c r="O61">
        <v>164</v>
      </c>
      <c r="P61">
        <v>37</v>
      </c>
      <c r="Q61">
        <v>106</v>
      </c>
      <c r="S61">
        <v>128</v>
      </c>
      <c r="T61">
        <v>105</v>
      </c>
      <c r="U61">
        <v>135</v>
      </c>
      <c r="V61">
        <v>63</v>
      </c>
      <c r="W61">
        <v>71</v>
      </c>
      <c r="X61">
        <v>70</v>
      </c>
      <c r="Y61">
        <v>141</v>
      </c>
      <c r="Z61">
        <v>71</v>
      </c>
      <c r="AA61">
        <v>62</v>
      </c>
      <c r="AB61">
        <v>68</v>
      </c>
      <c r="AC61">
        <v>72</v>
      </c>
      <c r="AD61">
        <v>64</v>
      </c>
      <c r="AE61">
        <v>105</v>
      </c>
      <c r="AF61">
        <v>70</v>
      </c>
      <c r="AG61">
        <v>80</v>
      </c>
      <c r="AH61">
        <v>65</v>
      </c>
      <c r="AI61">
        <v>62</v>
      </c>
      <c r="AJ61">
        <v>50</v>
      </c>
      <c r="AK61">
        <v>46</v>
      </c>
      <c r="AL61">
        <v>54</v>
      </c>
      <c r="AM61">
        <v>50</v>
      </c>
      <c r="AN61">
        <v>12</v>
      </c>
      <c r="AO61">
        <v>48</v>
      </c>
      <c r="AP61">
        <v>49</v>
      </c>
      <c r="AQ61">
        <v>50</v>
      </c>
      <c r="AR61" s="83">
        <v>47</v>
      </c>
      <c r="AS61">
        <v>51</v>
      </c>
      <c r="AT61">
        <v>54</v>
      </c>
    </row>
    <row r="62" spans="1:46" x14ac:dyDescent="0.25">
      <c r="A62" s="149">
        <v>17</v>
      </c>
      <c r="B62" s="148" t="s">
        <v>202</v>
      </c>
      <c r="R62">
        <v>42</v>
      </c>
      <c r="AR62" s="59">
        <v>9</v>
      </c>
      <c r="AS62" s="156">
        <v>7</v>
      </c>
      <c r="AT62">
        <v>3</v>
      </c>
    </row>
    <row r="63" spans="1:46" x14ac:dyDescent="0.25">
      <c r="A63" s="149">
        <v>66</v>
      </c>
      <c r="B63" s="148" t="s">
        <v>182</v>
      </c>
    </row>
    <row r="64" spans="1:46" x14ac:dyDescent="0.25">
      <c r="A64" s="149">
        <v>35</v>
      </c>
      <c r="B64" s="148" t="s">
        <v>183</v>
      </c>
    </row>
    <row r="65" spans="1:46" x14ac:dyDescent="0.25">
      <c r="A65" s="149">
        <v>67</v>
      </c>
      <c r="B65" s="148" t="s">
        <v>184</v>
      </c>
      <c r="G65">
        <v>1</v>
      </c>
      <c r="J65">
        <v>7</v>
      </c>
      <c r="L65">
        <v>1</v>
      </c>
      <c r="N65">
        <v>3</v>
      </c>
      <c r="P65">
        <v>1</v>
      </c>
      <c r="Q65">
        <v>3</v>
      </c>
      <c r="R65">
        <v>1</v>
      </c>
      <c r="T65">
        <v>1</v>
      </c>
      <c r="AI65">
        <v>5</v>
      </c>
    </row>
    <row r="66" spans="1:46" x14ac:dyDescent="0.25">
      <c r="A66" s="149">
        <v>45</v>
      </c>
      <c r="B66" s="148" t="s">
        <v>163</v>
      </c>
      <c r="J66">
        <v>429</v>
      </c>
      <c r="K66">
        <v>398</v>
      </c>
      <c r="L66">
        <v>294</v>
      </c>
      <c r="M66">
        <v>64</v>
      </c>
      <c r="N66">
        <v>26</v>
      </c>
      <c r="O66">
        <v>168</v>
      </c>
      <c r="P66">
        <v>211</v>
      </c>
      <c r="Q66">
        <v>299</v>
      </c>
      <c r="R66">
        <v>321</v>
      </c>
      <c r="S66">
        <v>317</v>
      </c>
      <c r="T66">
        <v>398</v>
      </c>
      <c r="U66">
        <v>335</v>
      </c>
      <c r="V66">
        <v>389</v>
      </c>
      <c r="W66">
        <v>389</v>
      </c>
      <c r="X66">
        <v>261</v>
      </c>
      <c r="Y66">
        <v>288</v>
      </c>
      <c r="Z66">
        <v>359</v>
      </c>
      <c r="AA66">
        <v>346</v>
      </c>
      <c r="AB66">
        <v>205</v>
      </c>
      <c r="AC66">
        <v>240</v>
      </c>
      <c r="AD66">
        <v>244</v>
      </c>
      <c r="AE66">
        <v>242</v>
      </c>
      <c r="AF66">
        <v>239</v>
      </c>
      <c r="AG66">
        <v>242</v>
      </c>
      <c r="AH66">
        <v>329</v>
      </c>
      <c r="AI66">
        <v>323</v>
      </c>
      <c r="AJ66">
        <v>255</v>
      </c>
      <c r="AK66">
        <v>264</v>
      </c>
      <c r="AL66">
        <v>288</v>
      </c>
      <c r="AM66">
        <v>276</v>
      </c>
      <c r="AN66">
        <v>297</v>
      </c>
      <c r="AO66">
        <v>301</v>
      </c>
      <c r="AP66">
        <v>284</v>
      </c>
      <c r="AQ66">
        <v>272</v>
      </c>
      <c r="AR66">
        <v>331</v>
      </c>
      <c r="AS66">
        <v>256</v>
      </c>
      <c r="AT66">
        <v>272</v>
      </c>
    </row>
    <row r="67" spans="1:46" x14ac:dyDescent="0.25">
      <c r="A67" s="149">
        <v>44</v>
      </c>
      <c r="B67" s="148" t="s">
        <v>168</v>
      </c>
      <c r="J67">
        <v>225</v>
      </c>
      <c r="K67">
        <v>349</v>
      </c>
      <c r="L67">
        <v>333</v>
      </c>
      <c r="M67">
        <v>534</v>
      </c>
      <c r="N67">
        <v>338</v>
      </c>
      <c r="O67">
        <v>294</v>
      </c>
      <c r="P67">
        <v>274</v>
      </c>
      <c r="Q67">
        <v>196</v>
      </c>
      <c r="R67">
        <v>213</v>
      </c>
      <c r="S67">
        <v>204</v>
      </c>
      <c r="T67">
        <v>145</v>
      </c>
      <c r="U67">
        <v>131</v>
      </c>
      <c r="V67">
        <v>143</v>
      </c>
      <c r="W67">
        <v>137</v>
      </c>
      <c r="X67">
        <v>131</v>
      </c>
      <c r="Y67">
        <v>132</v>
      </c>
      <c r="Z67">
        <v>133</v>
      </c>
      <c r="AA67">
        <v>124</v>
      </c>
      <c r="AB67">
        <v>128</v>
      </c>
      <c r="AC67">
        <v>112</v>
      </c>
      <c r="AD67">
        <v>119</v>
      </c>
      <c r="AE67">
        <v>112</v>
      </c>
      <c r="AF67">
        <v>122</v>
      </c>
      <c r="AG67">
        <v>82</v>
      </c>
      <c r="AH67">
        <v>80</v>
      </c>
      <c r="AI67">
        <v>86</v>
      </c>
      <c r="AJ67">
        <v>66</v>
      </c>
      <c r="AK67">
        <v>119</v>
      </c>
      <c r="AL67">
        <v>104</v>
      </c>
      <c r="AM67">
        <v>112</v>
      </c>
      <c r="AN67">
        <v>95</v>
      </c>
      <c r="AO67">
        <v>109</v>
      </c>
      <c r="AP67">
        <v>113</v>
      </c>
      <c r="AQ67">
        <v>112</v>
      </c>
      <c r="AR67">
        <v>126</v>
      </c>
      <c r="AS67">
        <v>108</v>
      </c>
      <c r="AT67">
        <v>110</v>
      </c>
    </row>
    <row r="68" spans="1:46" x14ac:dyDescent="0.25">
      <c r="A68" s="149">
        <v>13</v>
      </c>
      <c r="B68" s="148" t="s">
        <v>185</v>
      </c>
      <c r="L68">
        <v>466</v>
      </c>
      <c r="AR68">
        <v>9</v>
      </c>
      <c r="AS68" s="156">
        <v>31</v>
      </c>
      <c r="AT68">
        <v>22</v>
      </c>
    </row>
    <row r="69" spans="1:46" x14ac:dyDescent="0.25">
      <c r="A69" s="149">
        <v>79</v>
      </c>
      <c r="B69" s="148" t="s">
        <v>186</v>
      </c>
    </row>
    <row r="70" spans="1:46" x14ac:dyDescent="0.25">
      <c r="A70" s="149">
        <v>80</v>
      </c>
      <c r="B70" s="148" t="s">
        <v>187</v>
      </c>
    </row>
    <row r="71" spans="1:46" x14ac:dyDescent="0.25">
      <c r="A71" s="149">
        <v>50</v>
      </c>
      <c r="B71" s="148" t="s">
        <v>189</v>
      </c>
    </row>
    <row r="72" spans="1:46" x14ac:dyDescent="0.25">
      <c r="A72" s="149">
        <v>55</v>
      </c>
      <c r="B72" s="148" t="s">
        <v>190</v>
      </c>
      <c r="J72">
        <v>134</v>
      </c>
      <c r="L72">
        <v>72</v>
      </c>
      <c r="M72">
        <v>161</v>
      </c>
      <c r="N72">
        <v>7</v>
      </c>
      <c r="O72">
        <v>78</v>
      </c>
      <c r="P72">
        <v>70</v>
      </c>
      <c r="Q72">
        <v>65</v>
      </c>
      <c r="R72">
        <v>12</v>
      </c>
      <c r="S72">
        <v>75</v>
      </c>
      <c r="T72">
        <v>92</v>
      </c>
      <c r="U72">
        <v>93</v>
      </c>
      <c r="V72">
        <v>73</v>
      </c>
      <c r="W72">
        <v>114</v>
      </c>
      <c r="X72">
        <v>98</v>
      </c>
      <c r="Y72">
        <v>106</v>
      </c>
      <c r="Z72">
        <v>63</v>
      </c>
      <c r="AA72">
        <v>72</v>
      </c>
      <c r="AB72">
        <v>84</v>
      </c>
      <c r="AC72">
        <v>110</v>
      </c>
      <c r="AD72">
        <v>104</v>
      </c>
      <c r="AE72">
        <v>37</v>
      </c>
      <c r="AF72">
        <v>124</v>
      </c>
      <c r="AG72">
        <v>113</v>
      </c>
      <c r="AH72">
        <v>50</v>
      </c>
      <c r="AI72">
        <v>14</v>
      </c>
      <c r="AJ72">
        <v>70</v>
      </c>
      <c r="AK72">
        <v>79</v>
      </c>
      <c r="AL72">
        <v>58</v>
      </c>
      <c r="AM72">
        <v>60</v>
      </c>
      <c r="AN72">
        <v>74</v>
      </c>
      <c r="AO72">
        <v>55</v>
      </c>
      <c r="AP72">
        <v>28</v>
      </c>
      <c r="AQ72">
        <v>56</v>
      </c>
      <c r="AR72" s="83">
        <v>58</v>
      </c>
      <c r="AS72">
        <v>63</v>
      </c>
      <c r="AT72">
        <v>58</v>
      </c>
    </row>
    <row r="73" spans="1:46" x14ac:dyDescent="0.25">
      <c r="A73" s="149">
        <v>68</v>
      </c>
      <c r="B73" s="148" t="s">
        <v>191</v>
      </c>
      <c r="U73">
        <v>146</v>
      </c>
      <c r="V73">
        <v>141</v>
      </c>
      <c r="W73">
        <v>88</v>
      </c>
      <c r="X73">
        <v>19</v>
      </c>
      <c r="Y73">
        <v>168</v>
      </c>
      <c r="Z73">
        <v>130</v>
      </c>
      <c r="AA73">
        <v>132</v>
      </c>
      <c r="AB73">
        <v>138</v>
      </c>
      <c r="AC73">
        <v>121</v>
      </c>
      <c r="AD73">
        <v>174</v>
      </c>
      <c r="AE73">
        <v>90</v>
      </c>
      <c r="AK73">
        <v>1</v>
      </c>
    </row>
    <row r="74" spans="1:46" x14ac:dyDescent="0.25">
      <c r="A74" s="149">
        <v>20</v>
      </c>
      <c r="B74" s="148" t="s">
        <v>192</v>
      </c>
    </row>
    <row r="75" spans="1:46" x14ac:dyDescent="0.25">
      <c r="A75" s="149">
        <v>18</v>
      </c>
      <c r="B75" s="148" t="s">
        <v>193</v>
      </c>
      <c r="J75">
        <v>65</v>
      </c>
      <c r="K75">
        <v>52</v>
      </c>
      <c r="L75">
        <v>65</v>
      </c>
      <c r="M75">
        <v>59</v>
      </c>
      <c r="N75">
        <v>64</v>
      </c>
      <c r="P75">
        <v>25</v>
      </c>
      <c r="Q75">
        <v>38</v>
      </c>
      <c r="U75">
        <v>37</v>
      </c>
    </row>
    <row r="76" spans="1:46" x14ac:dyDescent="0.25">
      <c r="A76" s="149">
        <v>1</v>
      </c>
      <c r="B76" s="148" t="s">
        <v>194</v>
      </c>
      <c r="AS76" s="156">
        <v>21</v>
      </c>
    </row>
    <row r="77" spans="1:46" x14ac:dyDescent="0.25">
      <c r="A77" s="149">
        <v>32</v>
      </c>
      <c r="B77" s="148" t="s">
        <v>195</v>
      </c>
    </row>
    <row r="78" spans="1:46" x14ac:dyDescent="0.25">
      <c r="A78" s="149">
        <v>51</v>
      </c>
      <c r="B78" s="148" t="s">
        <v>164</v>
      </c>
    </row>
    <row r="79" spans="1:46" x14ac:dyDescent="0.25">
      <c r="A79" s="149">
        <v>42</v>
      </c>
      <c r="B79" s="148" t="s">
        <v>176</v>
      </c>
      <c r="J79">
        <v>152</v>
      </c>
      <c r="K79">
        <v>243</v>
      </c>
      <c r="L79">
        <v>258</v>
      </c>
      <c r="M79">
        <v>578</v>
      </c>
    </row>
    <row r="80" spans="1:46" x14ac:dyDescent="0.25">
      <c r="A80" s="149">
        <v>81</v>
      </c>
      <c r="B80" s="148" t="s">
        <v>196</v>
      </c>
    </row>
    <row r="81" spans="1:46" x14ac:dyDescent="0.25">
      <c r="A81" s="149">
        <v>7</v>
      </c>
      <c r="B81" s="148" t="s">
        <v>197</v>
      </c>
    </row>
    <row r="82" spans="1:46" x14ac:dyDescent="0.25">
      <c r="A82" s="149">
        <v>62</v>
      </c>
      <c r="B82" s="148" t="s">
        <v>178</v>
      </c>
    </row>
    <row r="83" spans="1:46" x14ac:dyDescent="0.25">
      <c r="A83" s="149">
        <v>10</v>
      </c>
      <c r="B83" s="148" t="s">
        <v>199</v>
      </c>
      <c r="AT83">
        <v>28</v>
      </c>
    </row>
    <row r="84" spans="1:46" x14ac:dyDescent="0.25">
      <c r="A84" s="149">
        <v>16</v>
      </c>
      <c r="B84" s="148" t="s">
        <v>201</v>
      </c>
      <c r="AS84" s="156">
        <v>26</v>
      </c>
      <c r="AT84">
        <v>67</v>
      </c>
    </row>
    <row r="85" spans="1:46" x14ac:dyDescent="0.25">
      <c r="A85" s="149">
        <v>82</v>
      </c>
      <c r="B85" s="148" t="s">
        <v>200</v>
      </c>
    </row>
  </sheetData>
  <conditionalFormatting sqref="D2:AP46 AQ40 AQ35 AQ9:AR9 AR22 AR17 AR61 AR72 AR25">
    <cfRule type="cellIs" dxfId="4" priority="11" operator="equal">
      <formula>0</formula>
    </cfRule>
  </conditionalFormatting>
  <conditionalFormatting sqref="AR11">
    <cfRule type="cellIs" dxfId="3" priority="8" operator="equal">
      <formula>0</formula>
    </cfRule>
  </conditionalFormatting>
  <conditionalFormatting sqref="AS61:AT61 AS72:AT72">
    <cfRule type="cellIs" dxfId="2" priority="2" operator="equal">
      <formula>0</formula>
    </cfRule>
  </conditionalFormatting>
  <conditionalFormatting sqref="AS17 AS21:AS23 AS35 AS25 AT23 AT21">
    <cfRule type="cellIs" dxfId="1" priority="1" operator="equal">
      <formula>0</formula>
    </cfRule>
  </conditionalFormatting>
  <conditionalFormatting sqref="AT35 AT22 AT17 AT25">
    <cfRule type="cellIs" dxfId="0" priority="3" operator="equal">
      <formula>0</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M105"/>
  <sheetViews>
    <sheetView workbookViewId="0">
      <selection activeCell="K19" sqref="K19"/>
    </sheetView>
  </sheetViews>
  <sheetFormatPr defaultRowHeight="15" x14ac:dyDescent="0.25"/>
  <cols>
    <col min="1" max="1" width="15.42578125" style="146" bestFit="1" customWidth="1"/>
    <col min="2" max="2" width="5.85546875" style="146" customWidth="1"/>
    <col min="3" max="3" width="4.140625" style="146" customWidth="1"/>
    <col min="4" max="4" width="10.85546875" style="146" bestFit="1" customWidth="1"/>
    <col min="5" max="256" width="9.140625" style="17"/>
    <col min="257" max="257" width="11.42578125" style="17" customWidth="1"/>
    <col min="258" max="512" width="9.140625" style="17"/>
    <col min="513" max="513" width="11.42578125" style="17" customWidth="1"/>
    <col min="514" max="768" width="9.140625" style="17"/>
    <col min="769" max="769" width="11.42578125" style="17" customWidth="1"/>
    <col min="770" max="1024" width="9.140625" style="17"/>
    <col min="1025" max="1025" width="11.42578125" style="17" customWidth="1"/>
    <col min="1026" max="1280" width="9.140625" style="17"/>
    <col min="1281" max="1281" width="11.42578125" style="17" customWidth="1"/>
    <col min="1282" max="1536" width="9.140625" style="17"/>
    <col min="1537" max="1537" width="11.42578125" style="17" customWidth="1"/>
    <col min="1538" max="1792" width="9.140625" style="17"/>
    <col min="1793" max="1793" width="11.42578125" style="17" customWidth="1"/>
    <col min="1794" max="2048" width="9.140625" style="17"/>
    <col min="2049" max="2049" width="11.42578125" style="17" customWidth="1"/>
    <col min="2050" max="2304" width="9.140625" style="17"/>
    <col min="2305" max="2305" width="11.42578125" style="17" customWidth="1"/>
    <col min="2306" max="2560" width="9.140625" style="17"/>
    <col min="2561" max="2561" width="11.42578125" style="17" customWidth="1"/>
    <col min="2562" max="2816" width="9.140625" style="17"/>
    <col min="2817" max="2817" width="11.42578125" style="17" customWidth="1"/>
    <col min="2818" max="3072" width="9.140625" style="17"/>
    <col min="3073" max="3073" width="11.42578125" style="17" customWidth="1"/>
    <col min="3074" max="3328" width="9.140625" style="17"/>
    <col min="3329" max="3329" width="11.42578125" style="17" customWidth="1"/>
    <col min="3330" max="3584" width="9.140625" style="17"/>
    <col min="3585" max="3585" width="11.42578125" style="17" customWidth="1"/>
    <col min="3586" max="3840" width="9.140625" style="17"/>
    <col min="3841" max="3841" width="11.42578125" style="17" customWidth="1"/>
    <col min="3842" max="4096" width="9.140625" style="17"/>
    <col min="4097" max="4097" width="11.42578125" style="17" customWidth="1"/>
    <col min="4098" max="4352" width="9.140625" style="17"/>
    <col min="4353" max="4353" width="11.42578125" style="17" customWidth="1"/>
    <col min="4354" max="4608" width="9.140625" style="17"/>
    <col min="4609" max="4609" width="11.42578125" style="17" customWidth="1"/>
    <col min="4610" max="4864" width="9.140625" style="17"/>
    <col min="4865" max="4865" width="11.42578125" style="17" customWidth="1"/>
    <col min="4866" max="5120" width="9.140625" style="17"/>
    <col min="5121" max="5121" width="11.42578125" style="17" customWidth="1"/>
    <col min="5122" max="5376" width="9.140625" style="17"/>
    <col min="5377" max="5377" width="11.42578125" style="17" customWidth="1"/>
    <col min="5378" max="5632" width="9.140625" style="17"/>
    <col min="5633" max="5633" width="11.42578125" style="17" customWidth="1"/>
    <col min="5634" max="5888" width="9.140625" style="17"/>
    <col min="5889" max="5889" width="11.42578125" style="17" customWidth="1"/>
    <col min="5890" max="6144" width="9.140625" style="17"/>
    <col min="6145" max="6145" width="11.42578125" style="17" customWidth="1"/>
    <col min="6146" max="6400" width="9.140625" style="17"/>
    <col min="6401" max="6401" width="11.42578125" style="17" customWidth="1"/>
    <col min="6402" max="6656" width="9.140625" style="17"/>
    <col min="6657" max="6657" width="11.42578125" style="17" customWidth="1"/>
    <col min="6658" max="6912" width="9.140625" style="17"/>
    <col min="6913" max="6913" width="11.42578125" style="17" customWidth="1"/>
    <col min="6914" max="7168" width="9.140625" style="17"/>
    <col min="7169" max="7169" width="11.42578125" style="17" customWidth="1"/>
    <col min="7170" max="7424" width="9.140625" style="17"/>
    <col min="7425" max="7425" width="11.42578125" style="17" customWidth="1"/>
    <col min="7426" max="7680" width="9.140625" style="17"/>
    <col min="7681" max="7681" width="11.42578125" style="17" customWidth="1"/>
    <col min="7682" max="7936" width="9.140625" style="17"/>
    <col min="7937" max="7937" width="11.42578125" style="17" customWidth="1"/>
    <col min="7938" max="8192" width="9.140625" style="17"/>
    <col min="8193" max="8193" width="11.42578125" style="17" customWidth="1"/>
    <col min="8194" max="8448" width="9.140625" style="17"/>
    <col min="8449" max="8449" width="11.42578125" style="17" customWidth="1"/>
    <col min="8450" max="8704" width="9.140625" style="17"/>
    <col min="8705" max="8705" width="11.42578125" style="17" customWidth="1"/>
    <col min="8706" max="8960" width="9.140625" style="17"/>
    <col min="8961" max="8961" width="11.42578125" style="17" customWidth="1"/>
    <col min="8962" max="9216" width="9.140625" style="17"/>
    <col min="9217" max="9217" width="11.42578125" style="17" customWidth="1"/>
    <col min="9218" max="9472" width="9.140625" style="17"/>
    <col min="9473" max="9473" width="11.42578125" style="17" customWidth="1"/>
    <col min="9474" max="9728" width="9.140625" style="17"/>
    <col min="9729" max="9729" width="11.42578125" style="17" customWidth="1"/>
    <col min="9730" max="9984" width="9.140625" style="17"/>
    <col min="9985" max="9985" width="11.42578125" style="17" customWidth="1"/>
    <col min="9986" max="10240" width="9.140625" style="17"/>
    <col min="10241" max="10241" width="11.42578125" style="17" customWidth="1"/>
    <col min="10242" max="10496" width="9.140625" style="17"/>
    <col min="10497" max="10497" width="11.42578125" style="17" customWidth="1"/>
    <col min="10498" max="10752" width="9.140625" style="17"/>
    <col min="10753" max="10753" width="11.42578125" style="17" customWidth="1"/>
    <col min="10754" max="11008" width="9.140625" style="17"/>
    <col min="11009" max="11009" width="11.42578125" style="17" customWidth="1"/>
    <col min="11010" max="11264" width="9.140625" style="17"/>
    <col min="11265" max="11265" width="11.42578125" style="17" customWidth="1"/>
    <col min="11266" max="11520" width="9.140625" style="17"/>
    <col min="11521" max="11521" width="11.42578125" style="17" customWidth="1"/>
    <col min="11522" max="11776" width="9.140625" style="17"/>
    <col min="11777" max="11777" width="11.42578125" style="17" customWidth="1"/>
    <col min="11778" max="12032" width="9.140625" style="17"/>
    <col min="12033" max="12033" width="11.42578125" style="17" customWidth="1"/>
    <col min="12034" max="12288" width="9.140625" style="17"/>
    <col min="12289" max="12289" width="11.42578125" style="17" customWidth="1"/>
    <col min="12290" max="12544" width="9.140625" style="17"/>
    <col min="12545" max="12545" width="11.42578125" style="17" customWidth="1"/>
    <col min="12546" max="12800" width="9.140625" style="17"/>
    <col min="12801" max="12801" width="11.42578125" style="17" customWidth="1"/>
    <col min="12802" max="13056" width="9.140625" style="17"/>
    <col min="13057" max="13057" width="11.42578125" style="17" customWidth="1"/>
    <col min="13058" max="13312" width="9.140625" style="17"/>
    <col min="13313" max="13313" width="11.42578125" style="17" customWidth="1"/>
    <col min="13314" max="13568" width="9.140625" style="17"/>
    <col min="13569" max="13569" width="11.42578125" style="17" customWidth="1"/>
    <col min="13570" max="13824" width="9.140625" style="17"/>
    <col min="13825" max="13825" width="11.42578125" style="17" customWidth="1"/>
    <col min="13826" max="14080" width="9.140625" style="17"/>
    <col min="14081" max="14081" width="11.42578125" style="17" customWidth="1"/>
    <col min="14082" max="14336" width="9.140625" style="17"/>
    <col min="14337" max="14337" width="11.42578125" style="17" customWidth="1"/>
    <col min="14338" max="14592" width="9.140625" style="17"/>
    <col min="14593" max="14593" width="11.42578125" style="17" customWidth="1"/>
    <col min="14594" max="14848" width="9.140625" style="17"/>
    <col min="14849" max="14849" width="11.42578125" style="17" customWidth="1"/>
    <col min="14850" max="15104" width="9.140625" style="17"/>
    <col min="15105" max="15105" width="11.42578125" style="17" customWidth="1"/>
    <col min="15106" max="15360" width="9.140625" style="17"/>
    <col min="15361" max="15361" width="11.42578125" style="17" customWidth="1"/>
    <col min="15362" max="15616" width="9.140625" style="17"/>
    <col min="15617" max="15617" width="11.42578125" style="17" customWidth="1"/>
    <col min="15618" max="15872" width="9.140625" style="17"/>
    <col min="15873" max="15873" width="11.42578125" style="17" customWidth="1"/>
    <col min="15874" max="16128" width="9.140625" style="17"/>
    <col min="16129" max="16129" width="11.42578125" style="17" customWidth="1"/>
    <col min="16130" max="16384" width="9.140625" style="17"/>
  </cols>
  <sheetData>
    <row r="1" spans="1:13" ht="30" x14ac:dyDescent="0.25">
      <c r="A1" s="119" t="s">
        <v>118</v>
      </c>
      <c r="B1" s="119" t="s">
        <v>117</v>
      </c>
      <c r="C1" s="119" t="s">
        <v>3</v>
      </c>
      <c r="D1" s="119" t="s">
        <v>116</v>
      </c>
      <c r="E1" s="147" t="s">
        <v>1051</v>
      </c>
      <c r="F1" s="147" t="s">
        <v>1069</v>
      </c>
      <c r="G1" s="147" t="s">
        <v>1070</v>
      </c>
    </row>
    <row r="2" spans="1:13" x14ac:dyDescent="0.25">
      <c r="A2" s="120" t="s">
        <v>194</v>
      </c>
      <c r="B2" s="120">
        <v>1</v>
      </c>
      <c r="C2" s="121">
        <v>1</v>
      </c>
      <c r="D2" s="120" t="s">
        <v>15</v>
      </c>
      <c r="E2" s="118" t="s">
        <v>1037</v>
      </c>
      <c r="F2" s="17">
        <f>IF(AND(E2="Yes",D2="Spring 5.2"),0.2, IF(AND(E2="Yes",D2="Summer 5.2"),0.5,1))</f>
        <v>1</v>
      </c>
      <c r="G2" s="17">
        <f>IF(AND(E2="Yes",D2="Spring 5.2"),0.78,1)</f>
        <v>1</v>
      </c>
    </row>
    <row r="3" spans="1:13" x14ac:dyDescent="0.25">
      <c r="A3" s="120" t="s">
        <v>151</v>
      </c>
      <c r="B3" s="120">
        <v>2</v>
      </c>
      <c r="C3" s="121">
        <v>1</v>
      </c>
      <c r="D3" s="120" t="s">
        <v>15</v>
      </c>
      <c r="E3" s="118" t="s">
        <v>1036</v>
      </c>
      <c r="F3" s="17">
        <f>IF(AND(E3="Yes",D3="Spring 5.2"),0.2, IF(AND(E3="Yes",D3="Summer 5.2"),0.5,1))</f>
        <v>0.2</v>
      </c>
      <c r="G3" s="17">
        <f t="shared" ref="G3:G66" si="0">IF(AND(E3="Yes",D3="Spring 5.2"),0.78,1)</f>
        <v>0.78</v>
      </c>
    </row>
    <row r="4" spans="1:13" x14ac:dyDescent="0.25">
      <c r="A4" s="120" t="s">
        <v>157</v>
      </c>
      <c r="B4" s="120">
        <v>3</v>
      </c>
      <c r="C4" s="121">
        <v>1</v>
      </c>
      <c r="D4" s="120" t="s">
        <v>15</v>
      </c>
      <c r="E4" s="118" t="s">
        <v>1036</v>
      </c>
      <c r="F4" s="17">
        <f t="shared" ref="F4:F67" si="1">IF(AND(E4="Yes",D4="Spring 5.2"),0.2, IF(AND(E4="Yes",D4="Summer 5.2"),0.5,1))</f>
        <v>0.2</v>
      </c>
      <c r="G4" s="17">
        <f t="shared" si="0"/>
        <v>0.78</v>
      </c>
    </row>
    <row r="5" spans="1:13" x14ac:dyDescent="0.25">
      <c r="A5" s="122" t="s">
        <v>174</v>
      </c>
      <c r="B5" s="122">
        <v>4</v>
      </c>
      <c r="C5" s="121">
        <v>1</v>
      </c>
      <c r="D5" s="120" t="s">
        <v>15</v>
      </c>
      <c r="E5" s="118" t="s">
        <v>1036</v>
      </c>
      <c r="F5" s="17">
        <f t="shared" si="1"/>
        <v>0.2</v>
      </c>
      <c r="G5" s="17">
        <f t="shared" si="0"/>
        <v>0.78</v>
      </c>
    </row>
    <row r="6" spans="1:13" x14ac:dyDescent="0.25">
      <c r="A6" s="120" t="s">
        <v>155</v>
      </c>
      <c r="B6" s="120">
        <v>5</v>
      </c>
      <c r="C6" s="121">
        <v>1</v>
      </c>
      <c r="D6" s="120" t="s">
        <v>15</v>
      </c>
      <c r="E6" s="118" t="s">
        <v>1036</v>
      </c>
      <c r="F6" s="17">
        <f t="shared" si="1"/>
        <v>0.2</v>
      </c>
      <c r="G6" s="17">
        <f t="shared" si="0"/>
        <v>0.78</v>
      </c>
    </row>
    <row r="7" spans="1:13" x14ac:dyDescent="0.25">
      <c r="A7" s="120" t="s">
        <v>167</v>
      </c>
      <c r="B7" s="120">
        <v>6</v>
      </c>
      <c r="C7" s="121">
        <v>1</v>
      </c>
      <c r="D7" s="120" t="s">
        <v>15</v>
      </c>
      <c r="E7" s="118" t="s">
        <v>1036</v>
      </c>
      <c r="F7" s="17">
        <f t="shared" si="1"/>
        <v>0.2</v>
      </c>
      <c r="G7" s="17">
        <f t="shared" si="0"/>
        <v>0.78</v>
      </c>
    </row>
    <row r="8" spans="1:13" x14ac:dyDescent="0.25">
      <c r="A8" s="122" t="s">
        <v>197</v>
      </c>
      <c r="B8" s="122">
        <v>7</v>
      </c>
      <c r="C8" s="121">
        <v>1</v>
      </c>
      <c r="D8" s="120" t="s">
        <v>15</v>
      </c>
      <c r="E8" s="118" t="s">
        <v>1036</v>
      </c>
      <c r="F8" s="17">
        <f t="shared" si="1"/>
        <v>0.2</v>
      </c>
      <c r="G8" s="17">
        <f t="shared" si="0"/>
        <v>0.78</v>
      </c>
    </row>
    <row r="9" spans="1:13" x14ac:dyDescent="0.25">
      <c r="A9" s="120" t="s">
        <v>152</v>
      </c>
      <c r="B9" s="120">
        <v>8</v>
      </c>
      <c r="C9" s="121">
        <v>1</v>
      </c>
      <c r="D9" s="120" t="s">
        <v>15</v>
      </c>
      <c r="E9" s="118" t="s">
        <v>1036</v>
      </c>
      <c r="F9" s="17">
        <f t="shared" si="1"/>
        <v>0.2</v>
      </c>
      <c r="G9" s="17">
        <f t="shared" si="0"/>
        <v>0.78</v>
      </c>
    </row>
    <row r="10" spans="1:13" x14ac:dyDescent="0.25">
      <c r="A10" s="122" t="s">
        <v>169</v>
      </c>
      <c r="B10" s="122">
        <v>9</v>
      </c>
      <c r="C10" s="121">
        <v>1</v>
      </c>
      <c r="D10" s="120" t="s">
        <v>15</v>
      </c>
      <c r="E10" s="118" t="s">
        <v>1036</v>
      </c>
      <c r="F10" s="17">
        <f t="shared" si="1"/>
        <v>0.2</v>
      </c>
      <c r="G10" s="17">
        <f t="shared" si="0"/>
        <v>0.78</v>
      </c>
    </row>
    <row r="11" spans="1:13" x14ac:dyDescent="0.25">
      <c r="A11" s="120" t="s">
        <v>199</v>
      </c>
      <c r="B11" s="120">
        <v>10</v>
      </c>
      <c r="C11" s="121">
        <v>1</v>
      </c>
      <c r="D11" s="120" t="s">
        <v>15</v>
      </c>
      <c r="E11" s="118" t="s">
        <v>1036</v>
      </c>
      <c r="F11" s="17">
        <f t="shared" si="1"/>
        <v>0.2</v>
      </c>
      <c r="G11" s="17">
        <f t="shared" si="0"/>
        <v>0.78</v>
      </c>
      <c r="J11" s="152"/>
      <c r="K11" s="152"/>
      <c r="L11" s="152"/>
      <c r="M11" s="152"/>
    </row>
    <row r="12" spans="1:13" x14ac:dyDescent="0.25">
      <c r="A12" s="120" t="s">
        <v>124</v>
      </c>
      <c r="B12" s="120">
        <v>11</v>
      </c>
      <c r="C12" s="121">
        <v>1</v>
      </c>
      <c r="D12" s="120" t="s">
        <v>15</v>
      </c>
      <c r="E12" s="118" t="s">
        <v>1036</v>
      </c>
      <c r="F12" s="17">
        <f t="shared" si="1"/>
        <v>0.2</v>
      </c>
      <c r="G12" s="17">
        <f t="shared" si="0"/>
        <v>0.78</v>
      </c>
      <c r="J12" s="152"/>
    </row>
    <row r="13" spans="1:13" x14ac:dyDescent="0.25">
      <c r="A13" s="122" t="s">
        <v>145</v>
      </c>
      <c r="B13" s="122">
        <v>12</v>
      </c>
      <c r="C13" s="121">
        <v>1</v>
      </c>
      <c r="D13" s="120" t="s">
        <v>15</v>
      </c>
      <c r="E13" s="118" t="s">
        <v>1036</v>
      </c>
      <c r="F13" s="17">
        <f t="shared" si="1"/>
        <v>0.2</v>
      </c>
      <c r="G13" s="17">
        <f t="shared" si="0"/>
        <v>0.78</v>
      </c>
    </row>
    <row r="14" spans="1:13" x14ac:dyDescent="0.25">
      <c r="A14" s="120" t="s">
        <v>185</v>
      </c>
      <c r="B14" s="120">
        <v>13</v>
      </c>
      <c r="C14" s="121">
        <v>1</v>
      </c>
      <c r="D14" s="120" t="s">
        <v>15</v>
      </c>
      <c r="E14" s="118" t="s">
        <v>1036</v>
      </c>
      <c r="F14" s="17">
        <f t="shared" si="1"/>
        <v>0.2</v>
      </c>
      <c r="G14" s="17">
        <f t="shared" si="0"/>
        <v>0.78</v>
      </c>
    </row>
    <row r="15" spans="1:13" x14ac:dyDescent="0.25">
      <c r="A15" s="122" t="s">
        <v>123</v>
      </c>
      <c r="B15" s="122">
        <v>14</v>
      </c>
      <c r="C15" s="121">
        <v>1</v>
      </c>
      <c r="D15" s="120" t="s">
        <v>15</v>
      </c>
      <c r="E15" s="118" t="s">
        <v>1036</v>
      </c>
      <c r="F15" s="17">
        <f t="shared" si="1"/>
        <v>0.2</v>
      </c>
      <c r="G15" s="17">
        <f t="shared" si="0"/>
        <v>0.78</v>
      </c>
    </row>
    <row r="16" spans="1:13" x14ac:dyDescent="0.25">
      <c r="A16" s="120" t="s">
        <v>122</v>
      </c>
      <c r="B16" s="120">
        <v>15</v>
      </c>
      <c r="C16" s="121">
        <v>1</v>
      </c>
      <c r="D16" s="120" t="s">
        <v>15</v>
      </c>
      <c r="E16" s="118" t="s">
        <v>1036</v>
      </c>
      <c r="F16" s="17">
        <f t="shared" si="1"/>
        <v>0.2</v>
      </c>
      <c r="G16" s="17">
        <f t="shared" si="0"/>
        <v>0.78</v>
      </c>
    </row>
    <row r="17" spans="1:7" x14ac:dyDescent="0.25">
      <c r="A17" s="120" t="s">
        <v>201</v>
      </c>
      <c r="B17" s="120">
        <v>16</v>
      </c>
      <c r="C17" s="121">
        <v>1</v>
      </c>
      <c r="D17" s="120" t="s">
        <v>15</v>
      </c>
      <c r="E17" s="118" t="s">
        <v>1036</v>
      </c>
      <c r="F17" s="17">
        <f t="shared" si="1"/>
        <v>0.2</v>
      </c>
      <c r="G17" s="17">
        <f t="shared" si="0"/>
        <v>0.78</v>
      </c>
    </row>
    <row r="18" spans="1:7" x14ac:dyDescent="0.25">
      <c r="A18" s="120" t="s">
        <v>202</v>
      </c>
      <c r="B18" s="120">
        <v>17</v>
      </c>
      <c r="C18" s="121">
        <v>1</v>
      </c>
      <c r="D18" s="120" t="s">
        <v>15</v>
      </c>
      <c r="E18" s="118" t="s">
        <v>1036</v>
      </c>
      <c r="F18" s="17">
        <f t="shared" si="1"/>
        <v>0.2</v>
      </c>
      <c r="G18" s="17">
        <f t="shared" si="0"/>
        <v>0.78</v>
      </c>
    </row>
    <row r="19" spans="1:7" x14ac:dyDescent="0.25">
      <c r="A19" s="123" t="s">
        <v>193</v>
      </c>
      <c r="B19" s="123">
        <v>18</v>
      </c>
      <c r="C19" s="123">
        <v>2</v>
      </c>
      <c r="D19" s="124" t="s">
        <v>18</v>
      </c>
      <c r="E19" s="118" t="s">
        <v>1036</v>
      </c>
      <c r="F19" s="17">
        <f t="shared" si="1"/>
        <v>0.5</v>
      </c>
      <c r="G19" s="17">
        <f t="shared" si="0"/>
        <v>1</v>
      </c>
    </row>
    <row r="20" spans="1:7" x14ac:dyDescent="0.25">
      <c r="A20" s="123" t="s">
        <v>173</v>
      </c>
      <c r="B20" s="123">
        <v>19</v>
      </c>
      <c r="C20" s="123">
        <v>2</v>
      </c>
      <c r="D20" s="124" t="s">
        <v>18</v>
      </c>
      <c r="E20" s="118" t="s">
        <v>1036</v>
      </c>
      <c r="F20" s="17">
        <f t="shared" si="1"/>
        <v>0.5</v>
      </c>
      <c r="G20" s="17">
        <f t="shared" si="0"/>
        <v>1</v>
      </c>
    </row>
    <row r="21" spans="1:7" x14ac:dyDescent="0.25">
      <c r="A21" s="124" t="s">
        <v>192</v>
      </c>
      <c r="B21" s="123">
        <v>20</v>
      </c>
      <c r="C21" s="123">
        <v>2</v>
      </c>
      <c r="D21" s="124" t="s">
        <v>18</v>
      </c>
      <c r="E21" s="118" t="s">
        <v>1036</v>
      </c>
      <c r="F21" s="17">
        <f t="shared" si="1"/>
        <v>0.5</v>
      </c>
      <c r="G21" s="17">
        <f t="shared" si="0"/>
        <v>1</v>
      </c>
    </row>
    <row r="22" spans="1:7" x14ac:dyDescent="0.25">
      <c r="A22" s="125" t="s">
        <v>149</v>
      </c>
      <c r="B22" s="126">
        <v>21</v>
      </c>
      <c r="C22" s="126">
        <v>1</v>
      </c>
      <c r="D22" s="125" t="s">
        <v>15</v>
      </c>
      <c r="E22" s="118" t="s">
        <v>1036</v>
      </c>
      <c r="F22" s="17">
        <f t="shared" si="1"/>
        <v>0.2</v>
      </c>
      <c r="G22" s="17">
        <f t="shared" si="0"/>
        <v>0.78</v>
      </c>
    </row>
    <row r="23" spans="1:7" x14ac:dyDescent="0.25">
      <c r="A23" s="125" t="s">
        <v>134</v>
      </c>
      <c r="B23" s="126">
        <v>22</v>
      </c>
      <c r="C23" s="126">
        <v>1</v>
      </c>
      <c r="D23" s="125" t="s">
        <v>15</v>
      </c>
      <c r="E23" s="118" t="s">
        <v>1036</v>
      </c>
      <c r="F23" s="17">
        <f t="shared" si="1"/>
        <v>0.2</v>
      </c>
      <c r="G23" s="17">
        <f t="shared" si="0"/>
        <v>0.78</v>
      </c>
    </row>
    <row r="24" spans="1:7" x14ac:dyDescent="0.25">
      <c r="A24" s="126" t="s">
        <v>121</v>
      </c>
      <c r="B24" s="126">
        <v>23</v>
      </c>
      <c r="C24" s="126">
        <v>1</v>
      </c>
      <c r="D24" s="125" t="s">
        <v>15</v>
      </c>
      <c r="E24" s="118" t="s">
        <v>1036</v>
      </c>
      <c r="F24" s="17">
        <f t="shared" si="1"/>
        <v>0.2</v>
      </c>
      <c r="G24" s="17">
        <f t="shared" si="0"/>
        <v>0.78</v>
      </c>
    </row>
    <row r="25" spans="1:7" x14ac:dyDescent="0.25">
      <c r="A25" s="125" t="s">
        <v>143</v>
      </c>
      <c r="B25" s="125">
        <v>24</v>
      </c>
      <c r="C25" s="125">
        <v>1</v>
      </c>
      <c r="D25" s="125" t="s">
        <v>15</v>
      </c>
      <c r="E25" s="118" t="s">
        <v>1036</v>
      </c>
      <c r="F25" s="17">
        <f t="shared" si="1"/>
        <v>0.2</v>
      </c>
      <c r="G25" s="17">
        <f t="shared" si="0"/>
        <v>0.78</v>
      </c>
    </row>
    <row r="26" spans="1:7" x14ac:dyDescent="0.25">
      <c r="A26" s="127" t="s">
        <v>180</v>
      </c>
      <c r="B26" s="127">
        <v>25</v>
      </c>
      <c r="C26" s="127">
        <v>2</v>
      </c>
      <c r="D26" s="127" t="s">
        <v>18</v>
      </c>
      <c r="E26" s="118" t="s">
        <v>1036</v>
      </c>
      <c r="F26" s="17">
        <f t="shared" si="1"/>
        <v>0.5</v>
      </c>
      <c r="G26" s="17">
        <f t="shared" si="0"/>
        <v>1</v>
      </c>
    </row>
    <row r="27" spans="1:7" x14ac:dyDescent="0.25">
      <c r="A27" s="128" t="s">
        <v>133</v>
      </c>
      <c r="B27" s="128">
        <v>26</v>
      </c>
      <c r="C27" s="128">
        <v>2</v>
      </c>
      <c r="D27" s="127" t="s">
        <v>18</v>
      </c>
      <c r="E27" s="118" t="s">
        <v>1036</v>
      </c>
      <c r="F27" s="17">
        <f t="shared" si="1"/>
        <v>0.5</v>
      </c>
      <c r="G27" s="17">
        <f t="shared" si="0"/>
        <v>1</v>
      </c>
    </row>
    <row r="28" spans="1:7" x14ac:dyDescent="0.25">
      <c r="A28" s="127" t="s">
        <v>156</v>
      </c>
      <c r="B28" s="127">
        <v>27</v>
      </c>
      <c r="C28" s="127">
        <v>1</v>
      </c>
      <c r="D28" s="127" t="s">
        <v>15</v>
      </c>
      <c r="E28" s="118" t="s">
        <v>1036</v>
      </c>
      <c r="F28" s="17">
        <f t="shared" si="1"/>
        <v>0.2</v>
      </c>
      <c r="G28" s="17">
        <f t="shared" si="0"/>
        <v>0.78</v>
      </c>
    </row>
    <row r="29" spans="1:7" x14ac:dyDescent="0.25">
      <c r="A29" s="127" t="s">
        <v>137</v>
      </c>
      <c r="B29" s="127">
        <v>28</v>
      </c>
      <c r="C29" s="127">
        <v>2</v>
      </c>
      <c r="D29" s="127" t="s">
        <v>18</v>
      </c>
      <c r="E29" s="118" t="s">
        <v>1036</v>
      </c>
      <c r="F29" s="17">
        <f t="shared" si="1"/>
        <v>0.5</v>
      </c>
      <c r="G29" s="17">
        <f t="shared" si="0"/>
        <v>1</v>
      </c>
    </row>
    <row r="30" spans="1:7" x14ac:dyDescent="0.25">
      <c r="A30" s="127" t="s">
        <v>136</v>
      </c>
      <c r="B30" s="127">
        <v>29</v>
      </c>
      <c r="C30" s="127">
        <v>1</v>
      </c>
      <c r="D30" s="127" t="s">
        <v>15</v>
      </c>
      <c r="E30" s="118" t="s">
        <v>1036</v>
      </c>
      <c r="F30" s="17">
        <f t="shared" si="1"/>
        <v>0.2</v>
      </c>
      <c r="G30" s="17">
        <f t="shared" si="0"/>
        <v>0.78</v>
      </c>
    </row>
    <row r="31" spans="1:7" x14ac:dyDescent="0.25">
      <c r="A31" s="127" t="s">
        <v>135</v>
      </c>
      <c r="B31" s="127">
        <v>30</v>
      </c>
      <c r="C31" s="127">
        <v>1</v>
      </c>
      <c r="D31" s="127" t="s">
        <v>15</v>
      </c>
      <c r="E31" s="118" t="s">
        <v>1036</v>
      </c>
      <c r="F31" s="17">
        <f t="shared" si="1"/>
        <v>0.2</v>
      </c>
      <c r="G31" s="17">
        <f t="shared" si="0"/>
        <v>0.78</v>
      </c>
    </row>
    <row r="32" spans="1:7" x14ac:dyDescent="0.25">
      <c r="A32" s="128" t="s">
        <v>148</v>
      </c>
      <c r="B32" s="127">
        <v>31</v>
      </c>
      <c r="C32" s="129">
        <v>2</v>
      </c>
      <c r="D32" s="130" t="s">
        <v>18</v>
      </c>
      <c r="E32" s="118" t="s">
        <v>1036</v>
      </c>
      <c r="F32" s="17">
        <f t="shared" si="1"/>
        <v>0.5</v>
      </c>
      <c r="G32" s="17">
        <f t="shared" si="0"/>
        <v>1</v>
      </c>
    </row>
    <row r="33" spans="1:7" x14ac:dyDescent="0.25">
      <c r="A33" s="128" t="s">
        <v>195</v>
      </c>
      <c r="B33" s="127">
        <v>32</v>
      </c>
      <c r="C33" s="128">
        <v>2</v>
      </c>
      <c r="D33" s="127" t="s">
        <v>18</v>
      </c>
      <c r="E33" s="118" t="s">
        <v>1036</v>
      </c>
      <c r="F33" s="17">
        <f t="shared" si="1"/>
        <v>0.5</v>
      </c>
      <c r="G33" s="17">
        <f t="shared" si="0"/>
        <v>1</v>
      </c>
    </row>
    <row r="34" spans="1:7" x14ac:dyDescent="0.25">
      <c r="A34" s="127" t="s">
        <v>132</v>
      </c>
      <c r="B34" s="127">
        <v>33</v>
      </c>
      <c r="C34" s="127">
        <v>1</v>
      </c>
      <c r="D34" s="127" t="s">
        <v>15</v>
      </c>
      <c r="E34" s="118" t="s">
        <v>1037</v>
      </c>
      <c r="F34" s="17">
        <f t="shared" si="1"/>
        <v>1</v>
      </c>
      <c r="G34" s="17">
        <f t="shared" si="0"/>
        <v>1</v>
      </c>
    </row>
    <row r="35" spans="1:7" x14ac:dyDescent="0.25">
      <c r="A35" s="127" t="s">
        <v>179</v>
      </c>
      <c r="B35" s="127">
        <v>34</v>
      </c>
      <c r="C35" s="127">
        <v>2</v>
      </c>
      <c r="D35" s="127" t="s">
        <v>18</v>
      </c>
      <c r="E35" s="118" t="s">
        <v>1037</v>
      </c>
      <c r="F35" s="17">
        <f t="shared" si="1"/>
        <v>1</v>
      </c>
      <c r="G35" s="17">
        <f t="shared" si="0"/>
        <v>1</v>
      </c>
    </row>
    <row r="36" spans="1:7" x14ac:dyDescent="0.25">
      <c r="A36" s="127" t="s">
        <v>183</v>
      </c>
      <c r="B36" s="127">
        <v>35</v>
      </c>
      <c r="C36" s="127">
        <v>2</v>
      </c>
      <c r="D36" s="127" t="s">
        <v>18</v>
      </c>
      <c r="E36" s="118" t="s">
        <v>1037</v>
      </c>
      <c r="F36" s="17">
        <f t="shared" si="1"/>
        <v>1</v>
      </c>
      <c r="G36" s="17">
        <f t="shared" si="0"/>
        <v>1</v>
      </c>
    </row>
    <row r="37" spans="1:7" x14ac:dyDescent="0.25">
      <c r="A37" s="131" t="s">
        <v>165</v>
      </c>
      <c r="B37" s="131">
        <v>36</v>
      </c>
      <c r="C37" s="131">
        <v>2</v>
      </c>
      <c r="D37" s="131" t="s">
        <v>18</v>
      </c>
      <c r="E37" s="118" t="s">
        <v>1037</v>
      </c>
      <c r="F37" s="17">
        <f t="shared" si="1"/>
        <v>1</v>
      </c>
      <c r="G37" s="17">
        <f t="shared" si="0"/>
        <v>1</v>
      </c>
    </row>
    <row r="38" spans="1:7" x14ac:dyDescent="0.25">
      <c r="A38" s="131" t="s">
        <v>141</v>
      </c>
      <c r="B38" s="131">
        <v>37</v>
      </c>
      <c r="C38" s="131">
        <v>2</v>
      </c>
      <c r="D38" s="131" t="s">
        <v>18</v>
      </c>
      <c r="E38" s="118" t="s">
        <v>1037</v>
      </c>
      <c r="F38" s="17">
        <f t="shared" si="1"/>
        <v>1</v>
      </c>
      <c r="G38" s="17">
        <f t="shared" si="0"/>
        <v>1</v>
      </c>
    </row>
    <row r="39" spans="1:7" x14ac:dyDescent="0.25">
      <c r="A39" s="131" t="s">
        <v>150</v>
      </c>
      <c r="B39" s="131">
        <v>38</v>
      </c>
      <c r="C39" s="131">
        <v>1</v>
      </c>
      <c r="D39" s="131" t="s">
        <v>15</v>
      </c>
      <c r="E39" s="118" t="s">
        <v>1037</v>
      </c>
      <c r="F39" s="17">
        <f t="shared" si="1"/>
        <v>1</v>
      </c>
      <c r="G39" s="17">
        <f t="shared" si="0"/>
        <v>1</v>
      </c>
    </row>
    <row r="40" spans="1:7" x14ac:dyDescent="0.25">
      <c r="A40" s="131" t="s">
        <v>181</v>
      </c>
      <c r="B40" s="131">
        <v>39</v>
      </c>
      <c r="C40" s="131">
        <v>2</v>
      </c>
      <c r="D40" s="131" t="s">
        <v>18</v>
      </c>
      <c r="E40" s="118" t="s">
        <v>1037</v>
      </c>
      <c r="F40" s="17">
        <f t="shared" si="1"/>
        <v>1</v>
      </c>
      <c r="G40" s="17">
        <f t="shared" si="0"/>
        <v>1</v>
      </c>
    </row>
    <row r="41" spans="1:7" x14ac:dyDescent="0.25">
      <c r="A41" s="132" t="s">
        <v>127</v>
      </c>
      <c r="B41" s="131">
        <v>40</v>
      </c>
      <c r="C41" s="132">
        <v>2</v>
      </c>
      <c r="D41" s="131" t="s">
        <v>18</v>
      </c>
      <c r="E41" s="118" t="s">
        <v>1037</v>
      </c>
      <c r="F41" s="17">
        <f t="shared" si="1"/>
        <v>1</v>
      </c>
      <c r="G41" s="17">
        <f t="shared" si="0"/>
        <v>1</v>
      </c>
    </row>
    <row r="42" spans="1:7" x14ac:dyDescent="0.25">
      <c r="A42" s="131" t="s">
        <v>162</v>
      </c>
      <c r="B42" s="131">
        <v>41</v>
      </c>
      <c r="C42" s="131">
        <v>3</v>
      </c>
      <c r="D42" s="131" t="s">
        <v>82</v>
      </c>
      <c r="E42" s="118" t="s">
        <v>1037</v>
      </c>
      <c r="F42" s="17">
        <f t="shared" si="1"/>
        <v>1</v>
      </c>
      <c r="G42" s="17">
        <f t="shared" si="0"/>
        <v>1</v>
      </c>
    </row>
    <row r="43" spans="1:7" x14ac:dyDescent="0.25">
      <c r="A43" s="131" t="s">
        <v>176</v>
      </c>
      <c r="B43" s="131">
        <v>42</v>
      </c>
      <c r="C43" s="131">
        <v>2</v>
      </c>
      <c r="D43" s="131" t="s">
        <v>18</v>
      </c>
      <c r="E43" s="118" t="s">
        <v>1037</v>
      </c>
      <c r="F43" s="17">
        <f t="shared" si="1"/>
        <v>1</v>
      </c>
      <c r="G43" s="17">
        <f t="shared" si="0"/>
        <v>1</v>
      </c>
    </row>
    <row r="44" spans="1:7" x14ac:dyDescent="0.25">
      <c r="A44" s="132" t="s">
        <v>120</v>
      </c>
      <c r="B44" s="131">
        <v>43</v>
      </c>
      <c r="C44" s="132">
        <v>3</v>
      </c>
      <c r="D44" s="131" t="s">
        <v>82</v>
      </c>
      <c r="E44" s="118" t="s">
        <v>1037</v>
      </c>
      <c r="F44" s="17">
        <f t="shared" si="1"/>
        <v>1</v>
      </c>
      <c r="G44" s="17">
        <f t="shared" si="0"/>
        <v>1</v>
      </c>
    </row>
    <row r="45" spans="1:7" x14ac:dyDescent="0.25">
      <c r="A45" s="132" t="s">
        <v>168</v>
      </c>
      <c r="B45" s="131">
        <v>44</v>
      </c>
      <c r="C45" s="132">
        <v>4</v>
      </c>
      <c r="D45" s="131" t="s">
        <v>9</v>
      </c>
      <c r="E45" s="118" t="s">
        <v>1037</v>
      </c>
      <c r="F45" s="17">
        <f t="shared" si="1"/>
        <v>1</v>
      </c>
      <c r="G45" s="17">
        <f t="shared" si="0"/>
        <v>1</v>
      </c>
    </row>
    <row r="46" spans="1:7" x14ac:dyDescent="0.25">
      <c r="A46" s="132" t="s">
        <v>163</v>
      </c>
      <c r="B46" s="131">
        <v>45</v>
      </c>
      <c r="C46" s="132">
        <v>4</v>
      </c>
      <c r="D46" s="131" t="s">
        <v>9</v>
      </c>
      <c r="E46" s="118" t="s">
        <v>1037</v>
      </c>
      <c r="F46" s="17">
        <f t="shared" si="1"/>
        <v>1</v>
      </c>
      <c r="G46" s="17">
        <f t="shared" si="0"/>
        <v>1</v>
      </c>
    </row>
    <row r="47" spans="1:7" x14ac:dyDescent="0.25">
      <c r="A47" s="131" t="s">
        <v>147</v>
      </c>
      <c r="B47" s="131">
        <v>46</v>
      </c>
      <c r="C47" s="131">
        <v>1</v>
      </c>
      <c r="D47" s="131" t="s">
        <v>15</v>
      </c>
      <c r="E47" s="118" t="s">
        <v>1037</v>
      </c>
      <c r="F47" s="17">
        <f t="shared" si="1"/>
        <v>1</v>
      </c>
      <c r="G47" s="17">
        <f t="shared" si="0"/>
        <v>1</v>
      </c>
    </row>
    <row r="48" spans="1:7" x14ac:dyDescent="0.25">
      <c r="A48" s="131" t="s">
        <v>203</v>
      </c>
      <c r="B48" s="131">
        <v>47</v>
      </c>
      <c r="C48" s="131">
        <v>1</v>
      </c>
      <c r="D48" s="131" t="s">
        <v>15</v>
      </c>
      <c r="E48" s="118" t="s">
        <v>1037</v>
      </c>
      <c r="F48" s="17">
        <f t="shared" si="1"/>
        <v>1</v>
      </c>
      <c r="G48" s="17">
        <f t="shared" si="0"/>
        <v>1</v>
      </c>
    </row>
    <row r="49" spans="1:7" x14ac:dyDescent="0.25">
      <c r="A49" s="132" t="s">
        <v>125</v>
      </c>
      <c r="B49" s="131">
        <v>48</v>
      </c>
      <c r="C49" s="132">
        <v>4</v>
      </c>
      <c r="D49" s="131" t="s">
        <v>9</v>
      </c>
      <c r="E49" s="118" t="s">
        <v>1037</v>
      </c>
      <c r="F49" s="17">
        <f t="shared" si="1"/>
        <v>1</v>
      </c>
      <c r="G49" s="17">
        <f t="shared" si="0"/>
        <v>1</v>
      </c>
    </row>
    <row r="50" spans="1:7" x14ac:dyDescent="0.25">
      <c r="A50" s="132" t="s">
        <v>161</v>
      </c>
      <c r="B50" s="131">
        <v>49</v>
      </c>
      <c r="C50" s="132">
        <v>4</v>
      </c>
      <c r="D50" s="131" t="s">
        <v>9</v>
      </c>
      <c r="E50" s="118" t="s">
        <v>1037</v>
      </c>
      <c r="F50" s="17">
        <f t="shared" si="1"/>
        <v>1</v>
      </c>
      <c r="G50" s="17">
        <f t="shared" si="0"/>
        <v>1</v>
      </c>
    </row>
    <row r="51" spans="1:7" x14ac:dyDescent="0.25">
      <c r="A51" s="132" t="s">
        <v>189</v>
      </c>
      <c r="B51" s="131">
        <v>50</v>
      </c>
      <c r="C51" s="132">
        <v>4</v>
      </c>
      <c r="D51" s="131" t="s">
        <v>9</v>
      </c>
      <c r="E51" s="118" t="s">
        <v>1037</v>
      </c>
      <c r="F51" s="17">
        <f t="shared" si="1"/>
        <v>1</v>
      </c>
      <c r="G51" s="17">
        <f t="shared" si="0"/>
        <v>1</v>
      </c>
    </row>
    <row r="52" spans="1:7" x14ac:dyDescent="0.25">
      <c r="A52" s="132" t="s">
        <v>164</v>
      </c>
      <c r="B52" s="131">
        <v>51</v>
      </c>
      <c r="C52" s="132">
        <v>4</v>
      </c>
      <c r="D52" s="131" t="s">
        <v>9</v>
      </c>
      <c r="E52" s="118" t="s">
        <v>1037</v>
      </c>
      <c r="F52" s="17">
        <f t="shared" si="1"/>
        <v>1</v>
      </c>
      <c r="G52" s="17">
        <f t="shared" si="0"/>
        <v>1</v>
      </c>
    </row>
    <row r="53" spans="1:7" x14ac:dyDescent="0.25">
      <c r="A53" s="131" t="s">
        <v>144</v>
      </c>
      <c r="B53" s="131">
        <v>52</v>
      </c>
      <c r="C53" s="131">
        <v>3</v>
      </c>
      <c r="D53" s="131" t="s">
        <v>82</v>
      </c>
      <c r="E53" s="118" t="s">
        <v>1037</v>
      </c>
      <c r="F53" s="17">
        <f t="shared" si="1"/>
        <v>1</v>
      </c>
      <c r="G53" s="17">
        <f t="shared" si="0"/>
        <v>1</v>
      </c>
    </row>
    <row r="54" spans="1:7" x14ac:dyDescent="0.25">
      <c r="A54" s="132" t="s">
        <v>131</v>
      </c>
      <c r="B54" s="131">
        <v>53</v>
      </c>
      <c r="C54" s="132">
        <v>3</v>
      </c>
      <c r="D54" s="131" t="s">
        <v>82</v>
      </c>
      <c r="E54" s="118" t="s">
        <v>1037</v>
      </c>
      <c r="F54" s="17">
        <f t="shared" si="1"/>
        <v>1</v>
      </c>
      <c r="G54" s="17">
        <f t="shared" si="0"/>
        <v>1</v>
      </c>
    </row>
    <row r="55" spans="1:7" x14ac:dyDescent="0.25">
      <c r="A55" s="131" t="s">
        <v>142</v>
      </c>
      <c r="B55" s="131">
        <v>54</v>
      </c>
      <c r="C55" s="131">
        <v>3</v>
      </c>
      <c r="D55" s="131" t="s">
        <v>82</v>
      </c>
      <c r="E55" s="118" t="s">
        <v>1037</v>
      </c>
      <c r="F55" s="17">
        <f t="shared" si="1"/>
        <v>1</v>
      </c>
      <c r="G55" s="17">
        <f t="shared" si="0"/>
        <v>1</v>
      </c>
    </row>
    <row r="56" spans="1:7" x14ac:dyDescent="0.25">
      <c r="A56" s="131" t="s">
        <v>190</v>
      </c>
      <c r="B56" s="131">
        <v>55</v>
      </c>
      <c r="C56" s="131">
        <v>3</v>
      </c>
      <c r="D56" s="131" t="s">
        <v>82</v>
      </c>
      <c r="E56" s="118" t="s">
        <v>1037</v>
      </c>
      <c r="F56" s="17">
        <f t="shared" si="1"/>
        <v>1</v>
      </c>
      <c r="G56" s="17">
        <f t="shared" si="0"/>
        <v>1</v>
      </c>
    </row>
    <row r="57" spans="1:7" x14ac:dyDescent="0.25">
      <c r="A57" s="132" t="s">
        <v>175</v>
      </c>
      <c r="B57" s="131">
        <v>56</v>
      </c>
      <c r="C57" s="132">
        <v>3</v>
      </c>
      <c r="D57" s="131" t="s">
        <v>82</v>
      </c>
      <c r="E57" s="118" t="s">
        <v>1037</v>
      </c>
      <c r="F57" s="17">
        <f t="shared" si="1"/>
        <v>1</v>
      </c>
      <c r="G57" s="17">
        <f t="shared" si="0"/>
        <v>1</v>
      </c>
    </row>
    <row r="58" spans="1:7" x14ac:dyDescent="0.25">
      <c r="A58" s="132" t="s">
        <v>170</v>
      </c>
      <c r="B58" s="131">
        <v>57</v>
      </c>
      <c r="C58" s="132">
        <v>1</v>
      </c>
      <c r="D58" s="131" t="s">
        <v>15</v>
      </c>
      <c r="E58" s="118" t="s">
        <v>1037</v>
      </c>
      <c r="F58" s="17">
        <f t="shared" si="1"/>
        <v>1</v>
      </c>
      <c r="G58" s="17">
        <f t="shared" si="0"/>
        <v>1</v>
      </c>
    </row>
    <row r="59" spans="1:7" x14ac:dyDescent="0.25">
      <c r="A59" s="133" t="s">
        <v>166</v>
      </c>
      <c r="B59" s="133">
        <v>58</v>
      </c>
      <c r="C59" s="134">
        <v>4</v>
      </c>
      <c r="D59" s="133" t="s">
        <v>9</v>
      </c>
      <c r="E59" s="118" t="s">
        <v>1037</v>
      </c>
      <c r="F59" s="17">
        <f t="shared" si="1"/>
        <v>1</v>
      </c>
      <c r="G59" s="17">
        <f t="shared" si="0"/>
        <v>1</v>
      </c>
    </row>
    <row r="60" spans="1:7" x14ac:dyDescent="0.25">
      <c r="A60" s="133" t="s">
        <v>129</v>
      </c>
      <c r="B60" s="133">
        <v>59</v>
      </c>
      <c r="C60" s="133">
        <v>1</v>
      </c>
      <c r="D60" s="133" t="s">
        <v>15</v>
      </c>
      <c r="E60" s="118" t="s">
        <v>1037</v>
      </c>
      <c r="F60" s="17">
        <f t="shared" si="1"/>
        <v>1</v>
      </c>
      <c r="G60" s="17">
        <f t="shared" si="0"/>
        <v>1</v>
      </c>
    </row>
    <row r="61" spans="1:7" x14ac:dyDescent="0.25">
      <c r="A61" s="133" t="s">
        <v>153</v>
      </c>
      <c r="B61" s="133">
        <v>60</v>
      </c>
      <c r="C61" s="133">
        <v>5</v>
      </c>
      <c r="D61" s="133" t="s">
        <v>138</v>
      </c>
      <c r="E61" s="118" t="s">
        <v>1037</v>
      </c>
      <c r="F61" s="17">
        <f t="shared" si="1"/>
        <v>1</v>
      </c>
      <c r="G61" s="17">
        <f t="shared" si="0"/>
        <v>1</v>
      </c>
    </row>
    <row r="62" spans="1:7" x14ac:dyDescent="0.25">
      <c r="A62" s="133" t="s">
        <v>139</v>
      </c>
      <c r="B62" s="133">
        <v>61</v>
      </c>
      <c r="C62" s="133">
        <v>5</v>
      </c>
      <c r="D62" s="133" t="s">
        <v>138</v>
      </c>
      <c r="E62" s="118" t="s">
        <v>1037</v>
      </c>
      <c r="F62" s="17">
        <f t="shared" si="1"/>
        <v>1</v>
      </c>
      <c r="G62" s="17">
        <f t="shared" si="0"/>
        <v>1</v>
      </c>
    </row>
    <row r="63" spans="1:7" x14ac:dyDescent="0.25">
      <c r="A63" s="134" t="s">
        <v>178</v>
      </c>
      <c r="B63" s="133">
        <v>62</v>
      </c>
      <c r="C63" s="134">
        <v>1</v>
      </c>
      <c r="D63" s="133" t="s">
        <v>15</v>
      </c>
      <c r="E63" s="118" t="s">
        <v>1037</v>
      </c>
      <c r="F63" s="17">
        <f t="shared" si="1"/>
        <v>1</v>
      </c>
      <c r="G63" s="17">
        <f t="shared" si="0"/>
        <v>1</v>
      </c>
    </row>
    <row r="64" spans="1:7" x14ac:dyDescent="0.25">
      <c r="A64" s="135" t="s">
        <v>130</v>
      </c>
      <c r="B64" s="136">
        <v>63</v>
      </c>
      <c r="C64" s="137">
        <v>1</v>
      </c>
      <c r="D64" s="136" t="s">
        <v>15</v>
      </c>
      <c r="E64" s="118" t="s">
        <v>1037</v>
      </c>
      <c r="F64" s="17">
        <f t="shared" si="1"/>
        <v>1</v>
      </c>
      <c r="G64" s="17">
        <f t="shared" si="0"/>
        <v>1</v>
      </c>
    </row>
    <row r="65" spans="1:7" x14ac:dyDescent="0.25">
      <c r="A65" s="135" t="s">
        <v>160</v>
      </c>
      <c r="B65" s="136">
        <v>64</v>
      </c>
      <c r="C65" s="138">
        <v>2</v>
      </c>
      <c r="D65" s="138" t="s">
        <v>18</v>
      </c>
      <c r="E65" s="118" t="s">
        <v>1037</v>
      </c>
      <c r="F65" s="17">
        <f t="shared" si="1"/>
        <v>1</v>
      </c>
      <c r="G65" s="17">
        <f t="shared" si="0"/>
        <v>1</v>
      </c>
    </row>
    <row r="66" spans="1:7" x14ac:dyDescent="0.25">
      <c r="A66" s="135" t="s">
        <v>198</v>
      </c>
      <c r="B66" s="136">
        <v>65</v>
      </c>
      <c r="C66" s="138">
        <v>4</v>
      </c>
      <c r="D66" s="138" t="s">
        <v>9</v>
      </c>
      <c r="E66" s="118" t="s">
        <v>1037</v>
      </c>
      <c r="F66" s="17">
        <f t="shared" si="1"/>
        <v>1</v>
      </c>
      <c r="G66" s="17">
        <f t="shared" si="0"/>
        <v>1</v>
      </c>
    </row>
    <row r="67" spans="1:7" x14ac:dyDescent="0.25">
      <c r="A67" s="135" t="s">
        <v>182</v>
      </c>
      <c r="B67" s="136">
        <v>66</v>
      </c>
      <c r="C67" s="138">
        <v>1</v>
      </c>
      <c r="D67" s="138" t="s">
        <v>15</v>
      </c>
      <c r="E67" s="118" t="s">
        <v>1037</v>
      </c>
      <c r="F67" s="17">
        <f t="shared" si="1"/>
        <v>1</v>
      </c>
      <c r="G67" s="17">
        <f t="shared" ref="G67:G85" si="2">IF(AND(E67="Yes",D67="Spring 5.2"),0.78,1)</f>
        <v>1</v>
      </c>
    </row>
    <row r="68" spans="1:7" x14ac:dyDescent="0.25">
      <c r="A68" s="135" t="s">
        <v>184</v>
      </c>
      <c r="B68" s="136">
        <v>67</v>
      </c>
      <c r="C68" s="138">
        <v>1</v>
      </c>
      <c r="D68" s="138" t="s">
        <v>15</v>
      </c>
      <c r="E68" s="118" t="s">
        <v>1037</v>
      </c>
      <c r="F68" s="17">
        <f t="shared" ref="F68:F85" si="3">IF(AND(E68="Yes",D68="Spring 5.2"),0.2, IF(AND(E68="Yes",D68="Summer 5.2"),0.5,1))</f>
        <v>1</v>
      </c>
      <c r="G68" s="17">
        <f t="shared" si="2"/>
        <v>1</v>
      </c>
    </row>
    <row r="69" spans="1:7" x14ac:dyDescent="0.25">
      <c r="A69" s="139" t="s">
        <v>191</v>
      </c>
      <c r="B69" s="136">
        <v>68</v>
      </c>
      <c r="C69" s="138">
        <v>5</v>
      </c>
      <c r="D69" s="138" t="s">
        <v>138</v>
      </c>
      <c r="E69" s="118" t="s">
        <v>1037</v>
      </c>
      <c r="F69" s="17">
        <f t="shared" si="3"/>
        <v>1</v>
      </c>
      <c r="G69" s="17">
        <f t="shared" si="2"/>
        <v>1</v>
      </c>
    </row>
    <row r="70" spans="1:7" x14ac:dyDescent="0.25">
      <c r="A70" s="140" t="s">
        <v>126</v>
      </c>
      <c r="B70" s="141">
        <v>69</v>
      </c>
      <c r="C70" s="142">
        <v>1</v>
      </c>
      <c r="D70" s="142" t="s">
        <v>15</v>
      </c>
      <c r="E70" s="118" t="s">
        <v>1037</v>
      </c>
      <c r="F70" s="17">
        <f t="shared" si="3"/>
        <v>1</v>
      </c>
      <c r="G70" s="17">
        <f t="shared" si="2"/>
        <v>1</v>
      </c>
    </row>
    <row r="71" spans="1:7" x14ac:dyDescent="0.25">
      <c r="A71" s="140" t="s">
        <v>128</v>
      </c>
      <c r="B71" s="141">
        <v>70</v>
      </c>
      <c r="C71" s="142">
        <v>2</v>
      </c>
      <c r="D71" s="142" t="s">
        <v>18</v>
      </c>
      <c r="E71" s="118" t="s">
        <v>1037</v>
      </c>
      <c r="F71" s="17">
        <f t="shared" si="3"/>
        <v>1</v>
      </c>
      <c r="G71" s="17">
        <f t="shared" si="2"/>
        <v>1</v>
      </c>
    </row>
    <row r="72" spans="1:7" x14ac:dyDescent="0.25">
      <c r="A72" s="140" t="s">
        <v>140</v>
      </c>
      <c r="B72" s="141">
        <v>71</v>
      </c>
      <c r="C72" s="142">
        <v>2</v>
      </c>
      <c r="D72" s="142" t="s">
        <v>18</v>
      </c>
      <c r="E72" s="118" t="s">
        <v>1037</v>
      </c>
      <c r="F72" s="17">
        <f t="shared" si="3"/>
        <v>1</v>
      </c>
      <c r="G72" s="17">
        <f t="shared" si="2"/>
        <v>1</v>
      </c>
    </row>
    <row r="73" spans="1:7" x14ac:dyDescent="0.25">
      <c r="A73" s="140" t="s">
        <v>146</v>
      </c>
      <c r="B73" s="141">
        <v>72</v>
      </c>
      <c r="C73" s="142">
        <v>2</v>
      </c>
      <c r="D73" s="142" t="s">
        <v>18</v>
      </c>
      <c r="E73" s="118" t="s">
        <v>1037</v>
      </c>
      <c r="F73" s="17">
        <f t="shared" si="3"/>
        <v>1</v>
      </c>
      <c r="G73" s="17">
        <f t="shared" si="2"/>
        <v>1</v>
      </c>
    </row>
    <row r="74" spans="1:7" x14ac:dyDescent="0.25">
      <c r="A74" s="140" t="s">
        <v>154</v>
      </c>
      <c r="B74" s="141">
        <v>73</v>
      </c>
      <c r="C74" s="142">
        <v>1</v>
      </c>
      <c r="D74" s="142" t="s">
        <v>15</v>
      </c>
      <c r="E74" s="118" t="s">
        <v>1036</v>
      </c>
      <c r="F74" s="17">
        <f t="shared" si="3"/>
        <v>0.2</v>
      </c>
      <c r="G74" s="17">
        <f t="shared" si="2"/>
        <v>0.78</v>
      </c>
    </row>
    <row r="75" spans="1:7" x14ac:dyDescent="0.25">
      <c r="A75" s="140" t="s">
        <v>158</v>
      </c>
      <c r="B75" s="141">
        <v>74</v>
      </c>
      <c r="C75" s="142">
        <v>2</v>
      </c>
      <c r="D75" s="142" t="s">
        <v>18</v>
      </c>
      <c r="E75" s="118" t="s">
        <v>1036</v>
      </c>
      <c r="F75" s="17">
        <f t="shared" si="3"/>
        <v>0.5</v>
      </c>
      <c r="G75" s="17">
        <f t="shared" si="2"/>
        <v>1</v>
      </c>
    </row>
    <row r="76" spans="1:7" x14ac:dyDescent="0.25">
      <c r="A76" s="140" t="s">
        <v>159</v>
      </c>
      <c r="B76" s="141">
        <v>75</v>
      </c>
      <c r="C76" s="142">
        <v>2</v>
      </c>
      <c r="D76" s="142" t="s">
        <v>18</v>
      </c>
      <c r="E76" s="118" t="s">
        <v>1036</v>
      </c>
      <c r="F76" s="17">
        <f t="shared" si="3"/>
        <v>0.5</v>
      </c>
      <c r="G76" s="17">
        <f t="shared" si="2"/>
        <v>1</v>
      </c>
    </row>
    <row r="77" spans="1:7" x14ac:dyDescent="0.25">
      <c r="A77" s="140" t="s">
        <v>171</v>
      </c>
      <c r="B77" s="141">
        <v>76</v>
      </c>
      <c r="C77" s="142">
        <v>1</v>
      </c>
      <c r="D77" s="142" t="s">
        <v>15</v>
      </c>
      <c r="E77" s="118" t="s">
        <v>1036</v>
      </c>
      <c r="F77" s="17">
        <f t="shared" si="3"/>
        <v>0.2</v>
      </c>
      <c r="G77" s="17">
        <f t="shared" si="2"/>
        <v>0.78</v>
      </c>
    </row>
    <row r="78" spans="1:7" x14ac:dyDescent="0.25">
      <c r="A78" s="140" t="s">
        <v>172</v>
      </c>
      <c r="B78" s="141">
        <v>77</v>
      </c>
      <c r="C78" s="142">
        <v>1</v>
      </c>
      <c r="D78" s="142" t="s">
        <v>15</v>
      </c>
      <c r="E78" s="118" t="s">
        <v>1036</v>
      </c>
      <c r="F78" s="17">
        <f t="shared" si="3"/>
        <v>0.2</v>
      </c>
      <c r="G78" s="17">
        <f t="shared" si="2"/>
        <v>0.78</v>
      </c>
    </row>
    <row r="79" spans="1:7" x14ac:dyDescent="0.25">
      <c r="A79" s="140" t="s">
        <v>177</v>
      </c>
      <c r="B79" s="141">
        <v>78</v>
      </c>
      <c r="C79" s="142">
        <v>2</v>
      </c>
      <c r="D79" s="142" t="s">
        <v>18</v>
      </c>
      <c r="E79" s="118" t="s">
        <v>1036</v>
      </c>
      <c r="F79" s="17">
        <f t="shared" si="3"/>
        <v>0.5</v>
      </c>
      <c r="G79" s="17">
        <f t="shared" si="2"/>
        <v>1</v>
      </c>
    </row>
    <row r="80" spans="1:7" x14ac:dyDescent="0.25">
      <c r="A80" s="140" t="s">
        <v>186</v>
      </c>
      <c r="B80" s="141">
        <v>79</v>
      </c>
      <c r="C80" s="142">
        <v>2</v>
      </c>
      <c r="D80" s="142" t="s">
        <v>18</v>
      </c>
      <c r="E80" s="118" t="s">
        <v>1037</v>
      </c>
      <c r="F80" s="17">
        <f t="shared" si="3"/>
        <v>1</v>
      </c>
      <c r="G80" s="17">
        <f t="shared" si="2"/>
        <v>1</v>
      </c>
    </row>
    <row r="81" spans="1:7" x14ac:dyDescent="0.25">
      <c r="A81" s="140" t="s">
        <v>187</v>
      </c>
      <c r="B81" s="141">
        <v>80</v>
      </c>
      <c r="C81" s="142">
        <v>1</v>
      </c>
      <c r="D81" s="142" t="s">
        <v>15</v>
      </c>
      <c r="E81" s="118" t="s">
        <v>1036</v>
      </c>
      <c r="F81" s="17">
        <f t="shared" si="3"/>
        <v>0.2</v>
      </c>
      <c r="G81" s="17">
        <f t="shared" si="2"/>
        <v>0.78</v>
      </c>
    </row>
    <row r="82" spans="1:7" x14ac:dyDescent="0.25">
      <c r="A82" s="140" t="s">
        <v>196</v>
      </c>
      <c r="B82" s="141">
        <v>81</v>
      </c>
      <c r="C82" s="142">
        <v>2</v>
      </c>
      <c r="D82" s="142" t="s">
        <v>18</v>
      </c>
      <c r="E82" s="118" t="s">
        <v>1037</v>
      </c>
      <c r="F82" s="17">
        <f t="shared" si="3"/>
        <v>1</v>
      </c>
      <c r="G82" s="17">
        <f t="shared" si="2"/>
        <v>1</v>
      </c>
    </row>
    <row r="83" spans="1:7" x14ac:dyDescent="0.25">
      <c r="A83" s="140" t="s">
        <v>200</v>
      </c>
      <c r="B83" s="141">
        <v>82</v>
      </c>
      <c r="C83" s="142">
        <v>4</v>
      </c>
      <c r="D83" s="142" t="s">
        <v>9</v>
      </c>
      <c r="E83" s="118" t="s">
        <v>1037</v>
      </c>
      <c r="F83" s="17">
        <f t="shared" si="3"/>
        <v>1</v>
      </c>
      <c r="G83" s="17">
        <f t="shared" si="2"/>
        <v>1</v>
      </c>
    </row>
    <row r="84" spans="1:7" x14ac:dyDescent="0.25">
      <c r="A84" s="143" t="s">
        <v>253</v>
      </c>
      <c r="B84" s="144">
        <v>83</v>
      </c>
      <c r="C84" s="145">
        <v>1</v>
      </c>
      <c r="D84" s="145" t="s">
        <v>15</v>
      </c>
      <c r="E84" s="118" t="s">
        <v>1036</v>
      </c>
      <c r="F84" s="17">
        <f t="shared" si="3"/>
        <v>0.2</v>
      </c>
      <c r="G84" s="17">
        <f t="shared" si="2"/>
        <v>0.78</v>
      </c>
    </row>
    <row r="85" spans="1:7" x14ac:dyDescent="0.25">
      <c r="A85" s="143" t="s">
        <v>254</v>
      </c>
      <c r="B85" s="144">
        <v>84</v>
      </c>
      <c r="C85" s="145">
        <v>2</v>
      </c>
      <c r="D85" s="145" t="s">
        <v>18</v>
      </c>
      <c r="E85" s="118" t="s">
        <v>1037</v>
      </c>
      <c r="F85" s="17">
        <f t="shared" si="3"/>
        <v>1</v>
      </c>
      <c r="G85" s="17">
        <f t="shared" si="2"/>
        <v>1</v>
      </c>
    </row>
    <row r="86" spans="1:7" x14ac:dyDescent="0.25">
      <c r="E86" s="118"/>
    </row>
    <row r="87" spans="1:7" x14ac:dyDescent="0.25">
      <c r="E87" s="118"/>
    </row>
    <row r="88" spans="1:7" x14ac:dyDescent="0.25">
      <c r="E88" s="118"/>
    </row>
    <row r="89" spans="1:7" x14ac:dyDescent="0.25">
      <c r="E89" s="118"/>
    </row>
    <row r="90" spans="1:7" x14ac:dyDescent="0.25">
      <c r="E90" s="118"/>
    </row>
    <row r="91" spans="1:7" x14ac:dyDescent="0.25">
      <c r="E91" s="118"/>
    </row>
    <row r="92" spans="1:7" x14ac:dyDescent="0.25">
      <c r="E92" s="118"/>
    </row>
    <row r="93" spans="1:7" x14ac:dyDescent="0.25">
      <c r="E93" s="118"/>
    </row>
    <row r="94" spans="1:7" x14ac:dyDescent="0.25">
      <c r="E94" s="118"/>
    </row>
    <row r="95" spans="1:7" x14ac:dyDescent="0.25">
      <c r="E95" s="118"/>
    </row>
    <row r="96" spans="1:7" x14ac:dyDescent="0.25">
      <c r="E96" s="118"/>
    </row>
    <row r="97" spans="5:5" x14ac:dyDescent="0.25">
      <c r="E97" s="118"/>
    </row>
    <row r="98" spans="5:5" x14ac:dyDescent="0.25">
      <c r="E98" s="118"/>
    </row>
    <row r="99" spans="5:5" x14ac:dyDescent="0.25">
      <c r="E99" s="118"/>
    </row>
    <row r="100" spans="5:5" x14ac:dyDescent="0.25">
      <c r="E100" s="118"/>
    </row>
    <row r="101" spans="5:5" x14ac:dyDescent="0.25">
      <c r="E101" s="118"/>
    </row>
    <row r="102" spans="5:5" x14ac:dyDescent="0.25">
      <c r="E102" s="118"/>
    </row>
    <row r="103" spans="5:5" x14ac:dyDescent="0.25">
      <c r="E103" s="118"/>
    </row>
    <row r="104" spans="5:5" x14ac:dyDescent="0.25">
      <c r="E104" s="118"/>
    </row>
    <row r="105" spans="5:5" x14ac:dyDescent="0.25">
      <c r="E105" s="118"/>
    </row>
  </sheetData>
  <phoneticPr fontId="67" type="noConversion"/>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L117"/>
  <sheetViews>
    <sheetView workbookViewId="0">
      <pane ySplit="1500" topLeftCell="A25" activePane="bottomLeft"/>
      <selection activeCell="L1" sqref="L1"/>
      <selection pane="bottomLeft" activeCell="D31" sqref="D31"/>
    </sheetView>
  </sheetViews>
  <sheetFormatPr defaultRowHeight="15" x14ac:dyDescent="0.25"/>
  <cols>
    <col min="1" max="1" width="19.42578125" customWidth="1"/>
    <col min="2" max="2" width="29" customWidth="1"/>
    <col min="3" max="3" width="5.85546875" style="59" customWidth="1"/>
    <col min="4" max="10" width="5.85546875" customWidth="1"/>
    <col min="11" max="11" width="5.42578125" customWidth="1"/>
  </cols>
  <sheetData>
    <row r="1" spans="1:12" ht="57" x14ac:dyDescent="0.25">
      <c r="A1" s="52" t="s">
        <v>434</v>
      </c>
      <c r="B1" s="15" t="s">
        <v>433</v>
      </c>
      <c r="C1" s="56" t="s">
        <v>119</v>
      </c>
      <c r="D1" s="16" t="s">
        <v>435</v>
      </c>
      <c r="E1" s="16" t="s">
        <v>120</v>
      </c>
      <c r="F1" s="16" t="s">
        <v>121</v>
      </c>
      <c r="G1" s="16" t="s">
        <v>201</v>
      </c>
      <c r="H1" s="16" t="s">
        <v>122</v>
      </c>
      <c r="I1" s="16" t="s">
        <v>123</v>
      </c>
      <c r="J1" s="16" t="s">
        <v>124</v>
      </c>
      <c r="K1" s="117" t="s">
        <v>143</v>
      </c>
      <c r="L1" s="117" t="s">
        <v>1035</v>
      </c>
    </row>
    <row r="2" spans="1:12" x14ac:dyDescent="0.25">
      <c r="A2" s="12" t="s">
        <v>359</v>
      </c>
      <c r="B2" s="14" t="s">
        <v>59</v>
      </c>
      <c r="C2" s="55">
        <v>1</v>
      </c>
      <c r="D2" s="14">
        <v>9</v>
      </c>
      <c r="E2" s="14"/>
      <c r="F2" s="14"/>
      <c r="G2" s="14"/>
      <c r="H2" s="14"/>
      <c r="I2" s="14"/>
      <c r="J2" s="14"/>
      <c r="L2" s="118" t="s">
        <v>1037</v>
      </c>
    </row>
    <row r="3" spans="1:12" x14ac:dyDescent="0.25">
      <c r="A3" s="12" t="s">
        <v>337</v>
      </c>
      <c r="B3" s="14" t="s">
        <v>43</v>
      </c>
      <c r="C3" s="55">
        <v>2</v>
      </c>
      <c r="D3" s="14">
        <v>9</v>
      </c>
      <c r="E3" s="14"/>
      <c r="F3" s="14"/>
      <c r="G3" s="14"/>
      <c r="H3" s="14"/>
      <c r="I3" s="14"/>
      <c r="J3" s="14"/>
      <c r="L3" s="118" t="s">
        <v>1036</v>
      </c>
    </row>
    <row r="4" spans="1:12" x14ac:dyDescent="0.25">
      <c r="A4" s="12" t="s">
        <v>344</v>
      </c>
      <c r="B4" s="14" t="s">
        <v>94</v>
      </c>
      <c r="C4" s="55">
        <v>3</v>
      </c>
      <c r="D4" s="14">
        <v>9</v>
      </c>
      <c r="E4" s="14"/>
      <c r="F4" s="14"/>
      <c r="G4" s="14"/>
      <c r="H4" s="14"/>
      <c r="I4" s="14"/>
      <c r="J4" s="14"/>
      <c r="L4" s="118" t="s">
        <v>1036</v>
      </c>
    </row>
    <row r="5" spans="1:12" x14ac:dyDescent="0.25">
      <c r="A5" s="12" t="s">
        <v>352</v>
      </c>
      <c r="B5" s="14" t="s">
        <v>54</v>
      </c>
      <c r="C5" s="55">
        <v>4</v>
      </c>
      <c r="D5" s="14">
        <v>9</v>
      </c>
      <c r="E5" s="14"/>
      <c r="F5" s="14"/>
      <c r="G5" s="14"/>
      <c r="H5" s="14"/>
      <c r="I5" s="14"/>
      <c r="J5" s="14"/>
      <c r="L5" s="118" t="s">
        <v>1036</v>
      </c>
    </row>
    <row r="6" spans="1:12" x14ac:dyDescent="0.25">
      <c r="A6" s="12" t="s">
        <v>343</v>
      </c>
      <c r="B6" s="14" t="s">
        <v>48</v>
      </c>
      <c r="C6" s="55">
        <v>5</v>
      </c>
      <c r="D6" s="14">
        <v>9</v>
      </c>
      <c r="E6" s="14"/>
      <c r="F6" s="14"/>
      <c r="G6" s="14"/>
      <c r="H6" s="14"/>
      <c r="I6" s="14"/>
      <c r="J6" s="14"/>
      <c r="L6" s="118" t="s">
        <v>1036</v>
      </c>
    </row>
    <row r="7" spans="1:12" x14ac:dyDescent="0.25">
      <c r="A7" s="12" t="s">
        <v>347</v>
      </c>
      <c r="B7" s="14" t="s">
        <v>52</v>
      </c>
      <c r="C7" s="55">
        <v>6</v>
      </c>
      <c r="D7" s="14">
        <v>9</v>
      </c>
      <c r="E7" s="14"/>
      <c r="F7" s="14"/>
      <c r="G7" s="14"/>
      <c r="H7" s="14"/>
      <c r="I7" s="14"/>
      <c r="J7" s="14"/>
      <c r="L7" s="118" t="s">
        <v>1036</v>
      </c>
    </row>
    <row r="8" spans="1:12" x14ac:dyDescent="0.25">
      <c r="A8" s="12" t="s">
        <v>361</v>
      </c>
      <c r="B8" s="14" t="s">
        <v>61</v>
      </c>
      <c r="C8" s="55">
        <v>7</v>
      </c>
      <c r="D8" s="14">
        <v>7</v>
      </c>
      <c r="E8" s="14"/>
      <c r="F8" s="14"/>
      <c r="G8" s="14"/>
      <c r="H8" s="14"/>
      <c r="I8" s="14"/>
      <c r="J8" s="14"/>
      <c r="L8" s="118" t="s">
        <v>1036</v>
      </c>
    </row>
    <row r="9" spans="1:12" x14ac:dyDescent="0.25">
      <c r="A9" s="12" t="s">
        <v>362</v>
      </c>
      <c r="C9" s="55">
        <v>7</v>
      </c>
      <c r="D9" s="55">
        <v>7</v>
      </c>
      <c r="L9" s="118" t="s">
        <v>1036</v>
      </c>
    </row>
    <row r="10" spans="1:12" x14ac:dyDescent="0.25">
      <c r="A10" s="12" t="s">
        <v>338</v>
      </c>
      <c r="B10" s="14" t="s">
        <v>44</v>
      </c>
      <c r="C10" s="55">
        <v>8</v>
      </c>
      <c r="D10" s="14">
        <v>9</v>
      </c>
      <c r="E10" s="14"/>
      <c r="F10" s="14"/>
      <c r="G10" s="14"/>
      <c r="H10" s="14"/>
      <c r="I10" s="14"/>
      <c r="J10" s="14"/>
      <c r="L10" s="118" t="s">
        <v>1036</v>
      </c>
    </row>
    <row r="11" spans="1:12" x14ac:dyDescent="0.25">
      <c r="A11" s="12" t="s">
        <v>348</v>
      </c>
      <c r="B11" s="14" t="s">
        <v>53</v>
      </c>
      <c r="C11" s="55">
        <v>9</v>
      </c>
      <c r="D11" s="14">
        <v>9</v>
      </c>
      <c r="E11" s="14"/>
      <c r="F11" s="14"/>
      <c r="G11" s="14"/>
      <c r="H11" s="14"/>
      <c r="I11" s="14"/>
      <c r="J11" s="14"/>
      <c r="L11" s="118" t="s">
        <v>1036</v>
      </c>
    </row>
    <row r="12" spans="1:12" x14ac:dyDescent="0.25">
      <c r="A12" s="12" t="s">
        <v>363</v>
      </c>
      <c r="B12" s="14" t="s">
        <v>62</v>
      </c>
      <c r="C12" s="55">
        <v>10</v>
      </c>
      <c r="D12" s="14">
        <v>9</v>
      </c>
      <c r="E12" s="14"/>
      <c r="F12" s="14"/>
      <c r="G12" s="14"/>
      <c r="H12" s="14"/>
      <c r="I12" s="14"/>
      <c r="J12" s="14"/>
      <c r="L12" s="118" t="s">
        <v>1036</v>
      </c>
    </row>
    <row r="13" spans="1:12" x14ac:dyDescent="0.25">
      <c r="A13" s="12" t="s">
        <v>345</v>
      </c>
      <c r="B13" s="14" t="s">
        <v>49</v>
      </c>
      <c r="C13" s="55">
        <v>11</v>
      </c>
      <c r="D13" s="14">
        <v>1</v>
      </c>
      <c r="E13" s="14"/>
      <c r="F13" s="14"/>
      <c r="G13" s="14"/>
      <c r="H13" s="14"/>
      <c r="I13" s="14"/>
      <c r="J13" s="14">
        <v>11</v>
      </c>
      <c r="L13" s="118" t="s">
        <v>1036</v>
      </c>
    </row>
    <row r="14" spans="1:12" x14ac:dyDescent="0.25">
      <c r="A14" s="12" t="s">
        <v>360</v>
      </c>
      <c r="B14" s="14" t="s">
        <v>60</v>
      </c>
      <c r="C14" s="55">
        <v>11</v>
      </c>
      <c r="D14" s="14">
        <v>1</v>
      </c>
      <c r="E14" s="14"/>
      <c r="F14" s="14"/>
      <c r="G14" s="14"/>
      <c r="H14" s="14"/>
      <c r="I14" s="14"/>
      <c r="J14" s="14">
        <v>11</v>
      </c>
      <c r="L14" s="118" t="s">
        <v>1036</v>
      </c>
    </row>
    <row r="15" spans="1:12" x14ac:dyDescent="0.25">
      <c r="A15" s="12" t="s">
        <v>225</v>
      </c>
      <c r="B15" s="14" t="s">
        <v>95</v>
      </c>
      <c r="C15" s="55">
        <v>12</v>
      </c>
      <c r="D15" s="14">
        <v>9</v>
      </c>
      <c r="E15" s="14"/>
      <c r="F15" s="14"/>
      <c r="G15" s="14"/>
      <c r="H15" s="14"/>
      <c r="I15" s="14"/>
      <c r="J15" s="14"/>
      <c r="L15" s="118" t="s">
        <v>1036</v>
      </c>
    </row>
    <row r="16" spans="1:12" x14ac:dyDescent="0.25">
      <c r="A16" s="12" t="s">
        <v>238</v>
      </c>
      <c r="B16" s="14" t="s">
        <v>56</v>
      </c>
      <c r="C16" s="55">
        <v>13</v>
      </c>
      <c r="D16" s="14">
        <v>9</v>
      </c>
      <c r="E16" s="14"/>
      <c r="F16" s="14"/>
      <c r="G16" s="14"/>
      <c r="H16" s="14"/>
      <c r="I16" s="14"/>
      <c r="J16" s="14"/>
      <c r="L16" s="118" t="s">
        <v>1036</v>
      </c>
    </row>
    <row r="17" spans="1:12" x14ac:dyDescent="0.25">
      <c r="A17" s="12" t="s">
        <v>331</v>
      </c>
      <c r="B17" s="53" t="s">
        <v>39</v>
      </c>
      <c r="C17" s="58">
        <v>14</v>
      </c>
      <c r="D17" s="53">
        <v>2</v>
      </c>
      <c r="E17" s="53"/>
      <c r="F17" s="53"/>
      <c r="G17" s="53"/>
      <c r="H17" s="53"/>
      <c r="I17" s="53">
        <v>14</v>
      </c>
      <c r="J17" s="53"/>
      <c r="L17" s="118" t="s">
        <v>1036</v>
      </c>
    </row>
    <row r="18" spans="1:12" x14ac:dyDescent="0.25">
      <c r="A18" s="12" t="s">
        <v>218</v>
      </c>
      <c r="B18" s="14" t="s">
        <v>40</v>
      </c>
      <c r="C18" s="55">
        <v>14</v>
      </c>
      <c r="D18" s="14">
        <v>2</v>
      </c>
      <c r="E18" s="14"/>
      <c r="F18" s="14"/>
      <c r="G18" s="14"/>
      <c r="H18" s="14"/>
      <c r="I18" s="14">
        <v>14</v>
      </c>
      <c r="J18" s="14"/>
      <c r="L18" s="118" t="s">
        <v>1036</v>
      </c>
    </row>
    <row r="19" spans="1:12" x14ac:dyDescent="0.25">
      <c r="A19" s="12" t="s">
        <v>339</v>
      </c>
      <c r="B19" s="14" t="s">
        <v>45</v>
      </c>
      <c r="C19" s="55">
        <v>14</v>
      </c>
      <c r="D19" s="14">
        <v>2</v>
      </c>
      <c r="E19" s="14"/>
      <c r="F19" s="14"/>
      <c r="G19" s="14"/>
      <c r="H19" s="14"/>
      <c r="I19" s="14">
        <v>14</v>
      </c>
      <c r="J19" s="14"/>
      <c r="L19" s="118" t="s">
        <v>1036</v>
      </c>
    </row>
    <row r="20" spans="1:12" x14ac:dyDescent="0.25">
      <c r="A20" s="12" t="s">
        <v>232</v>
      </c>
      <c r="B20" s="14" t="s">
        <v>51</v>
      </c>
      <c r="C20" s="55">
        <v>14</v>
      </c>
      <c r="D20" s="14">
        <v>2</v>
      </c>
      <c r="E20" s="14"/>
      <c r="F20" s="14"/>
      <c r="G20" s="14"/>
      <c r="H20" s="14"/>
      <c r="I20" s="14">
        <v>14</v>
      </c>
      <c r="J20" s="14"/>
      <c r="L20" s="118" t="s">
        <v>1036</v>
      </c>
    </row>
    <row r="21" spans="1:12" x14ac:dyDescent="0.25">
      <c r="A21" s="12" t="s">
        <v>335</v>
      </c>
      <c r="B21" s="14" t="s">
        <v>41</v>
      </c>
      <c r="C21" s="55">
        <v>15</v>
      </c>
      <c r="D21" s="14">
        <v>3</v>
      </c>
      <c r="E21" s="14"/>
      <c r="F21" s="14"/>
      <c r="G21" s="14"/>
      <c r="H21" s="14">
        <v>15</v>
      </c>
      <c r="I21" s="14"/>
      <c r="J21" s="14"/>
      <c r="L21" s="118" t="s">
        <v>1036</v>
      </c>
    </row>
    <row r="22" spans="1:12" x14ac:dyDescent="0.25">
      <c r="A22" s="12" t="s">
        <v>229</v>
      </c>
      <c r="B22" s="14" t="s">
        <v>42</v>
      </c>
      <c r="C22" s="55">
        <v>15</v>
      </c>
      <c r="D22" s="14">
        <v>3</v>
      </c>
      <c r="E22" s="14"/>
      <c r="F22" s="14"/>
      <c r="G22" s="14"/>
      <c r="H22" s="14">
        <v>15</v>
      </c>
      <c r="I22" s="14"/>
      <c r="J22" s="14"/>
      <c r="L22" s="118" t="s">
        <v>1036</v>
      </c>
    </row>
    <row r="23" spans="1:12" x14ac:dyDescent="0.25">
      <c r="A23" s="12" t="s">
        <v>341</v>
      </c>
      <c r="B23" s="14" t="s">
        <v>46</v>
      </c>
      <c r="C23" s="55">
        <v>15</v>
      </c>
      <c r="D23" s="14">
        <v>3</v>
      </c>
      <c r="E23" s="14"/>
      <c r="F23" s="14"/>
      <c r="G23" s="14"/>
      <c r="H23" s="14">
        <v>15</v>
      </c>
      <c r="I23" s="14"/>
      <c r="J23" s="14"/>
      <c r="L23" s="118" t="s">
        <v>1036</v>
      </c>
    </row>
    <row r="24" spans="1:12" x14ac:dyDescent="0.25">
      <c r="A24" s="12" t="s">
        <v>346</v>
      </c>
      <c r="B24" s="14" t="s">
        <v>50</v>
      </c>
      <c r="C24" s="55">
        <v>15</v>
      </c>
      <c r="D24" s="14">
        <v>3</v>
      </c>
      <c r="E24" s="14"/>
      <c r="F24" s="14"/>
      <c r="G24" s="14"/>
      <c r="H24" s="14">
        <v>15</v>
      </c>
      <c r="I24" s="14"/>
      <c r="J24" s="14"/>
      <c r="L24" s="118" t="s">
        <v>1036</v>
      </c>
    </row>
    <row r="25" spans="1:12" x14ac:dyDescent="0.25">
      <c r="A25" s="12" t="s">
        <v>679</v>
      </c>
      <c r="B25" s="14"/>
      <c r="C25" s="55">
        <v>15</v>
      </c>
      <c r="D25" s="14">
        <v>3</v>
      </c>
      <c r="E25" s="14"/>
      <c r="F25" s="14"/>
      <c r="G25" s="14"/>
      <c r="H25" s="14">
        <v>15</v>
      </c>
      <c r="I25" s="14"/>
      <c r="J25" s="14"/>
      <c r="L25" s="118" t="s">
        <v>1036</v>
      </c>
    </row>
    <row r="26" spans="1:12" x14ac:dyDescent="0.25">
      <c r="A26" s="12" t="s">
        <v>355</v>
      </c>
      <c r="B26" s="14" t="s">
        <v>55</v>
      </c>
      <c r="C26" s="55">
        <v>15</v>
      </c>
      <c r="D26" s="14">
        <v>3</v>
      </c>
      <c r="E26" s="14"/>
      <c r="F26" s="14"/>
      <c r="G26" s="14"/>
      <c r="H26" s="14">
        <v>15</v>
      </c>
      <c r="L26" s="118" t="s">
        <v>1036</v>
      </c>
    </row>
    <row r="27" spans="1:12" x14ac:dyDescent="0.25">
      <c r="A27" s="12" t="s">
        <v>358</v>
      </c>
      <c r="B27" s="14" t="s">
        <v>58</v>
      </c>
      <c r="C27" s="55">
        <v>15</v>
      </c>
      <c r="D27" s="14">
        <v>3</v>
      </c>
      <c r="E27" s="14"/>
      <c r="F27" s="14"/>
      <c r="G27" s="14"/>
      <c r="H27" s="14">
        <v>15</v>
      </c>
      <c r="I27" s="14"/>
      <c r="J27" s="14"/>
      <c r="L27" s="118" t="s">
        <v>1036</v>
      </c>
    </row>
    <row r="28" spans="1:12" x14ac:dyDescent="0.25">
      <c r="A28" s="12" t="s">
        <v>365</v>
      </c>
      <c r="B28" s="14" t="s">
        <v>63</v>
      </c>
      <c r="C28" s="55">
        <v>16</v>
      </c>
      <c r="D28" s="14">
        <v>4</v>
      </c>
      <c r="E28" s="14"/>
      <c r="F28" s="14"/>
      <c r="G28" s="14">
        <v>16</v>
      </c>
      <c r="H28" s="14"/>
      <c r="I28" s="14"/>
      <c r="J28" s="14"/>
      <c r="L28" s="118" t="s">
        <v>1036</v>
      </c>
    </row>
    <row r="29" spans="1:12" x14ac:dyDescent="0.25">
      <c r="A29" s="12" t="s">
        <v>366</v>
      </c>
      <c r="B29" s="14" t="s">
        <v>64</v>
      </c>
      <c r="C29" s="55">
        <v>16</v>
      </c>
      <c r="D29" s="14">
        <v>4</v>
      </c>
      <c r="E29" s="14"/>
      <c r="F29" s="14"/>
      <c r="G29" s="14">
        <v>16</v>
      </c>
      <c r="H29" s="14"/>
      <c r="I29" s="14"/>
      <c r="J29" s="14"/>
      <c r="L29" s="118" t="s">
        <v>1036</v>
      </c>
    </row>
    <row r="30" spans="1:12" x14ac:dyDescent="0.25">
      <c r="A30" s="12" t="s">
        <v>354</v>
      </c>
      <c r="C30" s="55">
        <v>17</v>
      </c>
      <c r="D30" s="55">
        <v>9</v>
      </c>
      <c r="L30" s="118" t="s">
        <v>1036</v>
      </c>
    </row>
    <row r="31" spans="1:12" x14ac:dyDescent="0.25">
      <c r="A31" s="12" t="s">
        <v>241</v>
      </c>
      <c r="B31" s="14"/>
      <c r="C31" s="55">
        <v>18</v>
      </c>
      <c r="D31" s="14">
        <v>9</v>
      </c>
      <c r="E31" s="14"/>
      <c r="F31" s="14"/>
      <c r="G31" s="14"/>
      <c r="H31" s="14"/>
      <c r="I31" s="14"/>
      <c r="J31" s="14"/>
      <c r="L31" s="118" t="s">
        <v>1036</v>
      </c>
    </row>
    <row r="32" spans="1:12" x14ac:dyDescent="0.25">
      <c r="A32" s="12" t="s">
        <v>319</v>
      </c>
      <c r="B32" s="14" t="s">
        <v>37</v>
      </c>
      <c r="C32" s="55">
        <v>19</v>
      </c>
      <c r="D32" s="14">
        <v>9</v>
      </c>
      <c r="E32" s="14"/>
      <c r="F32" s="14"/>
      <c r="G32" s="14"/>
      <c r="H32" s="14"/>
      <c r="I32" s="14"/>
      <c r="J32" s="14"/>
      <c r="L32" s="118" t="s">
        <v>1036</v>
      </c>
    </row>
    <row r="33" spans="1:12" x14ac:dyDescent="0.25">
      <c r="A33" s="12" t="s">
        <v>327</v>
      </c>
      <c r="B33" s="14" t="s">
        <v>91</v>
      </c>
      <c r="C33" s="55">
        <v>20</v>
      </c>
      <c r="D33" s="14">
        <v>9</v>
      </c>
      <c r="E33" s="14"/>
      <c r="F33" s="14"/>
      <c r="G33" s="14"/>
      <c r="H33" s="14"/>
      <c r="I33" s="14"/>
      <c r="J33" s="14"/>
      <c r="L33" s="118" t="s">
        <v>1036</v>
      </c>
    </row>
    <row r="34" spans="1:12" x14ac:dyDescent="0.25">
      <c r="A34" s="12" t="s">
        <v>295</v>
      </c>
      <c r="B34" s="14" t="s">
        <v>28</v>
      </c>
      <c r="C34" s="55">
        <v>21</v>
      </c>
      <c r="D34" s="14">
        <v>9</v>
      </c>
      <c r="E34" s="14"/>
      <c r="F34" s="14"/>
      <c r="G34" s="14"/>
      <c r="H34" s="14"/>
      <c r="I34" s="14"/>
      <c r="J34" s="14"/>
      <c r="L34" s="118" t="s">
        <v>1036</v>
      </c>
    </row>
    <row r="35" spans="1:12" x14ac:dyDescent="0.25">
      <c r="A35" s="12" t="s">
        <v>290</v>
      </c>
      <c r="B35" s="14" t="s">
        <v>26</v>
      </c>
      <c r="C35" s="55">
        <v>22</v>
      </c>
      <c r="D35" s="14">
        <v>9</v>
      </c>
      <c r="E35" s="14"/>
      <c r="F35" s="14"/>
      <c r="G35" s="14"/>
      <c r="H35" s="14"/>
      <c r="I35" s="14"/>
      <c r="J35" s="14"/>
      <c r="L35" s="118" t="s">
        <v>1036</v>
      </c>
    </row>
    <row r="36" spans="1:12" x14ac:dyDescent="0.25">
      <c r="A36" s="12" t="s">
        <v>215</v>
      </c>
      <c r="B36" s="14" t="s">
        <v>24</v>
      </c>
      <c r="C36" s="55">
        <v>23</v>
      </c>
      <c r="D36" s="14">
        <v>5</v>
      </c>
      <c r="E36" s="14"/>
      <c r="F36" s="14">
        <v>23</v>
      </c>
      <c r="G36" s="14"/>
      <c r="H36" s="14"/>
      <c r="I36" s="14"/>
      <c r="J36" s="14"/>
      <c r="L36" s="118" t="s">
        <v>1036</v>
      </c>
    </row>
    <row r="37" spans="1:12" x14ac:dyDescent="0.25">
      <c r="A37" s="12" t="s">
        <v>234</v>
      </c>
      <c r="B37" s="14" t="s">
        <v>31</v>
      </c>
      <c r="C37" s="55">
        <v>23</v>
      </c>
      <c r="D37" s="14">
        <v>5</v>
      </c>
      <c r="E37" s="14"/>
      <c r="F37" s="14">
        <v>23</v>
      </c>
      <c r="G37" s="14"/>
      <c r="H37" s="14"/>
      <c r="I37" s="14"/>
      <c r="J37" s="14"/>
      <c r="L37" s="118" t="s">
        <v>1036</v>
      </c>
    </row>
    <row r="38" spans="1:12" x14ac:dyDescent="0.25">
      <c r="A38" s="12" t="s">
        <v>242</v>
      </c>
      <c r="B38" s="14" t="s">
        <v>32</v>
      </c>
      <c r="C38" s="55">
        <v>23</v>
      </c>
      <c r="D38" s="14">
        <v>5</v>
      </c>
      <c r="E38" s="14"/>
      <c r="F38" s="14">
        <v>23</v>
      </c>
      <c r="G38" s="14"/>
      <c r="H38" s="14"/>
      <c r="I38" s="14"/>
      <c r="J38" s="14"/>
      <c r="L38" s="118" t="s">
        <v>1036</v>
      </c>
    </row>
    <row r="39" spans="1:12" x14ac:dyDescent="0.25">
      <c r="A39" s="12" t="s">
        <v>223</v>
      </c>
      <c r="B39" s="14" t="s">
        <v>27</v>
      </c>
      <c r="C39" s="55">
        <v>24</v>
      </c>
      <c r="D39" s="14">
        <v>8</v>
      </c>
      <c r="E39" s="14"/>
      <c r="F39" s="14"/>
      <c r="G39" s="14"/>
      <c r="H39" s="14"/>
      <c r="I39" s="14"/>
      <c r="J39" s="14"/>
      <c r="K39">
        <v>24</v>
      </c>
      <c r="L39" s="118" t="s">
        <v>1036</v>
      </c>
    </row>
    <row r="40" spans="1:12" x14ac:dyDescent="0.25">
      <c r="A40" s="12" t="s">
        <v>286</v>
      </c>
      <c r="B40" s="14"/>
      <c r="C40" s="55">
        <v>24</v>
      </c>
      <c r="D40" s="14">
        <v>8</v>
      </c>
      <c r="E40" s="14"/>
      <c r="F40" s="14"/>
      <c r="G40" s="14"/>
      <c r="H40" s="14"/>
      <c r="I40" s="14"/>
      <c r="J40" s="14"/>
      <c r="K40">
        <v>24</v>
      </c>
      <c r="L40" s="118" t="s">
        <v>1036</v>
      </c>
    </row>
    <row r="41" spans="1:12" x14ac:dyDescent="0.25">
      <c r="A41" s="12" t="s">
        <v>296</v>
      </c>
      <c r="B41" s="14"/>
      <c r="C41" s="55">
        <v>24</v>
      </c>
      <c r="D41" s="14">
        <v>8</v>
      </c>
      <c r="E41" s="14"/>
      <c r="F41" s="14"/>
      <c r="G41" s="14"/>
      <c r="H41" s="14"/>
      <c r="I41" s="14"/>
      <c r="J41" s="14"/>
      <c r="K41">
        <v>24</v>
      </c>
      <c r="L41" s="118" t="s">
        <v>1036</v>
      </c>
    </row>
    <row r="42" spans="1:12" x14ac:dyDescent="0.25">
      <c r="A42" s="12" t="s">
        <v>310</v>
      </c>
      <c r="B42" s="14"/>
      <c r="C42" s="55">
        <v>24</v>
      </c>
      <c r="D42" s="14">
        <v>8</v>
      </c>
      <c r="E42" s="14"/>
      <c r="F42" s="14"/>
      <c r="G42" s="14"/>
      <c r="H42" s="14"/>
      <c r="I42" s="14"/>
      <c r="J42" s="14"/>
      <c r="K42">
        <v>24</v>
      </c>
      <c r="L42" s="118" t="s">
        <v>1036</v>
      </c>
    </row>
    <row r="43" spans="1:12" x14ac:dyDescent="0.25">
      <c r="A43" s="12" t="s">
        <v>236</v>
      </c>
      <c r="C43" s="55">
        <v>25</v>
      </c>
      <c r="D43" s="55">
        <v>9</v>
      </c>
      <c r="L43" s="118" t="s">
        <v>1036</v>
      </c>
    </row>
    <row r="44" spans="1:12" x14ac:dyDescent="0.25">
      <c r="A44" s="12" t="s">
        <v>312</v>
      </c>
      <c r="B44" s="14"/>
      <c r="C44" s="55">
        <v>26</v>
      </c>
      <c r="D44" s="14">
        <v>9</v>
      </c>
      <c r="E44" s="14"/>
      <c r="F44" s="14"/>
      <c r="G44" s="14"/>
      <c r="H44" s="14"/>
      <c r="I44" s="14"/>
      <c r="J44" s="14"/>
      <c r="L44" s="118" t="s">
        <v>1036</v>
      </c>
    </row>
    <row r="45" spans="1:12" x14ac:dyDescent="0.25">
      <c r="A45" s="12" t="s">
        <v>231</v>
      </c>
      <c r="B45" s="14"/>
      <c r="C45" s="55">
        <v>27</v>
      </c>
      <c r="D45" s="14">
        <v>9</v>
      </c>
      <c r="E45" s="14"/>
      <c r="F45" s="14"/>
      <c r="G45" s="14"/>
      <c r="H45" s="14"/>
      <c r="I45" s="14"/>
      <c r="J45" s="14"/>
      <c r="L45" s="118" t="s">
        <v>1036</v>
      </c>
    </row>
    <row r="46" spans="1:12" x14ac:dyDescent="0.25">
      <c r="A46" s="12" t="s">
        <v>221</v>
      </c>
      <c r="B46" s="14" t="s">
        <v>34</v>
      </c>
      <c r="C46" s="55">
        <v>28</v>
      </c>
      <c r="D46" s="14">
        <v>9</v>
      </c>
      <c r="E46" s="14"/>
      <c r="F46" s="14"/>
      <c r="G46" s="14"/>
      <c r="H46" s="14"/>
      <c r="I46" s="14"/>
      <c r="J46" s="14"/>
      <c r="L46" s="118" t="s">
        <v>1036</v>
      </c>
    </row>
    <row r="47" spans="1:12" x14ac:dyDescent="0.25">
      <c r="A47" s="12" t="s">
        <v>293</v>
      </c>
      <c r="B47" s="14"/>
      <c r="C47" s="55">
        <v>29</v>
      </c>
      <c r="D47" s="14">
        <v>9</v>
      </c>
      <c r="E47" s="14"/>
      <c r="F47" s="14"/>
      <c r="G47" s="14"/>
      <c r="H47" s="14"/>
      <c r="I47" s="14"/>
      <c r="J47" s="14"/>
      <c r="L47" s="118" t="s">
        <v>1036</v>
      </c>
    </row>
    <row r="48" spans="1:12" x14ac:dyDescent="0.25">
      <c r="A48" s="12" t="s">
        <v>292</v>
      </c>
      <c r="B48" s="14"/>
      <c r="C48" s="55">
        <v>30</v>
      </c>
      <c r="D48" s="14">
        <v>9</v>
      </c>
      <c r="E48" s="14"/>
      <c r="F48" s="14"/>
      <c r="G48" s="14"/>
      <c r="H48" s="14"/>
      <c r="I48" s="14"/>
      <c r="J48" s="14"/>
      <c r="L48" s="118" t="s">
        <v>1036</v>
      </c>
    </row>
    <row r="49" spans="1:12" x14ac:dyDescent="0.25">
      <c r="A49" s="12" t="s">
        <v>314</v>
      </c>
      <c r="B49" s="14"/>
      <c r="C49" s="55">
        <v>31</v>
      </c>
      <c r="D49" s="14">
        <v>9</v>
      </c>
      <c r="E49" s="14"/>
      <c r="F49" s="14"/>
      <c r="G49" s="14"/>
      <c r="H49" s="14"/>
      <c r="I49" s="14"/>
      <c r="J49" s="14"/>
      <c r="L49" s="118" t="s">
        <v>1036</v>
      </c>
    </row>
    <row r="50" spans="1:12" x14ac:dyDescent="0.25">
      <c r="A50" s="12" t="s">
        <v>329</v>
      </c>
      <c r="C50" s="59">
        <v>32</v>
      </c>
      <c r="D50">
        <v>9</v>
      </c>
      <c r="L50" s="118" t="s">
        <v>1036</v>
      </c>
    </row>
    <row r="51" spans="1:12" x14ac:dyDescent="0.25">
      <c r="A51" s="12" t="s">
        <v>219</v>
      </c>
      <c r="B51" s="14"/>
      <c r="C51" s="55">
        <v>33</v>
      </c>
      <c r="D51" s="14">
        <v>9</v>
      </c>
      <c r="E51" s="14"/>
      <c r="F51" s="14"/>
      <c r="G51" s="14"/>
      <c r="H51" s="14"/>
      <c r="I51" s="14"/>
      <c r="J51" s="14"/>
      <c r="L51" s="118" t="s">
        <v>1037</v>
      </c>
    </row>
    <row r="52" spans="1:12" x14ac:dyDescent="0.25">
      <c r="A52" s="12" t="s">
        <v>285</v>
      </c>
      <c r="B52" s="14" t="s">
        <v>17</v>
      </c>
      <c r="C52" s="55">
        <v>34</v>
      </c>
      <c r="D52" s="14">
        <v>9</v>
      </c>
      <c r="E52" s="14"/>
      <c r="F52" s="14"/>
      <c r="G52" s="14"/>
      <c r="H52" s="14"/>
      <c r="I52" s="14"/>
      <c r="J52" s="14"/>
      <c r="L52" s="118" t="s">
        <v>1037</v>
      </c>
    </row>
    <row r="53" spans="1:12" x14ac:dyDescent="0.25">
      <c r="A53" s="12" t="s">
        <v>325</v>
      </c>
      <c r="C53" s="55">
        <v>35</v>
      </c>
      <c r="D53" s="55">
        <v>9</v>
      </c>
      <c r="L53" s="118" t="s">
        <v>1037</v>
      </c>
    </row>
    <row r="54" spans="1:12" x14ac:dyDescent="0.25">
      <c r="A54" s="12" t="s">
        <v>424</v>
      </c>
      <c r="B54" s="14"/>
      <c r="C54" s="55">
        <v>36</v>
      </c>
      <c r="D54" s="14">
        <v>9</v>
      </c>
      <c r="E54" s="14"/>
      <c r="F54" s="14"/>
      <c r="G54" s="14"/>
      <c r="H54" s="14"/>
      <c r="I54" s="14"/>
      <c r="J54" s="14"/>
      <c r="L54" s="118" t="s">
        <v>1037</v>
      </c>
    </row>
    <row r="55" spans="1:12" x14ac:dyDescent="0.25">
      <c r="A55" s="12" t="s">
        <v>421</v>
      </c>
      <c r="B55" s="14" t="s">
        <v>89</v>
      </c>
      <c r="C55" s="55">
        <v>37</v>
      </c>
      <c r="D55" s="14">
        <v>9</v>
      </c>
      <c r="E55" s="14"/>
      <c r="F55" s="14"/>
      <c r="G55" s="14"/>
      <c r="H55" s="14"/>
      <c r="I55" s="14"/>
      <c r="J55" s="14"/>
      <c r="L55" s="118" t="s">
        <v>1037</v>
      </c>
    </row>
    <row r="56" spans="1:12" x14ac:dyDescent="0.25">
      <c r="A56" s="12" t="s">
        <v>228</v>
      </c>
      <c r="B56" s="14"/>
      <c r="C56" s="55">
        <v>38</v>
      </c>
      <c r="D56" s="14">
        <v>9</v>
      </c>
      <c r="E56" s="14"/>
      <c r="F56" s="14"/>
      <c r="G56" s="14"/>
      <c r="H56" s="14"/>
      <c r="I56" s="14"/>
      <c r="J56" s="14"/>
      <c r="L56" s="118" t="s">
        <v>1037</v>
      </c>
    </row>
    <row r="57" spans="1:12" x14ac:dyDescent="0.25">
      <c r="A57" s="12" t="s">
        <v>237</v>
      </c>
      <c r="C57" s="55">
        <v>39</v>
      </c>
      <c r="D57" s="55">
        <v>9</v>
      </c>
      <c r="L57" s="118" t="s">
        <v>1037</v>
      </c>
    </row>
    <row r="58" spans="1:12" x14ac:dyDescent="0.25">
      <c r="A58" s="12" t="s">
        <v>420</v>
      </c>
      <c r="B58" s="14"/>
      <c r="C58" s="55">
        <v>40</v>
      </c>
      <c r="D58" s="14">
        <v>9</v>
      </c>
      <c r="E58" s="14"/>
      <c r="F58" s="14"/>
      <c r="G58" s="14"/>
      <c r="H58" s="14"/>
      <c r="I58" s="14"/>
      <c r="J58" s="14"/>
      <c r="L58" s="118" t="s">
        <v>1037</v>
      </c>
    </row>
    <row r="59" spans="1:12" x14ac:dyDescent="0.25">
      <c r="A59" s="12" t="s">
        <v>415</v>
      </c>
      <c r="B59" s="14" t="s">
        <v>83</v>
      </c>
      <c r="C59" s="55">
        <v>41</v>
      </c>
      <c r="D59" s="14">
        <v>9</v>
      </c>
      <c r="E59" s="14"/>
      <c r="F59" s="14"/>
      <c r="G59" s="14"/>
      <c r="H59" s="14"/>
      <c r="I59" s="14"/>
      <c r="J59" s="14"/>
      <c r="L59" s="118" t="s">
        <v>1037</v>
      </c>
    </row>
    <row r="60" spans="1:12" x14ac:dyDescent="0.25">
      <c r="A60" s="12" t="s">
        <v>426</v>
      </c>
      <c r="C60" s="55">
        <v>42</v>
      </c>
      <c r="D60" s="55">
        <v>9</v>
      </c>
      <c r="E60" s="14"/>
      <c r="F60" s="14"/>
      <c r="G60" s="14"/>
      <c r="H60" s="14"/>
      <c r="I60" s="14"/>
      <c r="J60" s="14"/>
      <c r="L60" s="118" t="s">
        <v>1037</v>
      </c>
    </row>
    <row r="61" spans="1:12" x14ac:dyDescent="0.25">
      <c r="A61" s="12" t="s">
        <v>388</v>
      </c>
      <c r="B61" s="14" t="s">
        <v>20</v>
      </c>
      <c r="C61" s="55">
        <v>43</v>
      </c>
      <c r="D61" s="14">
        <v>6</v>
      </c>
      <c r="E61" s="14">
        <v>43</v>
      </c>
      <c r="F61" s="14"/>
      <c r="G61" s="14"/>
      <c r="H61" s="14"/>
      <c r="I61" s="14"/>
      <c r="J61" s="14"/>
      <c r="L61" s="118" t="s">
        <v>1037</v>
      </c>
    </row>
    <row r="62" spans="1:12" x14ac:dyDescent="0.25">
      <c r="A62" s="12" t="s">
        <v>390</v>
      </c>
      <c r="B62" s="14" t="s">
        <v>21</v>
      </c>
      <c r="C62" s="55">
        <v>43</v>
      </c>
      <c r="D62" s="14">
        <v>6</v>
      </c>
      <c r="E62" s="14">
        <v>43</v>
      </c>
      <c r="F62" s="14"/>
      <c r="G62" s="14"/>
      <c r="H62" s="14"/>
      <c r="I62" s="14"/>
      <c r="J62" s="14"/>
      <c r="L62" s="118" t="s">
        <v>1037</v>
      </c>
    </row>
    <row r="63" spans="1:12" x14ac:dyDescent="0.25">
      <c r="A63" s="12" t="s">
        <v>226</v>
      </c>
      <c r="B63" s="14" t="s">
        <v>22</v>
      </c>
      <c r="C63" s="55">
        <v>43</v>
      </c>
      <c r="D63" s="14">
        <v>6</v>
      </c>
      <c r="E63" s="14">
        <v>43</v>
      </c>
      <c r="F63" s="14"/>
      <c r="G63" s="14"/>
      <c r="H63" s="14"/>
      <c r="I63" s="14"/>
      <c r="J63" s="14"/>
      <c r="L63" s="118" t="s">
        <v>1037</v>
      </c>
    </row>
    <row r="64" spans="1:12" x14ac:dyDescent="0.25">
      <c r="A64" s="12" t="s">
        <v>391</v>
      </c>
      <c r="B64" s="14"/>
      <c r="C64" s="55">
        <v>43</v>
      </c>
      <c r="D64" s="14">
        <v>6</v>
      </c>
      <c r="E64" s="14">
        <v>43</v>
      </c>
      <c r="F64" s="14"/>
      <c r="G64" s="14"/>
      <c r="H64" s="14"/>
      <c r="I64" s="14"/>
      <c r="J64" s="14"/>
      <c r="L64" s="118" t="s">
        <v>1037</v>
      </c>
    </row>
    <row r="65" spans="1:12" x14ac:dyDescent="0.25">
      <c r="A65" s="12" t="s">
        <v>385</v>
      </c>
      <c r="C65" s="55">
        <v>44</v>
      </c>
      <c r="D65" s="55">
        <v>9</v>
      </c>
      <c r="L65" s="118" t="s">
        <v>1037</v>
      </c>
    </row>
    <row r="66" spans="1:12" x14ac:dyDescent="0.25">
      <c r="A66" s="12" t="s">
        <v>384</v>
      </c>
      <c r="C66" s="55">
        <v>45</v>
      </c>
      <c r="D66" s="55">
        <v>9</v>
      </c>
      <c r="L66" s="118" t="s">
        <v>1037</v>
      </c>
    </row>
    <row r="67" spans="1:12" x14ac:dyDescent="0.25">
      <c r="A67" s="12" t="s">
        <v>227</v>
      </c>
      <c r="B67" s="14"/>
      <c r="C67" s="55">
        <v>46</v>
      </c>
      <c r="D67" s="14">
        <v>9</v>
      </c>
      <c r="E67" s="14"/>
      <c r="F67" s="14"/>
      <c r="G67" s="14"/>
      <c r="H67" s="14"/>
      <c r="I67" s="14"/>
      <c r="J67" s="14"/>
      <c r="L67" s="118" t="s">
        <v>1037</v>
      </c>
    </row>
    <row r="68" spans="1:12" x14ac:dyDescent="0.25">
      <c r="A68" s="12" t="s">
        <v>374</v>
      </c>
      <c r="C68" s="55">
        <v>47</v>
      </c>
      <c r="D68" s="55">
        <v>9</v>
      </c>
      <c r="L68" s="118" t="s">
        <v>1037</v>
      </c>
    </row>
    <row r="69" spans="1:12" x14ac:dyDescent="0.25">
      <c r="A69" s="12" t="s">
        <v>367</v>
      </c>
      <c r="B69" s="54"/>
      <c r="C69" s="57">
        <v>48</v>
      </c>
      <c r="D69" s="54">
        <v>9</v>
      </c>
      <c r="E69" s="54"/>
      <c r="F69" s="54"/>
      <c r="G69" s="54"/>
      <c r="H69" s="54"/>
      <c r="I69" s="54"/>
      <c r="J69" s="54"/>
      <c r="L69" s="118" t="s">
        <v>1037</v>
      </c>
    </row>
    <row r="70" spans="1:12" x14ac:dyDescent="0.25">
      <c r="A70" s="12" t="s">
        <v>369</v>
      </c>
      <c r="B70" s="14"/>
      <c r="C70" s="55">
        <v>49</v>
      </c>
      <c r="D70" s="14">
        <v>9</v>
      </c>
      <c r="E70" s="14"/>
      <c r="F70" s="14"/>
      <c r="G70" s="14"/>
      <c r="H70" s="14"/>
      <c r="I70" s="14"/>
      <c r="J70" s="14"/>
      <c r="L70" s="118" t="s">
        <v>1037</v>
      </c>
    </row>
    <row r="71" spans="1:12" x14ac:dyDescent="0.25">
      <c r="A71" s="12" t="s">
        <v>370</v>
      </c>
      <c r="B71" s="14" t="s">
        <v>11</v>
      </c>
      <c r="C71" s="55">
        <v>50</v>
      </c>
      <c r="D71" s="14">
        <v>9</v>
      </c>
      <c r="E71" s="14"/>
      <c r="F71" s="14"/>
      <c r="G71" s="14"/>
      <c r="H71" s="14"/>
      <c r="I71" s="14"/>
      <c r="J71" s="14"/>
      <c r="L71" s="118" t="s">
        <v>1037</v>
      </c>
    </row>
    <row r="72" spans="1:12" x14ac:dyDescent="0.25">
      <c r="A72" s="12" t="s">
        <v>371</v>
      </c>
      <c r="B72" s="14" t="s">
        <v>188</v>
      </c>
      <c r="C72" s="55">
        <v>51</v>
      </c>
      <c r="D72" s="14">
        <v>9</v>
      </c>
      <c r="E72" s="14"/>
      <c r="F72" s="14"/>
      <c r="G72" s="14"/>
      <c r="H72" s="14"/>
      <c r="I72" s="14"/>
      <c r="J72" s="14"/>
      <c r="L72" s="118" t="s">
        <v>1037</v>
      </c>
    </row>
    <row r="73" spans="1:12" x14ac:dyDescent="0.25">
      <c r="A73" s="12" t="s">
        <v>224</v>
      </c>
      <c r="B73" s="14" t="s">
        <v>84</v>
      </c>
      <c r="C73" s="55">
        <v>52</v>
      </c>
      <c r="D73" s="14">
        <v>9</v>
      </c>
      <c r="E73" s="14"/>
      <c r="F73" s="14"/>
      <c r="G73" s="14"/>
      <c r="H73" s="14"/>
      <c r="I73" s="14"/>
      <c r="J73" s="14"/>
      <c r="L73" s="118" t="s">
        <v>1037</v>
      </c>
    </row>
    <row r="74" spans="1:12" x14ac:dyDescent="0.25">
      <c r="A74" s="12" t="s">
        <v>217</v>
      </c>
      <c r="B74" s="14" t="s">
        <v>87</v>
      </c>
      <c r="C74" s="55">
        <v>53</v>
      </c>
      <c r="D74" s="14">
        <v>9</v>
      </c>
      <c r="E74" s="14"/>
      <c r="F74" s="14"/>
      <c r="G74" s="14"/>
      <c r="H74" s="14"/>
      <c r="I74" s="14"/>
      <c r="J74" s="14"/>
      <c r="L74" s="118" t="s">
        <v>1037</v>
      </c>
    </row>
    <row r="75" spans="1:12" x14ac:dyDescent="0.25">
      <c r="A75" s="12" t="s">
        <v>222</v>
      </c>
      <c r="B75" s="14" t="s">
        <v>85</v>
      </c>
      <c r="C75" s="55">
        <v>54</v>
      </c>
      <c r="D75" s="14">
        <v>9</v>
      </c>
      <c r="E75" s="14"/>
      <c r="F75" s="14"/>
      <c r="G75" s="14"/>
      <c r="H75" s="14"/>
      <c r="I75" s="14"/>
      <c r="J75" s="14"/>
      <c r="L75" s="118" t="s">
        <v>1037</v>
      </c>
    </row>
    <row r="76" spans="1:12" x14ac:dyDescent="0.25">
      <c r="A76" s="12" t="s">
        <v>239</v>
      </c>
      <c r="B76" s="14" t="s">
        <v>86</v>
      </c>
      <c r="C76" s="55">
        <v>55</v>
      </c>
      <c r="D76" s="14">
        <v>9</v>
      </c>
      <c r="E76" s="14"/>
      <c r="F76" s="14"/>
      <c r="G76" s="14"/>
      <c r="H76" s="14"/>
      <c r="I76" s="14"/>
      <c r="J76" s="14"/>
      <c r="L76" s="118" t="s">
        <v>1037</v>
      </c>
    </row>
    <row r="77" spans="1:12" x14ac:dyDescent="0.25">
      <c r="A77" s="12" t="s">
        <v>235</v>
      </c>
      <c r="B77" s="14" t="s">
        <v>81</v>
      </c>
      <c r="C77" s="55">
        <v>56</v>
      </c>
      <c r="D77" s="14">
        <v>9</v>
      </c>
      <c r="E77" s="14"/>
      <c r="F77" s="14"/>
      <c r="G77" s="14"/>
      <c r="H77" s="14"/>
      <c r="I77" s="14"/>
      <c r="J77" s="14"/>
      <c r="L77" s="118" t="s">
        <v>1037</v>
      </c>
    </row>
    <row r="78" spans="1:12" x14ac:dyDescent="0.25">
      <c r="A78" s="12" t="s">
        <v>282</v>
      </c>
      <c r="B78" s="14" t="s">
        <v>14</v>
      </c>
      <c r="C78" s="55">
        <v>57</v>
      </c>
      <c r="D78" s="14">
        <v>9</v>
      </c>
      <c r="E78" s="14"/>
      <c r="F78" s="14"/>
      <c r="G78" s="14"/>
      <c r="H78" s="14"/>
      <c r="I78" s="14"/>
      <c r="J78" s="14"/>
      <c r="L78" s="118" t="s">
        <v>1037</v>
      </c>
    </row>
    <row r="79" spans="1:12" x14ac:dyDescent="0.25">
      <c r="A79" s="12" t="s">
        <v>166</v>
      </c>
      <c r="B79" s="14" t="s">
        <v>77</v>
      </c>
      <c r="C79" s="55">
        <v>58</v>
      </c>
      <c r="D79" s="14">
        <v>9</v>
      </c>
      <c r="E79" s="14"/>
      <c r="F79" s="14"/>
      <c r="G79" s="14"/>
      <c r="H79" s="14"/>
      <c r="I79" s="14"/>
      <c r="J79" s="14"/>
      <c r="L79" s="118" t="s">
        <v>1037</v>
      </c>
    </row>
    <row r="80" spans="1:12" x14ac:dyDescent="0.25">
      <c r="A80" s="12" t="s">
        <v>216</v>
      </c>
      <c r="B80" s="14" t="s">
        <v>68</v>
      </c>
      <c r="C80" s="55">
        <v>59</v>
      </c>
      <c r="D80" s="14">
        <v>9</v>
      </c>
      <c r="E80" s="14"/>
      <c r="F80" s="14"/>
      <c r="G80" s="14"/>
      <c r="H80" s="14"/>
      <c r="I80" s="14"/>
      <c r="J80" s="14"/>
      <c r="L80" s="118" t="s">
        <v>1037</v>
      </c>
    </row>
    <row r="81" spans="1:12" x14ac:dyDescent="0.25">
      <c r="A81" s="12" t="s">
        <v>230</v>
      </c>
      <c r="B81" s="14" t="s">
        <v>66</v>
      </c>
      <c r="C81" s="55">
        <v>60</v>
      </c>
      <c r="D81" s="14">
        <v>9</v>
      </c>
      <c r="E81" s="14"/>
      <c r="F81" s="14"/>
      <c r="G81" s="14"/>
      <c r="H81" s="14"/>
      <c r="I81" s="14"/>
      <c r="J81" s="14"/>
      <c r="L81" s="118" t="s">
        <v>1037</v>
      </c>
    </row>
    <row r="82" spans="1:12" x14ac:dyDescent="0.25">
      <c r="A82" s="12" t="s">
        <v>430</v>
      </c>
      <c r="B82" s="14" t="s">
        <v>79</v>
      </c>
      <c r="C82" s="55">
        <v>61</v>
      </c>
      <c r="D82" s="14">
        <v>9</v>
      </c>
      <c r="E82" s="14"/>
      <c r="F82" s="14"/>
      <c r="G82" s="14"/>
      <c r="H82" s="14"/>
      <c r="I82" s="14"/>
      <c r="J82" s="14"/>
      <c r="L82" s="118" t="s">
        <v>1037</v>
      </c>
    </row>
    <row r="83" spans="1:12" x14ac:dyDescent="0.25">
      <c r="A83" s="12" t="s">
        <v>275</v>
      </c>
      <c r="C83" s="55">
        <v>62</v>
      </c>
      <c r="D83" s="55">
        <v>9</v>
      </c>
      <c r="L83" s="118" t="s">
        <v>1037</v>
      </c>
    </row>
    <row r="84" spans="1:12" x14ac:dyDescent="0.25">
      <c r="A84" s="12" t="s">
        <v>418</v>
      </c>
      <c r="B84" s="14" t="s">
        <v>93</v>
      </c>
      <c r="C84" s="55">
        <v>63</v>
      </c>
      <c r="D84" s="14">
        <v>9</v>
      </c>
      <c r="E84" s="14"/>
      <c r="F84" s="14"/>
      <c r="G84" s="14"/>
      <c r="H84" s="14"/>
      <c r="I84" s="14"/>
      <c r="J84" s="14"/>
      <c r="L84" s="118" t="s">
        <v>1037</v>
      </c>
    </row>
    <row r="85" spans="1:12" x14ac:dyDescent="0.25">
      <c r="A85" s="12" t="s">
        <v>422</v>
      </c>
      <c r="B85" s="14"/>
      <c r="C85" s="55">
        <v>64</v>
      </c>
      <c r="D85" s="14">
        <v>9</v>
      </c>
      <c r="E85" s="14"/>
      <c r="F85" s="14"/>
      <c r="G85" s="14"/>
      <c r="H85" s="14"/>
      <c r="I85" s="14"/>
      <c r="J85" s="14"/>
      <c r="L85" s="118" t="s">
        <v>1037</v>
      </c>
    </row>
    <row r="86" spans="1:12" x14ac:dyDescent="0.25">
      <c r="A86" s="12" t="s">
        <v>429</v>
      </c>
      <c r="B86" s="54"/>
      <c r="C86" s="57">
        <v>65</v>
      </c>
      <c r="D86" s="54">
        <v>9</v>
      </c>
      <c r="E86" s="54"/>
      <c r="F86" s="54"/>
      <c r="G86" s="54"/>
      <c r="H86" s="54"/>
      <c r="I86" s="54"/>
      <c r="J86" s="54"/>
      <c r="L86" s="118" t="s">
        <v>1037</v>
      </c>
    </row>
    <row r="87" spans="1:12" x14ac:dyDescent="0.25">
      <c r="A87" s="12" t="s">
        <v>382</v>
      </c>
      <c r="C87" s="55">
        <v>66</v>
      </c>
      <c r="D87" s="55">
        <v>9</v>
      </c>
      <c r="L87" s="118" t="s">
        <v>1037</v>
      </c>
    </row>
    <row r="88" spans="1:12" x14ac:dyDescent="0.25">
      <c r="A88" s="12" t="s">
        <v>383</v>
      </c>
      <c r="C88" s="55">
        <v>67</v>
      </c>
      <c r="D88" s="55">
        <v>9</v>
      </c>
      <c r="L88" s="118" t="s">
        <v>1037</v>
      </c>
    </row>
    <row r="89" spans="1:12" x14ac:dyDescent="0.25">
      <c r="A89" s="12" t="s">
        <v>240</v>
      </c>
      <c r="B89" s="14"/>
      <c r="C89" s="55">
        <v>68</v>
      </c>
      <c r="D89" s="14">
        <v>9</v>
      </c>
      <c r="E89" s="14"/>
      <c r="F89" s="14"/>
      <c r="G89" s="14"/>
      <c r="H89" s="14"/>
      <c r="I89" s="14"/>
      <c r="J89" s="14"/>
      <c r="L89" s="118" t="s">
        <v>1037</v>
      </c>
    </row>
    <row r="90" spans="1:12" x14ac:dyDescent="0.25">
      <c r="A90" s="12" t="s">
        <v>288</v>
      </c>
      <c r="B90" s="14" t="s">
        <v>25</v>
      </c>
      <c r="C90" s="55">
        <v>69</v>
      </c>
      <c r="D90" s="14">
        <v>9</v>
      </c>
      <c r="E90" s="14"/>
      <c r="F90" s="14"/>
      <c r="G90" s="14"/>
      <c r="H90" s="14"/>
      <c r="I90" s="14"/>
      <c r="J90" s="14"/>
      <c r="L90" s="118" t="s">
        <v>1037</v>
      </c>
    </row>
    <row r="91" spans="1:12" x14ac:dyDescent="0.25">
      <c r="A91" s="12" t="s">
        <v>276</v>
      </c>
      <c r="B91" s="14" t="s">
        <v>71</v>
      </c>
      <c r="C91" s="55">
        <v>70</v>
      </c>
      <c r="D91" s="14">
        <v>9</v>
      </c>
      <c r="E91" s="14"/>
      <c r="F91" s="14"/>
      <c r="G91" s="14"/>
      <c r="H91" s="14"/>
      <c r="I91" s="14"/>
      <c r="J91" s="14"/>
      <c r="L91" s="118" t="s">
        <v>1037</v>
      </c>
    </row>
    <row r="92" spans="1:12" x14ac:dyDescent="0.25">
      <c r="A92" s="12" t="s">
        <v>243</v>
      </c>
      <c r="B92" s="14" t="s">
        <v>72</v>
      </c>
      <c r="C92" s="55">
        <v>71</v>
      </c>
      <c r="D92" s="14">
        <v>9</v>
      </c>
      <c r="E92" s="14"/>
      <c r="F92" s="14"/>
      <c r="G92" s="14"/>
      <c r="H92" s="14"/>
      <c r="I92" s="14"/>
      <c r="J92" s="14"/>
      <c r="L92" s="118" t="s">
        <v>1037</v>
      </c>
    </row>
    <row r="93" spans="1:12" x14ac:dyDescent="0.25">
      <c r="A93" s="12" t="s">
        <v>279</v>
      </c>
      <c r="B93" s="14" t="s">
        <v>73</v>
      </c>
      <c r="C93" s="55">
        <v>72</v>
      </c>
      <c r="D93" s="14">
        <v>9</v>
      </c>
      <c r="E93" s="14"/>
      <c r="F93" s="14"/>
      <c r="G93" s="14"/>
      <c r="H93" s="14"/>
      <c r="I93" s="14"/>
      <c r="J93" s="14"/>
      <c r="L93" s="118" t="s">
        <v>1037</v>
      </c>
    </row>
    <row r="94" spans="1:12" x14ac:dyDescent="0.25">
      <c r="A94" s="12" t="s">
        <v>342</v>
      </c>
      <c r="B94" s="14" t="s">
        <v>47</v>
      </c>
      <c r="C94" s="55">
        <v>73</v>
      </c>
      <c r="D94" s="14">
        <v>9</v>
      </c>
      <c r="E94" s="14"/>
      <c r="F94" s="14"/>
      <c r="G94" s="14"/>
      <c r="H94" s="14"/>
      <c r="I94" s="14"/>
      <c r="J94" s="14"/>
      <c r="L94" s="118" t="s">
        <v>1036</v>
      </c>
    </row>
    <row r="95" spans="1:12" x14ac:dyDescent="0.25">
      <c r="A95" s="12" t="s">
        <v>315</v>
      </c>
      <c r="B95" s="14" t="s">
        <v>35</v>
      </c>
      <c r="C95" s="55">
        <v>74</v>
      </c>
      <c r="D95" s="14">
        <v>9</v>
      </c>
      <c r="E95" s="14"/>
      <c r="F95" s="14"/>
      <c r="G95" s="14"/>
      <c r="H95" s="14"/>
      <c r="I95" s="14"/>
      <c r="J95" s="14"/>
      <c r="L95" s="118" t="s">
        <v>1036</v>
      </c>
    </row>
    <row r="96" spans="1:12" x14ac:dyDescent="0.25">
      <c r="A96" s="12" t="s">
        <v>316</v>
      </c>
      <c r="B96" s="14" t="s">
        <v>36</v>
      </c>
      <c r="C96" s="55">
        <v>75</v>
      </c>
      <c r="D96" s="14">
        <v>9</v>
      </c>
      <c r="E96" s="14"/>
      <c r="F96" s="14"/>
      <c r="G96" s="14"/>
      <c r="H96" s="14"/>
      <c r="I96" s="14"/>
      <c r="J96" s="14"/>
      <c r="L96" s="118" t="s">
        <v>1036</v>
      </c>
    </row>
    <row r="97" spans="1:12" x14ac:dyDescent="0.25">
      <c r="A97" s="12" t="s">
        <v>301</v>
      </c>
      <c r="B97" s="14" t="s">
        <v>29</v>
      </c>
      <c r="C97" s="55">
        <v>76</v>
      </c>
      <c r="D97" s="14">
        <v>9</v>
      </c>
      <c r="E97" s="14"/>
      <c r="F97" s="14"/>
      <c r="G97" s="14"/>
      <c r="H97" s="14"/>
      <c r="I97" s="14"/>
      <c r="J97" s="14"/>
      <c r="L97" s="118" t="s">
        <v>1036</v>
      </c>
    </row>
    <row r="98" spans="1:12" x14ac:dyDescent="0.25">
      <c r="A98" s="12" t="s">
        <v>305</v>
      </c>
      <c r="B98" s="14" t="s">
        <v>30</v>
      </c>
      <c r="C98" s="55">
        <v>77</v>
      </c>
      <c r="D98" s="14">
        <v>9</v>
      </c>
      <c r="E98" s="14"/>
      <c r="F98" s="14"/>
      <c r="G98" s="14"/>
      <c r="H98" s="14"/>
      <c r="I98" s="14"/>
      <c r="J98" s="14"/>
      <c r="L98" s="118" t="s">
        <v>1036</v>
      </c>
    </row>
    <row r="99" spans="1:12" x14ac:dyDescent="0.25">
      <c r="A99" s="12" t="s">
        <v>321</v>
      </c>
      <c r="B99" s="14" t="s">
        <v>90</v>
      </c>
      <c r="C99" s="55">
        <v>78</v>
      </c>
      <c r="D99" s="14">
        <v>9</v>
      </c>
      <c r="E99" s="14"/>
      <c r="F99" s="14"/>
      <c r="G99" s="14"/>
      <c r="H99" s="14"/>
      <c r="I99" s="14"/>
      <c r="J99" s="14"/>
      <c r="L99" s="118" t="s">
        <v>1036</v>
      </c>
    </row>
    <row r="100" spans="1:12" x14ac:dyDescent="0.25">
      <c r="A100" s="12" t="s">
        <v>280</v>
      </c>
      <c r="B100" s="14" t="s">
        <v>74</v>
      </c>
      <c r="C100" s="55">
        <v>79</v>
      </c>
      <c r="D100" s="14">
        <v>9</v>
      </c>
      <c r="E100" s="14"/>
      <c r="F100" s="14"/>
      <c r="G100" s="14"/>
      <c r="H100" s="14"/>
      <c r="I100" s="14"/>
      <c r="J100" s="14"/>
      <c r="L100" s="118" t="s">
        <v>1037</v>
      </c>
    </row>
    <row r="101" spans="1:12" x14ac:dyDescent="0.25">
      <c r="A101" s="12" t="s">
        <v>357</v>
      </c>
      <c r="B101" s="14" t="s">
        <v>57</v>
      </c>
      <c r="C101" s="55">
        <v>80</v>
      </c>
      <c r="D101" s="14">
        <v>9</v>
      </c>
      <c r="E101" s="14"/>
      <c r="F101" s="14"/>
      <c r="G101" s="14"/>
      <c r="H101" s="14"/>
      <c r="I101" s="14"/>
      <c r="J101" s="14"/>
      <c r="L101" s="118" t="s">
        <v>1036</v>
      </c>
    </row>
    <row r="102" spans="1:12" x14ac:dyDescent="0.25">
      <c r="A102" s="12" t="s">
        <v>281</v>
      </c>
      <c r="B102" s="14" t="s">
        <v>75</v>
      </c>
      <c r="C102" s="55">
        <v>81</v>
      </c>
      <c r="D102" s="14">
        <v>9</v>
      </c>
      <c r="E102" s="14"/>
      <c r="F102" s="14"/>
      <c r="G102" s="14"/>
      <c r="H102" s="14"/>
      <c r="I102" s="14"/>
      <c r="J102" s="14"/>
      <c r="L102" s="118" t="s">
        <v>1037</v>
      </c>
    </row>
    <row r="103" spans="1:12" x14ac:dyDescent="0.25">
      <c r="A103" s="12" t="s">
        <v>386</v>
      </c>
      <c r="B103" s="14" t="s">
        <v>12</v>
      </c>
      <c r="C103" s="55">
        <v>82</v>
      </c>
      <c r="D103" s="14">
        <v>9</v>
      </c>
      <c r="E103" s="14"/>
      <c r="F103" s="14"/>
      <c r="G103" s="14"/>
      <c r="H103" s="14"/>
      <c r="I103" s="14"/>
      <c r="J103" s="14"/>
      <c r="L103" s="118" t="s">
        <v>1037</v>
      </c>
    </row>
    <row r="104" spans="1:12" x14ac:dyDescent="0.25">
      <c r="A104" s="12" t="s">
        <v>233</v>
      </c>
      <c r="B104" s="2" t="s">
        <v>250</v>
      </c>
      <c r="C104" s="55">
        <v>83</v>
      </c>
      <c r="D104" s="14">
        <v>9</v>
      </c>
      <c r="E104" s="14"/>
      <c r="F104" s="14"/>
      <c r="G104" s="14"/>
      <c r="H104" s="14"/>
      <c r="I104" s="14"/>
      <c r="J104" s="14"/>
      <c r="L104" s="118" t="s">
        <v>1036</v>
      </c>
    </row>
    <row r="105" spans="1:12" x14ac:dyDescent="0.25">
      <c r="A105" s="12" t="s">
        <v>220</v>
      </c>
      <c r="B105" s="1" t="s">
        <v>249</v>
      </c>
      <c r="C105" s="55">
        <v>84</v>
      </c>
      <c r="D105" s="14">
        <v>9</v>
      </c>
      <c r="E105" s="14"/>
      <c r="F105" s="14"/>
      <c r="G105" s="14"/>
      <c r="H105" s="14"/>
      <c r="I105" s="14"/>
      <c r="J105" s="14"/>
      <c r="L105" s="118" t="s">
        <v>1037</v>
      </c>
    </row>
    <row r="106" spans="1:12" x14ac:dyDescent="0.25">
      <c r="B106" s="54"/>
      <c r="C106" s="57"/>
      <c r="D106" s="54"/>
      <c r="E106" s="54"/>
      <c r="F106" s="54"/>
      <c r="G106" s="54"/>
      <c r="H106" s="54"/>
      <c r="I106" s="54"/>
      <c r="J106" s="54"/>
    </row>
    <row r="107" spans="1:12" x14ac:dyDescent="0.25">
      <c r="A107" s="12" t="s">
        <v>294</v>
      </c>
      <c r="B107" s="12"/>
      <c r="C107" s="55"/>
      <c r="D107" s="14"/>
      <c r="E107" s="14"/>
      <c r="F107" s="14"/>
      <c r="G107" s="14"/>
      <c r="H107" s="14"/>
      <c r="I107" s="14"/>
      <c r="J107" s="14"/>
    </row>
    <row r="108" spans="1:12" x14ac:dyDescent="0.25">
      <c r="A108" s="12" t="s">
        <v>336</v>
      </c>
      <c r="B108" s="12"/>
      <c r="C108" s="55"/>
      <c r="D108" s="14"/>
      <c r="E108" s="14"/>
      <c r="F108" s="14"/>
      <c r="G108" s="14"/>
      <c r="H108" s="14"/>
      <c r="I108" s="14"/>
      <c r="J108" s="14"/>
    </row>
    <row r="109" spans="1:12" x14ac:dyDescent="0.25">
      <c r="A109" s="12" t="s">
        <v>318</v>
      </c>
      <c r="B109" s="12"/>
      <c r="C109" s="55"/>
      <c r="D109" s="14"/>
      <c r="E109" s="14"/>
      <c r="F109" s="14"/>
      <c r="G109" s="14"/>
      <c r="H109" s="14"/>
      <c r="I109" s="14"/>
      <c r="J109" s="14"/>
    </row>
    <row r="110" spans="1:12" x14ac:dyDescent="0.25">
      <c r="A110" s="12" t="s">
        <v>320</v>
      </c>
      <c r="B110" s="14"/>
      <c r="C110" s="55"/>
      <c r="D110" s="14"/>
      <c r="E110" s="14"/>
      <c r="F110" s="14"/>
      <c r="G110" s="14"/>
      <c r="H110" s="14"/>
      <c r="I110" s="14"/>
      <c r="J110" s="14"/>
    </row>
    <row r="111" spans="1:12" x14ac:dyDescent="0.25">
      <c r="A111" s="12" t="s">
        <v>353</v>
      </c>
      <c r="B111" s="14"/>
      <c r="C111" s="55"/>
      <c r="D111" s="14"/>
      <c r="E111" s="14"/>
      <c r="F111" s="14"/>
      <c r="G111" s="14"/>
      <c r="H111" s="14"/>
      <c r="I111" s="14"/>
      <c r="J111" s="14"/>
    </row>
    <row r="112" spans="1:12" x14ac:dyDescent="0.25">
      <c r="A112" s="12" t="s">
        <v>309</v>
      </c>
      <c r="E112" s="14"/>
      <c r="F112" s="14"/>
      <c r="G112" s="14"/>
      <c r="H112" s="14"/>
      <c r="I112" s="14"/>
      <c r="J112" s="14"/>
    </row>
    <row r="113" spans="1:10" x14ac:dyDescent="0.25">
      <c r="A113" s="12" t="s">
        <v>328</v>
      </c>
      <c r="B113" s="14"/>
      <c r="C113" s="55"/>
      <c r="D113" s="14"/>
      <c r="E113" s="14"/>
      <c r="F113" s="14"/>
      <c r="G113" s="14"/>
      <c r="H113" s="14"/>
      <c r="I113" s="14"/>
      <c r="J113" s="14"/>
    </row>
    <row r="114" spans="1:10" x14ac:dyDescent="0.25">
      <c r="A114" s="12" t="s">
        <v>311</v>
      </c>
      <c r="D114" s="55"/>
      <c r="I114" s="14"/>
      <c r="J114" s="14"/>
    </row>
    <row r="115" spans="1:10" x14ac:dyDescent="0.25">
      <c r="B115" s="14"/>
      <c r="C115" s="55"/>
      <c r="D115" s="14"/>
      <c r="E115" s="14"/>
      <c r="F115" s="14"/>
      <c r="G115" s="14"/>
      <c r="H115" s="14"/>
      <c r="I115" s="14"/>
      <c r="J115" s="14"/>
    </row>
    <row r="117" spans="1:10" x14ac:dyDescent="0.25">
      <c r="B117" s="14"/>
      <c r="C117" s="55"/>
      <c r="D117" s="14"/>
      <c r="E117" s="14"/>
      <c r="F117" s="14"/>
      <c r="G117" s="14"/>
      <c r="H117" s="14"/>
      <c r="I117" s="14"/>
      <c r="J117" s="14"/>
    </row>
  </sheetData>
  <sortState xmlns:xlrd2="http://schemas.microsoft.com/office/spreadsheetml/2017/richdata2" ref="A2:J113">
    <sortCondition ref="C2:C113"/>
  </sortState>
  <pageMargins left="0.70866141732283472" right="0.70866141732283472" top="0.74803149606299213" bottom="0.74803149606299213" header="0.31496062992125984" footer="0.31496062992125984"/>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Read Me</vt:lpstr>
      <vt:lpstr>Notes</vt:lpstr>
      <vt:lpstr>Control</vt:lpstr>
      <vt:lpstr>ESCAPE</vt:lpstr>
      <vt:lpstr>EscapeNew</vt:lpstr>
      <vt:lpstr>MissingEscape</vt:lpstr>
      <vt:lpstr>GroupP</vt:lpstr>
      <vt:lpstr>Updated Esc Est</vt:lpstr>
      <vt:lpstr>Hatchery Removals</vt:lpstr>
      <vt:lpstr>StockList</vt:lpstr>
      <vt:lpstr>Stock-Stream List</vt:lpstr>
      <vt:lpstr>ESCAPE!Print_Area</vt:lpstr>
      <vt:lpstr>ESCAPE!Print_Titles</vt:lpstr>
      <vt:lpstr>'Stock-Stream List'!Print_Titles</vt:lpstr>
    </vt:vector>
  </TitlesOfParts>
  <Company>DFO-MPO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DFO-MPO</dc:creator>
  <cp:lastModifiedBy>Thomson, Madeline</cp:lastModifiedBy>
  <cp:lastPrinted>2017-02-27T21:10:17Z</cp:lastPrinted>
  <dcterms:created xsi:type="dcterms:W3CDTF">2015-01-27T19:21:04Z</dcterms:created>
  <dcterms:modified xsi:type="dcterms:W3CDTF">2023-09-25T18:24:21Z</dcterms:modified>
</cp:coreProperties>
</file>